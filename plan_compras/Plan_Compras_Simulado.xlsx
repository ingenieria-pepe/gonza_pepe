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uario\Desktop\PorongaEnLaNube\gonza_pepe\plan_compras\"/>
    </mc:Choice>
  </mc:AlternateContent>
  <xr:revisionPtr revIDLastSave="0" documentId="13_ncr:1_{D84B37F1-629D-40E2-87CE-07835BCABFB5}" xr6:coauthVersionLast="47" xr6:coauthVersionMax="47" xr10:uidLastSave="{00000000-0000-0000-0000-000000000000}"/>
  <bookViews>
    <workbookView xWindow="-120" yWindow="-120" windowWidth="20730" windowHeight="11040" xr2:uid="{00000000-000D-0000-FFFF-FFFF00000000}"/>
  </bookViews>
  <sheets>
    <sheet name="Inicio" sheetId="1" r:id="rId1"/>
    <sheet name="Calendario" sheetId="10" r:id="rId2"/>
    <sheet name="Parametros" sheetId="2" r:id="rId3"/>
    <sheet name="Demanda" sheetId="3" r:id="rId4"/>
    <sheet name="Cargas" sheetId="4" r:id="rId5"/>
    <sheet name="Proyeccion" sheetId="5" r:id="rId6"/>
    <sheet name="QueCargar" sheetId="6" r:id="rId7"/>
    <sheet name="Semaforo" sheetId="11" r:id="rId8"/>
    <sheet name="Escenarios" sheetId="7" r:id="rId9"/>
    <sheet name="Capacidad" sheetId="12" r:id="rId10"/>
    <sheet name="KPIs" sheetId="8" r:id="rId11"/>
    <sheet name="Proveedores" sheetId="9" r:id="rId12"/>
    <sheet name="MercadoPY" sheetId="13" r:id="rId13"/>
    <sheet name="Glosario" sheetId="14" r:id="rId14"/>
  </sheets>
  <definedNames>
    <definedName name="AtrasoDias">Parametros!$B$10</definedName>
    <definedName name="CajasBO">Parametros!$D$15</definedName>
    <definedName name="CajasBR">Parametros!$B$15</definedName>
    <definedName name="CajasOrigen">Parametros!$B$15:$D$15</definedName>
    <definedName name="CajasProm">Parametros!$B$11</definedName>
    <definedName name="CajasPY">Parametros!$C$15</definedName>
    <definedName name="CapFisica">Parametros!$B$59</definedName>
    <definedName name="CapMadurar">Parametros!$B$58</definedName>
    <definedName name="CepeaKg">Parametros!$B$21</definedName>
    <definedName name="CgCajas">Cargas!$H$5:$H$300</definedName>
    <definedName name="CgCarga">Cargas!$B$5:$B$300</definedName>
    <definedName name="CgCosto">Cargas!$P$5:$P$300</definedName>
    <definedName name="CgCuenta">Cargas!$N$5:$N$300</definedName>
    <definedName name="CgEstado">Cargas!$I$5:$I$300</definedName>
    <definedName name="CgOrigen">Cargas!$D$5:$D$300</definedName>
    <definedName name="CgOTIF">Cargas!$U$5:$U$300</definedName>
    <definedName name="CgPipeline">Cargas!$T$5:$T$300</definedName>
    <definedName name="CgProductor">Cargas!$E$5:$E$300</definedName>
    <definedName name="CgSemana">Cargas!$M$5:$M$300</definedName>
    <definedName name="CgSemanaP90">Cargas!$S$5:$S$300</definedName>
    <definedName name="CoberturaObjetivo">Parametros!$B$6</definedName>
    <definedName name="ConteoBO">Parametros!$D$16</definedName>
    <definedName name="ConteoBR">Parametros!$B$16</definedName>
    <definedName name="ConteoPY">Parametros!$C$16</definedName>
    <definedName name="ConteoTotal">Parametros!$E$16</definedName>
    <definedName name="CostoBO">Parametros!$D$33</definedName>
    <definedName name="CostoBR">Parametros!$B$33</definedName>
    <definedName name="CostoOrigen">Parametros!$B$33:$D$33</definedName>
    <definedName name="CostoPY">Parametros!$C$33</definedName>
    <definedName name="DemSemana">Demanda!$A$6:$A$18</definedName>
    <definedName name="DemVenta">Demanda!$H$6:$H$18</definedName>
    <definedName name="DiasMadurar">Parametros!$B$46</definedName>
    <definedName name="DiasVenta">Parametros!$B$7</definedName>
    <definedName name="EstacTabla">Parametros!$A$36:$B$40</definedName>
    <definedName name="FactorEscenario">Parametros!$B$9</definedName>
    <definedName name="FechaConteo">Parametros!$B$3</definedName>
    <definedName name="FechaHoy">Parametros!$B$4</definedName>
    <definedName name="HistSemana">Demanda!$A$22:$A$33</definedName>
    <definedName name="HistTotal">Demanda!$G$22:$G$33</definedName>
    <definedName name="KgCaja">Parametros!$B$22</definedName>
    <definedName name="LagBO">Parametros!$D$14</definedName>
    <definedName name="LagBR">Parametros!$B$14</definedName>
    <definedName name="LagPY">Parametros!$C$14</definedName>
    <definedName name="Lags">Parametros!$B$14:$D$14</definedName>
    <definedName name="LagsP90">Parametros!$B$45:$D$45</definedName>
    <definedName name="MinimoSabado">Parametros!$B$5</definedName>
    <definedName name="MinSugerido">Parametros!$B$52</definedName>
    <definedName name="Origenes">Parametros!$B$13:$D$13</definedName>
    <definedName name="PrACargar">Proyeccion!$K$6:$K$18</definedName>
    <definedName name="PrBO">Proyeccion!$S$6:$S$18</definedName>
    <definedName name="PrBOd">Proyeccion!$T$6:$T$18</definedName>
    <definedName name="PrBR">Proyeccion!$O$6:$O$18</definedName>
    <definedName name="PrBRd">Proyeccion!$P$6:$P$18</definedName>
    <definedName name="PrCamiones">Proyeccion!$D$6:$D$18</definedName>
    <definedName name="PrCobertura">Proyeccion!$M$6:$M$18</definedName>
    <definedName name="PrecioBR_BRL">Parametros!$B$25</definedName>
    <definedName name="PrEstado">Proyeccion!$N$6:$N$18</definedName>
    <definedName name="PrLimite">Proyeccion!$J$6:$J$18</definedName>
    <definedName name="PrProy">Proyeccion!$I$6:$I$18</definedName>
    <definedName name="PrPY">Proyeccion!$Q$6:$Q$18</definedName>
    <definedName name="PrPYd">Proyeccion!$R$6:$R$18</definedName>
    <definedName name="PrSab">Proyeccion!$B$6:$B$18</definedName>
    <definedName name="PrSemana">Proyeccion!$A$6:$A$18</definedName>
    <definedName name="PrStock">Proyeccion!$L$6:$L$18</definedName>
    <definedName name="PrVenta">Proyeccion!$F$6:$F$18</definedName>
    <definedName name="PYG_Caja">Parametros!$B$27</definedName>
    <definedName name="ServiciosCaja">Parametros!$B$23</definedName>
    <definedName name="SigmaVenta">Parametros!$B$50</definedName>
    <definedName name="SSsugerido">Parametros!$B$51</definedName>
    <definedName name="SupBR">Parametros!$B$63</definedName>
    <definedName name="SupPY">Parametros!$B$62</definedName>
    <definedName name="TC_BRL">Parametros!$B$26</definedName>
    <definedName name="TC_PYG">Parametros!$B$28</definedName>
    <definedName name="VidaVerde">Parametros!$B$47</definedName>
    <definedName name="Zserv">Parametros!$B$49</definedName>
  </definedNames>
  <calcPr calcId="191029"/>
</workbook>
</file>

<file path=xl/calcChain.xml><?xml version="1.0" encoding="utf-8"?>
<calcChain xmlns="http://schemas.openxmlformats.org/spreadsheetml/2006/main">
  <c r="B25" i="8" l="1"/>
  <c r="B18" i="8"/>
  <c r="B17" i="8"/>
  <c r="B16" i="8"/>
  <c r="I18" i="12"/>
  <c r="J18" i="12" s="1"/>
  <c r="K17" i="12"/>
  <c r="J17" i="12"/>
  <c r="I17" i="12"/>
  <c r="I16" i="12"/>
  <c r="I15" i="12"/>
  <c r="J14" i="12"/>
  <c r="I14" i="12"/>
  <c r="K14" i="12" s="1"/>
  <c r="I13" i="12"/>
  <c r="K13" i="12" s="1"/>
  <c r="I12" i="12"/>
  <c r="K12" i="12" s="1"/>
  <c r="K11" i="12"/>
  <c r="I11" i="12"/>
  <c r="J11" i="12" s="1"/>
  <c r="K10" i="12"/>
  <c r="I10" i="12"/>
  <c r="J10" i="12" s="1"/>
  <c r="I9" i="12"/>
  <c r="K9" i="12" s="1"/>
  <c r="I8" i="12"/>
  <c r="I7" i="12"/>
  <c r="K7" i="12" s="1"/>
  <c r="K6" i="12"/>
  <c r="J6" i="12"/>
  <c r="I6" i="12"/>
  <c r="A18" i="5"/>
  <c r="A17" i="5"/>
  <c r="A16" i="5"/>
  <c r="A16" i="7" s="1"/>
  <c r="A15" i="5"/>
  <c r="A14" i="5"/>
  <c r="A13" i="5"/>
  <c r="A13" i="12" s="1"/>
  <c r="A12" i="5"/>
  <c r="A12" i="7" s="1"/>
  <c r="B11" i="5"/>
  <c r="J11" i="5" s="1"/>
  <c r="A11" i="5"/>
  <c r="A10" i="5"/>
  <c r="A10" i="7" s="1"/>
  <c r="A9" i="5"/>
  <c r="B9" i="5" s="1"/>
  <c r="A8" i="5"/>
  <c r="A7" i="5"/>
  <c r="H6" i="5"/>
  <c r="B6" i="5"/>
  <c r="A6" i="5"/>
  <c r="U300" i="4"/>
  <c r="T300" i="4"/>
  <c r="R300" i="4"/>
  <c r="S300" i="4" s="1"/>
  <c r="O300" i="4"/>
  <c r="M300" i="4"/>
  <c r="L300" i="4"/>
  <c r="N300" i="4" s="1"/>
  <c r="K300" i="4"/>
  <c r="H300" i="4"/>
  <c r="P300" i="4" s="1"/>
  <c r="C300" i="4"/>
  <c r="A300" i="4"/>
  <c r="U299" i="4"/>
  <c r="T299" i="4"/>
  <c r="S299" i="4"/>
  <c r="R299" i="4"/>
  <c r="P299" i="4"/>
  <c r="O299" i="4"/>
  <c r="L299" i="4"/>
  <c r="K299" i="4"/>
  <c r="H299" i="4"/>
  <c r="C299" i="4"/>
  <c r="A299" i="4"/>
  <c r="U298" i="4"/>
  <c r="T298" i="4"/>
  <c r="R298" i="4"/>
  <c r="S298" i="4" s="1"/>
  <c r="O298" i="4"/>
  <c r="L298" i="4"/>
  <c r="K298" i="4"/>
  <c r="H298" i="4"/>
  <c r="P298" i="4" s="1"/>
  <c r="C298" i="4"/>
  <c r="A298" i="4"/>
  <c r="U297" i="4"/>
  <c r="T297" i="4"/>
  <c r="R297" i="4"/>
  <c r="S297" i="4" s="1"/>
  <c r="O297" i="4"/>
  <c r="M297" i="4"/>
  <c r="L297" i="4"/>
  <c r="N297" i="4" s="1"/>
  <c r="K297" i="4"/>
  <c r="H297" i="4"/>
  <c r="P297" i="4" s="1"/>
  <c r="C297" i="4"/>
  <c r="A297" i="4"/>
  <c r="U296" i="4"/>
  <c r="T296" i="4"/>
  <c r="S296" i="4"/>
  <c r="R296" i="4"/>
  <c r="O296" i="4"/>
  <c r="L296" i="4"/>
  <c r="M296" i="4" s="1"/>
  <c r="K296" i="4"/>
  <c r="H296" i="4"/>
  <c r="P296" i="4" s="1"/>
  <c r="C296" i="4"/>
  <c r="A296" i="4"/>
  <c r="U295" i="4"/>
  <c r="T295" i="4"/>
  <c r="R295" i="4"/>
  <c r="S295" i="4" s="1"/>
  <c r="O295" i="4"/>
  <c r="L295" i="4"/>
  <c r="N295" i="4" s="1"/>
  <c r="K295" i="4"/>
  <c r="H295" i="4"/>
  <c r="P295" i="4" s="1"/>
  <c r="C295" i="4"/>
  <c r="A295" i="4"/>
  <c r="U294" i="4"/>
  <c r="T294" i="4"/>
  <c r="R294" i="4"/>
  <c r="S294" i="4" s="1"/>
  <c r="O294" i="4"/>
  <c r="L294" i="4"/>
  <c r="K294" i="4"/>
  <c r="H294" i="4"/>
  <c r="P294" i="4" s="1"/>
  <c r="C294" i="4"/>
  <c r="A294" i="4"/>
  <c r="U293" i="4"/>
  <c r="T293" i="4"/>
  <c r="R293" i="4"/>
  <c r="S293" i="4" s="1"/>
  <c r="O293" i="4"/>
  <c r="N293" i="4"/>
  <c r="M293" i="4"/>
  <c r="L293" i="4"/>
  <c r="K293" i="4"/>
  <c r="H293" i="4"/>
  <c r="P293" i="4" s="1"/>
  <c r="C293" i="4"/>
  <c r="A293" i="4"/>
  <c r="U292" i="4"/>
  <c r="T292" i="4"/>
  <c r="S292" i="4"/>
  <c r="R292" i="4"/>
  <c r="O292" i="4"/>
  <c r="N292" i="4"/>
  <c r="M292" i="4"/>
  <c r="L292" i="4"/>
  <c r="K292" i="4"/>
  <c r="H292" i="4"/>
  <c r="P292" i="4" s="1"/>
  <c r="C292" i="4"/>
  <c r="A292" i="4"/>
  <c r="U291" i="4"/>
  <c r="T291" i="4"/>
  <c r="S291" i="4"/>
  <c r="R291" i="4"/>
  <c r="P291" i="4"/>
  <c r="O291" i="4"/>
  <c r="L291" i="4"/>
  <c r="K291" i="4"/>
  <c r="H291" i="4"/>
  <c r="C291" i="4"/>
  <c r="A291" i="4"/>
  <c r="U290" i="4"/>
  <c r="T290" i="4"/>
  <c r="R290" i="4"/>
  <c r="S290" i="4" s="1"/>
  <c r="P290" i="4"/>
  <c r="O290" i="4"/>
  <c r="L290" i="4"/>
  <c r="K290" i="4"/>
  <c r="H290" i="4"/>
  <c r="C290" i="4"/>
  <c r="A290" i="4"/>
  <c r="U289" i="4"/>
  <c r="T289" i="4"/>
  <c r="R289" i="4"/>
  <c r="S289" i="4" s="1"/>
  <c r="O289" i="4"/>
  <c r="N289" i="4"/>
  <c r="M289" i="4"/>
  <c r="L289" i="4"/>
  <c r="K289" i="4"/>
  <c r="H289" i="4"/>
  <c r="P289" i="4" s="1"/>
  <c r="C289" i="4"/>
  <c r="A289" i="4"/>
  <c r="U288" i="4"/>
  <c r="T288" i="4"/>
  <c r="S288" i="4"/>
  <c r="R288" i="4"/>
  <c r="O288" i="4"/>
  <c r="L288" i="4"/>
  <c r="M288" i="4" s="1"/>
  <c r="K288" i="4"/>
  <c r="H288" i="4"/>
  <c r="P288" i="4" s="1"/>
  <c r="C288" i="4"/>
  <c r="A288" i="4"/>
  <c r="U287" i="4"/>
  <c r="T287" i="4"/>
  <c r="R287" i="4"/>
  <c r="S287" i="4" s="1"/>
  <c r="P287" i="4"/>
  <c r="O287" i="4"/>
  <c r="L287" i="4"/>
  <c r="K287" i="4"/>
  <c r="H287" i="4"/>
  <c r="C287" i="4"/>
  <c r="A287" i="4"/>
  <c r="U286" i="4"/>
  <c r="T286" i="4"/>
  <c r="R286" i="4"/>
  <c r="S286" i="4" s="1"/>
  <c r="O286" i="4"/>
  <c r="L286" i="4"/>
  <c r="K286" i="4"/>
  <c r="H286" i="4"/>
  <c r="P286" i="4" s="1"/>
  <c r="C286" i="4"/>
  <c r="A286" i="4"/>
  <c r="U285" i="4"/>
  <c r="T285" i="4"/>
  <c r="R285" i="4"/>
  <c r="S285" i="4" s="1"/>
  <c r="O285" i="4"/>
  <c r="M285" i="4"/>
  <c r="L285" i="4"/>
  <c r="N285" i="4" s="1"/>
  <c r="K285" i="4"/>
  <c r="H285" i="4"/>
  <c r="P285" i="4" s="1"/>
  <c r="C285" i="4"/>
  <c r="A285" i="4"/>
  <c r="U284" i="4"/>
  <c r="T284" i="4"/>
  <c r="S284" i="4"/>
  <c r="R284" i="4"/>
  <c r="O284" i="4"/>
  <c r="L284" i="4"/>
  <c r="N284" i="4" s="1"/>
  <c r="K284" i="4"/>
  <c r="H284" i="4"/>
  <c r="P284" i="4" s="1"/>
  <c r="C284" i="4"/>
  <c r="A284" i="4"/>
  <c r="U283" i="4"/>
  <c r="T283" i="4"/>
  <c r="R283" i="4"/>
  <c r="S283" i="4" s="1"/>
  <c r="O283" i="4"/>
  <c r="L283" i="4"/>
  <c r="K283" i="4"/>
  <c r="H283" i="4"/>
  <c r="P283" i="4" s="1"/>
  <c r="C283" i="4"/>
  <c r="A283" i="4"/>
  <c r="U282" i="4"/>
  <c r="T282" i="4"/>
  <c r="R282" i="4"/>
  <c r="S282" i="4" s="1"/>
  <c r="P282" i="4"/>
  <c r="O282" i="4"/>
  <c r="L282" i="4"/>
  <c r="N282" i="4" s="1"/>
  <c r="K282" i="4"/>
  <c r="H282" i="4"/>
  <c r="C282" i="4"/>
  <c r="A282" i="4"/>
  <c r="U281" i="4"/>
  <c r="T281" i="4"/>
  <c r="R281" i="4"/>
  <c r="S281" i="4" s="1"/>
  <c r="O281" i="4"/>
  <c r="L281" i="4"/>
  <c r="N281" i="4" s="1"/>
  <c r="K281" i="4"/>
  <c r="H281" i="4"/>
  <c r="P281" i="4" s="1"/>
  <c r="C281" i="4"/>
  <c r="A281" i="4"/>
  <c r="U280" i="4"/>
  <c r="T280" i="4"/>
  <c r="R280" i="4"/>
  <c r="S280" i="4" s="1"/>
  <c r="O280" i="4"/>
  <c r="L280" i="4"/>
  <c r="M280" i="4" s="1"/>
  <c r="K280" i="4"/>
  <c r="H280" i="4"/>
  <c r="P280" i="4" s="1"/>
  <c r="C280" i="4"/>
  <c r="A280" i="4"/>
  <c r="U279" i="4"/>
  <c r="T279" i="4"/>
  <c r="R279" i="4"/>
  <c r="S279" i="4" s="1"/>
  <c r="P279" i="4"/>
  <c r="O279" i="4"/>
  <c r="L279" i="4"/>
  <c r="K279" i="4"/>
  <c r="H279" i="4"/>
  <c r="C279" i="4"/>
  <c r="A279" i="4"/>
  <c r="U278" i="4"/>
  <c r="T278" i="4"/>
  <c r="R278" i="4"/>
  <c r="S278" i="4" s="1"/>
  <c r="O278" i="4"/>
  <c r="L278" i="4"/>
  <c r="N278" i="4" s="1"/>
  <c r="K278" i="4"/>
  <c r="H278" i="4"/>
  <c r="P278" i="4" s="1"/>
  <c r="C278" i="4"/>
  <c r="A278" i="4"/>
  <c r="U277" i="4"/>
  <c r="T277" i="4"/>
  <c r="R277" i="4"/>
  <c r="S277" i="4" s="1"/>
  <c r="O277" i="4"/>
  <c r="N277" i="4"/>
  <c r="L277" i="4"/>
  <c r="M277" i="4" s="1"/>
  <c r="K277" i="4"/>
  <c r="H277" i="4"/>
  <c r="P277" i="4" s="1"/>
  <c r="C277" i="4"/>
  <c r="A277" i="4"/>
  <c r="U276" i="4"/>
  <c r="T276" i="4"/>
  <c r="R276" i="4"/>
  <c r="S276" i="4" s="1"/>
  <c r="O276" i="4"/>
  <c r="N276" i="4"/>
  <c r="M276" i="4"/>
  <c r="L276" i="4"/>
  <c r="K276" i="4"/>
  <c r="H276" i="4"/>
  <c r="P276" i="4" s="1"/>
  <c r="C276" i="4"/>
  <c r="A276" i="4"/>
  <c r="U275" i="4"/>
  <c r="T275" i="4"/>
  <c r="S275" i="4"/>
  <c r="R275" i="4"/>
  <c r="P275" i="4"/>
  <c r="O275" i="4"/>
  <c r="L275" i="4"/>
  <c r="N275" i="4" s="1"/>
  <c r="K275" i="4"/>
  <c r="H275" i="4"/>
  <c r="C275" i="4"/>
  <c r="A275" i="4"/>
  <c r="U274" i="4"/>
  <c r="T274" i="4"/>
  <c r="R274" i="4"/>
  <c r="S274" i="4" s="1"/>
  <c r="O274" i="4"/>
  <c r="L274" i="4"/>
  <c r="N274" i="4" s="1"/>
  <c r="K274" i="4"/>
  <c r="H274" i="4"/>
  <c r="P274" i="4" s="1"/>
  <c r="C274" i="4"/>
  <c r="A274" i="4"/>
  <c r="U273" i="4"/>
  <c r="T273" i="4"/>
  <c r="R273" i="4"/>
  <c r="S273" i="4" s="1"/>
  <c r="O273" i="4"/>
  <c r="L273" i="4"/>
  <c r="N273" i="4" s="1"/>
  <c r="K273" i="4"/>
  <c r="H273" i="4"/>
  <c r="P273" i="4" s="1"/>
  <c r="C273" i="4"/>
  <c r="A273" i="4"/>
  <c r="U272" i="4"/>
  <c r="T272" i="4"/>
  <c r="R272" i="4"/>
  <c r="S272" i="4" s="1"/>
  <c r="O272" i="4"/>
  <c r="L272" i="4"/>
  <c r="M272" i="4" s="1"/>
  <c r="K272" i="4"/>
  <c r="H272" i="4"/>
  <c r="P272" i="4" s="1"/>
  <c r="C272" i="4"/>
  <c r="A272" i="4"/>
  <c r="U271" i="4"/>
  <c r="T271" i="4"/>
  <c r="R271" i="4"/>
  <c r="S271" i="4" s="1"/>
  <c r="O271" i="4"/>
  <c r="L271" i="4"/>
  <c r="N271" i="4" s="1"/>
  <c r="K271" i="4"/>
  <c r="H271" i="4"/>
  <c r="P271" i="4" s="1"/>
  <c r="C271" i="4"/>
  <c r="A271" i="4"/>
  <c r="U270" i="4"/>
  <c r="T270" i="4"/>
  <c r="R270" i="4"/>
  <c r="S270" i="4" s="1"/>
  <c r="O270" i="4"/>
  <c r="L270" i="4"/>
  <c r="N270" i="4" s="1"/>
  <c r="K270" i="4"/>
  <c r="H270" i="4"/>
  <c r="P270" i="4" s="1"/>
  <c r="C270" i="4"/>
  <c r="A270" i="4"/>
  <c r="U269" i="4"/>
  <c r="T269" i="4"/>
  <c r="R269" i="4"/>
  <c r="S269" i="4" s="1"/>
  <c r="P269" i="4"/>
  <c r="O269" i="4"/>
  <c r="M269" i="4"/>
  <c r="L269" i="4"/>
  <c r="N269" i="4" s="1"/>
  <c r="K269" i="4"/>
  <c r="H269" i="4"/>
  <c r="C269" i="4"/>
  <c r="A269" i="4"/>
  <c r="U268" i="4"/>
  <c r="T268" i="4"/>
  <c r="S268" i="4"/>
  <c r="R268" i="4"/>
  <c r="O268" i="4"/>
  <c r="L268" i="4"/>
  <c r="K268" i="4"/>
  <c r="H268" i="4"/>
  <c r="P268" i="4" s="1"/>
  <c r="C268" i="4"/>
  <c r="A268" i="4"/>
  <c r="U267" i="4"/>
  <c r="T267" i="4"/>
  <c r="R267" i="4"/>
  <c r="S267" i="4" s="1"/>
  <c r="O267" i="4"/>
  <c r="N267" i="4"/>
  <c r="M267" i="4"/>
  <c r="L267" i="4"/>
  <c r="K267" i="4"/>
  <c r="H267" i="4"/>
  <c r="P267" i="4" s="1"/>
  <c r="C267" i="4"/>
  <c r="A267" i="4"/>
  <c r="U266" i="4"/>
  <c r="T266" i="4"/>
  <c r="S266" i="4"/>
  <c r="R266" i="4"/>
  <c r="P266" i="4"/>
  <c r="O266" i="4"/>
  <c r="L266" i="4"/>
  <c r="N266" i="4" s="1"/>
  <c r="K266" i="4"/>
  <c r="H266" i="4"/>
  <c r="C266" i="4"/>
  <c r="A266" i="4"/>
  <c r="U265" i="4"/>
  <c r="T265" i="4"/>
  <c r="R265" i="4"/>
  <c r="S265" i="4" s="1"/>
  <c r="O265" i="4"/>
  <c r="L265" i="4"/>
  <c r="N265" i="4" s="1"/>
  <c r="K265" i="4"/>
  <c r="H265" i="4"/>
  <c r="P265" i="4" s="1"/>
  <c r="C265" i="4"/>
  <c r="A265" i="4"/>
  <c r="U264" i="4"/>
  <c r="T264" i="4"/>
  <c r="R264" i="4"/>
  <c r="S264" i="4" s="1"/>
  <c r="P264" i="4"/>
  <c r="O264" i="4"/>
  <c r="M264" i="4"/>
  <c r="L264" i="4"/>
  <c r="N264" i="4" s="1"/>
  <c r="K264" i="4"/>
  <c r="H264" i="4"/>
  <c r="C264" i="4"/>
  <c r="A264" i="4"/>
  <c r="U263" i="4"/>
  <c r="T263" i="4"/>
  <c r="S263" i="4"/>
  <c r="R263" i="4"/>
  <c r="O263" i="4"/>
  <c r="L263" i="4"/>
  <c r="N263" i="4" s="1"/>
  <c r="K263" i="4"/>
  <c r="H263" i="4"/>
  <c r="P263" i="4" s="1"/>
  <c r="C263" i="4"/>
  <c r="A263" i="4"/>
  <c r="U262" i="4"/>
  <c r="T262" i="4"/>
  <c r="R262" i="4"/>
  <c r="S262" i="4" s="1"/>
  <c r="O262" i="4"/>
  <c r="L262" i="4"/>
  <c r="N262" i="4" s="1"/>
  <c r="K262" i="4"/>
  <c r="H262" i="4"/>
  <c r="P262" i="4" s="1"/>
  <c r="C262" i="4"/>
  <c r="A262" i="4"/>
  <c r="U261" i="4"/>
  <c r="T261" i="4"/>
  <c r="R261" i="4"/>
  <c r="S261" i="4" s="1"/>
  <c r="P261" i="4"/>
  <c r="O261" i="4"/>
  <c r="N261" i="4"/>
  <c r="L261" i="4"/>
  <c r="M261" i="4" s="1"/>
  <c r="K261" i="4"/>
  <c r="H261" i="4"/>
  <c r="C261" i="4"/>
  <c r="A261" i="4"/>
  <c r="U260" i="4"/>
  <c r="T260" i="4"/>
  <c r="R260" i="4"/>
  <c r="S260" i="4" s="1"/>
  <c r="O260" i="4"/>
  <c r="L260" i="4"/>
  <c r="K260" i="4"/>
  <c r="H260" i="4"/>
  <c r="P260" i="4" s="1"/>
  <c r="C260" i="4"/>
  <c r="A260" i="4"/>
  <c r="U259" i="4"/>
  <c r="T259" i="4"/>
  <c r="R259" i="4"/>
  <c r="S259" i="4" s="1"/>
  <c r="O259" i="4"/>
  <c r="L259" i="4"/>
  <c r="N259" i="4" s="1"/>
  <c r="K259" i="4"/>
  <c r="H259" i="4"/>
  <c r="P259" i="4" s="1"/>
  <c r="C259" i="4"/>
  <c r="A259" i="4"/>
  <c r="U258" i="4"/>
  <c r="T258" i="4"/>
  <c r="R258" i="4"/>
  <c r="S258" i="4" s="1"/>
  <c r="P258" i="4"/>
  <c r="O258" i="4"/>
  <c r="L258" i="4"/>
  <c r="N258" i="4" s="1"/>
  <c r="K258" i="4"/>
  <c r="H258" i="4"/>
  <c r="C258" i="4"/>
  <c r="A258" i="4"/>
  <c r="U257" i="4"/>
  <c r="T257" i="4"/>
  <c r="R257" i="4"/>
  <c r="S257" i="4" s="1"/>
  <c r="O257" i="4"/>
  <c r="L257" i="4"/>
  <c r="N257" i="4" s="1"/>
  <c r="K257" i="4"/>
  <c r="H257" i="4"/>
  <c r="P257" i="4" s="1"/>
  <c r="C257" i="4"/>
  <c r="A257" i="4"/>
  <c r="U256" i="4"/>
  <c r="T256" i="4"/>
  <c r="R256" i="4"/>
  <c r="S256" i="4" s="1"/>
  <c r="P256" i="4"/>
  <c r="O256" i="4"/>
  <c r="N256" i="4"/>
  <c r="L256" i="4"/>
  <c r="M256" i="4" s="1"/>
  <c r="K256" i="4"/>
  <c r="H256" i="4"/>
  <c r="C256" i="4"/>
  <c r="A256" i="4"/>
  <c r="U255" i="4"/>
  <c r="T255" i="4"/>
  <c r="R255" i="4"/>
  <c r="S255" i="4" s="1"/>
  <c r="O255" i="4"/>
  <c r="L255" i="4"/>
  <c r="N255" i="4" s="1"/>
  <c r="K255" i="4"/>
  <c r="H255" i="4"/>
  <c r="P255" i="4" s="1"/>
  <c r="C255" i="4"/>
  <c r="A255" i="4"/>
  <c r="U254" i="4"/>
  <c r="T254" i="4"/>
  <c r="R254" i="4"/>
  <c r="S254" i="4" s="1"/>
  <c r="O254" i="4"/>
  <c r="L254" i="4"/>
  <c r="N254" i="4" s="1"/>
  <c r="K254" i="4"/>
  <c r="H254" i="4"/>
  <c r="P254" i="4" s="1"/>
  <c r="C254" i="4"/>
  <c r="A254" i="4"/>
  <c r="U253" i="4"/>
  <c r="T253" i="4"/>
  <c r="R253" i="4"/>
  <c r="S253" i="4" s="1"/>
  <c r="P253" i="4"/>
  <c r="O253" i="4"/>
  <c r="N253" i="4"/>
  <c r="L253" i="4"/>
  <c r="M253" i="4" s="1"/>
  <c r="K253" i="4"/>
  <c r="H253" i="4"/>
  <c r="C253" i="4"/>
  <c r="A253" i="4"/>
  <c r="U252" i="4"/>
  <c r="T252" i="4"/>
  <c r="R252" i="4"/>
  <c r="S252" i="4" s="1"/>
  <c r="O252" i="4"/>
  <c r="L252" i="4"/>
  <c r="K252" i="4"/>
  <c r="H252" i="4"/>
  <c r="P252" i="4" s="1"/>
  <c r="C252" i="4"/>
  <c r="A252" i="4"/>
  <c r="U251" i="4"/>
  <c r="T251" i="4"/>
  <c r="R251" i="4"/>
  <c r="S251" i="4" s="1"/>
  <c r="O251" i="4"/>
  <c r="L251" i="4"/>
  <c r="N251" i="4" s="1"/>
  <c r="K251" i="4"/>
  <c r="H251" i="4"/>
  <c r="P251" i="4" s="1"/>
  <c r="C251" i="4"/>
  <c r="A251" i="4"/>
  <c r="U250" i="4"/>
  <c r="T250" i="4"/>
  <c r="R250" i="4"/>
  <c r="S250" i="4" s="1"/>
  <c r="P250" i="4"/>
  <c r="O250" i="4"/>
  <c r="L250" i="4"/>
  <c r="N250" i="4" s="1"/>
  <c r="K250" i="4"/>
  <c r="H250" i="4"/>
  <c r="C250" i="4"/>
  <c r="A250" i="4"/>
  <c r="U249" i="4"/>
  <c r="T249" i="4"/>
  <c r="R249" i="4"/>
  <c r="S249" i="4" s="1"/>
  <c r="O249" i="4"/>
  <c r="L249" i="4"/>
  <c r="N249" i="4" s="1"/>
  <c r="K249" i="4"/>
  <c r="H249" i="4"/>
  <c r="P249" i="4" s="1"/>
  <c r="C249" i="4"/>
  <c r="A249" i="4"/>
  <c r="U248" i="4"/>
  <c r="T248" i="4"/>
  <c r="R248" i="4"/>
  <c r="S248" i="4" s="1"/>
  <c r="P248" i="4"/>
  <c r="O248" i="4"/>
  <c r="L248" i="4"/>
  <c r="N248" i="4" s="1"/>
  <c r="K248" i="4"/>
  <c r="H248" i="4"/>
  <c r="C248" i="4"/>
  <c r="A248" i="4"/>
  <c r="U247" i="4"/>
  <c r="T247" i="4"/>
  <c r="R247" i="4"/>
  <c r="S247" i="4" s="1"/>
  <c r="O247" i="4"/>
  <c r="L247" i="4"/>
  <c r="N247" i="4" s="1"/>
  <c r="K247" i="4"/>
  <c r="H247" i="4"/>
  <c r="P247" i="4" s="1"/>
  <c r="C247" i="4"/>
  <c r="A247" i="4"/>
  <c r="U246" i="4"/>
  <c r="T246" i="4"/>
  <c r="R246" i="4"/>
  <c r="S246" i="4" s="1"/>
  <c r="P246" i="4"/>
  <c r="O246" i="4"/>
  <c r="L246" i="4"/>
  <c r="N246" i="4" s="1"/>
  <c r="K246" i="4"/>
  <c r="H246" i="4"/>
  <c r="C246" i="4"/>
  <c r="A246" i="4"/>
  <c r="U245" i="4"/>
  <c r="T245" i="4"/>
  <c r="R245" i="4"/>
  <c r="S245" i="4" s="1"/>
  <c r="P245" i="4"/>
  <c r="O245" i="4"/>
  <c r="L245" i="4"/>
  <c r="N245" i="4" s="1"/>
  <c r="K245" i="4"/>
  <c r="H245" i="4"/>
  <c r="C245" i="4"/>
  <c r="A245" i="4"/>
  <c r="U244" i="4"/>
  <c r="T244" i="4"/>
  <c r="R244" i="4"/>
  <c r="S244" i="4" s="1"/>
  <c r="O244" i="4"/>
  <c r="L244" i="4"/>
  <c r="K244" i="4"/>
  <c r="H244" i="4"/>
  <c r="P244" i="4" s="1"/>
  <c r="C244" i="4"/>
  <c r="A244" i="4"/>
  <c r="U243" i="4"/>
  <c r="T243" i="4"/>
  <c r="R243" i="4"/>
  <c r="S243" i="4" s="1"/>
  <c r="O243" i="4"/>
  <c r="N243" i="4"/>
  <c r="M243" i="4"/>
  <c r="L243" i="4"/>
  <c r="K243" i="4"/>
  <c r="H243" i="4"/>
  <c r="P243" i="4" s="1"/>
  <c r="C243" i="4"/>
  <c r="A243" i="4"/>
  <c r="U242" i="4"/>
  <c r="T242" i="4"/>
  <c r="S242" i="4"/>
  <c r="R242" i="4"/>
  <c r="O242" i="4"/>
  <c r="L242" i="4"/>
  <c r="N242" i="4" s="1"/>
  <c r="K242" i="4"/>
  <c r="H242" i="4"/>
  <c r="P242" i="4" s="1"/>
  <c r="C242" i="4"/>
  <c r="A242" i="4"/>
  <c r="U241" i="4"/>
  <c r="T241" i="4"/>
  <c r="R241" i="4"/>
  <c r="S241" i="4" s="1"/>
  <c r="O241" i="4"/>
  <c r="M241" i="4"/>
  <c r="L241" i="4"/>
  <c r="N241" i="4" s="1"/>
  <c r="K241" i="4"/>
  <c r="H241" i="4"/>
  <c r="P241" i="4" s="1"/>
  <c r="C241" i="4"/>
  <c r="A241" i="4"/>
  <c r="U240" i="4"/>
  <c r="T240" i="4"/>
  <c r="S240" i="4"/>
  <c r="R240" i="4"/>
  <c r="O240" i="4"/>
  <c r="L240" i="4"/>
  <c r="N240" i="4" s="1"/>
  <c r="K240" i="4"/>
  <c r="H240" i="4"/>
  <c r="P240" i="4" s="1"/>
  <c r="C240" i="4"/>
  <c r="A240" i="4"/>
  <c r="U239" i="4"/>
  <c r="T239" i="4"/>
  <c r="R239" i="4"/>
  <c r="S239" i="4" s="1"/>
  <c r="O239" i="4"/>
  <c r="M239" i="4"/>
  <c r="L239" i="4"/>
  <c r="N239" i="4" s="1"/>
  <c r="K239" i="4"/>
  <c r="H239" i="4"/>
  <c r="P239" i="4" s="1"/>
  <c r="C239" i="4"/>
  <c r="A239" i="4"/>
  <c r="U238" i="4"/>
  <c r="T238" i="4"/>
  <c r="S238" i="4"/>
  <c r="R238" i="4"/>
  <c r="O238" i="4"/>
  <c r="L238" i="4"/>
  <c r="N238" i="4" s="1"/>
  <c r="K238" i="4"/>
  <c r="H238" i="4"/>
  <c r="P238" i="4" s="1"/>
  <c r="C238" i="4"/>
  <c r="A238" i="4"/>
  <c r="U237" i="4"/>
  <c r="T237" i="4"/>
  <c r="R237" i="4"/>
  <c r="S237" i="4" s="1"/>
  <c r="P237" i="4"/>
  <c r="O237" i="4"/>
  <c r="M237" i="4"/>
  <c r="L237" i="4"/>
  <c r="N237" i="4" s="1"/>
  <c r="K237" i="4"/>
  <c r="H237" i="4"/>
  <c r="C237" i="4"/>
  <c r="A237" i="4"/>
  <c r="U236" i="4"/>
  <c r="T236" i="4"/>
  <c r="S236" i="4"/>
  <c r="R236" i="4"/>
  <c r="O236" i="4"/>
  <c r="L236" i="4"/>
  <c r="K236" i="4"/>
  <c r="H236" i="4"/>
  <c r="P236" i="4" s="1"/>
  <c r="C236" i="4"/>
  <c r="A236" i="4"/>
  <c r="U235" i="4"/>
  <c r="T235" i="4"/>
  <c r="R235" i="4"/>
  <c r="S235" i="4" s="1"/>
  <c r="O235" i="4"/>
  <c r="N235" i="4"/>
  <c r="M235" i="4"/>
  <c r="L235" i="4"/>
  <c r="K235" i="4"/>
  <c r="H235" i="4"/>
  <c r="P235" i="4" s="1"/>
  <c r="C235" i="4"/>
  <c r="A235" i="4"/>
  <c r="U234" i="4"/>
  <c r="T234" i="4"/>
  <c r="S234" i="4"/>
  <c r="R234" i="4"/>
  <c r="P234" i="4"/>
  <c r="O234" i="4"/>
  <c r="L234" i="4"/>
  <c r="N234" i="4" s="1"/>
  <c r="K234" i="4"/>
  <c r="H234" i="4"/>
  <c r="C234" i="4"/>
  <c r="A234" i="4"/>
  <c r="U233" i="4"/>
  <c r="T233" i="4"/>
  <c r="R233" i="4"/>
  <c r="S233" i="4" s="1"/>
  <c r="O233" i="4"/>
  <c r="L233" i="4"/>
  <c r="N233" i="4" s="1"/>
  <c r="K233" i="4"/>
  <c r="H233" i="4"/>
  <c r="P233" i="4" s="1"/>
  <c r="C233" i="4"/>
  <c r="A233" i="4"/>
  <c r="U232" i="4"/>
  <c r="T232" i="4"/>
  <c r="R232" i="4"/>
  <c r="S232" i="4" s="1"/>
  <c r="P232" i="4"/>
  <c r="O232" i="4"/>
  <c r="M232" i="4"/>
  <c r="L232" i="4"/>
  <c r="N232" i="4" s="1"/>
  <c r="K232" i="4"/>
  <c r="H232" i="4"/>
  <c r="C232" i="4"/>
  <c r="A232" i="4"/>
  <c r="U231" i="4"/>
  <c r="T231" i="4"/>
  <c r="S231" i="4"/>
  <c r="R231" i="4"/>
  <c r="O231" i="4"/>
  <c r="L231" i="4"/>
  <c r="N231" i="4" s="1"/>
  <c r="K231" i="4"/>
  <c r="H231" i="4"/>
  <c r="P231" i="4" s="1"/>
  <c r="C231" i="4"/>
  <c r="A231" i="4"/>
  <c r="U230" i="4"/>
  <c r="T230" i="4"/>
  <c r="R230" i="4"/>
  <c r="S230" i="4" s="1"/>
  <c r="O230" i="4"/>
  <c r="L230" i="4"/>
  <c r="N230" i="4" s="1"/>
  <c r="K230" i="4"/>
  <c r="H230" i="4"/>
  <c r="P230" i="4" s="1"/>
  <c r="C230" i="4"/>
  <c r="A230" i="4"/>
  <c r="U229" i="4"/>
  <c r="T229" i="4"/>
  <c r="R229" i="4"/>
  <c r="S229" i="4" s="1"/>
  <c r="O229" i="4"/>
  <c r="N229" i="4"/>
  <c r="M229" i="4"/>
  <c r="L229" i="4"/>
  <c r="K229" i="4"/>
  <c r="H229" i="4"/>
  <c r="P229" i="4" s="1"/>
  <c r="C229" i="4"/>
  <c r="A229" i="4"/>
  <c r="U228" i="4"/>
  <c r="T228" i="4"/>
  <c r="S228" i="4"/>
  <c r="R228" i="4"/>
  <c r="O228" i="4"/>
  <c r="L228" i="4"/>
  <c r="K228" i="4"/>
  <c r="H228" i="4"/>
  <c r="P228" i="4" s="1"/>
  <c r="C228" i="4"/>
  <c r="A228" i="4"/>
  <c r="U227" i="4"/>
  <c r="T227" i="4"/>
  <c r="R227" i="4"/>
  <c r="S227" i="4" s="1"/>
  <c r="P227" i="4"/>
  <c r="O227" i="4"/>
  <c r="M227" i="4"/>
  <c r="L227" i="4"/>
  <c r="N227" i="4" s="1"/>
  <c r="K227" i="4"/>
  <c r="H227" i="4"/>
  <c r="C227" i="4"/>
  <c r="A227" i="4"/>
  <c r="U226" i="4"/>
  <c r="T226" i="4"/>
  <c r="S226" i="4"/>
  <c r="R226" i="4"/>
  <c r="P226" i="4"/>
  <c r="O226" i="4"/>
  <c r="L226" i="4"/>
  <c r="N226" i="4" s="1"/>
  <c r="K226" i="4"/>
  <c r="H226" i="4"/>
  <c r="C226" i="4"/>
  <c r="A226" i="4"/>
  <c r="U225" i="4"/>
  <c r="T225" i="4"/>
  <c r="R225" i="4"/>
  <c r="S225" i="4" s="1"/>
  <c r="O225" i="4"/>
  <c r="L225" i="4"/>
  <c r="N225" i="4" s="1"/>
  <c r="K225" i="4"/>
  <c r="H225" i="4"/>
  <c r="P225" i="4" s="1"/>
  <c r="C225" i="4"/>
  <c r="A225" i="4"/>
  <c r="U224" i="4"/>
  <c r="T224" i="4"/>
  <c r="R224" i="4"/>
  <c r="S224" i="4" s="1"/>
  <c r="P224" i="4"/>
  <c r="O224" i="4"/>
  <c r="L224" i="4"/>
  <c r="N224" i="4" s="1"/>
  <c r="K224" i="4"/>
  <c r="H224" i="4"/>
  <c r="C224" i="4"/>
  <c r="A224" i="4"/>
  <c r="U223" i="4"/>
  <c r="T223" i="4"/>
  <c r="R223" i="4"/>
  <c r="S223" i="4" s="1"/>
  <c r="O223" i="4"/>
  <c r="L223" i="4"/>
  <c r="N223" i="4" s="1"/>
  <c r="K223" i="4"/>
  <c r="H223" i="4"/>
  <c r="P223" i="4" s="1"/>
  <c r="C223" i="4"/>
  <c r="A223" i="4"/>
  <c r="U222" i="4"/>
  <c r="T222" i="4"/>
  <c r="R222" i="4"/>
  <c r="S222" i="4" s="1"/>
  <c r="O222" i="4"/>
  <c r="L222" i="4"/>
  <c r="N222" i="4" s="1"/>
  <c r="K222" i="4"/>
  <c r="H222" i="4"/>
  <c r="P222" i="4" s="1"/>
  <c r="C222" i="4"/>
  <c r="A222" i="4"/>
  <c r="U221" i="4"/>
  <c r="T221" i="4"/>
  <c r="R221" i="4"/>
  <c r="S221" i="4" s="1"/>
  <c r="P221" i="4"/>
  <c r="O221" i="4"/>
  <c r="N221" i="4"/>
  <c r="L221" i="4"/>
  <c r="M221" i="4" s="1"/>
  <c r="K221" i="4"/>
  <c r="H221" i="4"/>
  <c r="C221" i="4"/>
  <c r="A221" i="4"/>
  <c r="U220" i="4"/>
  <c r="T220" i="4"/>
  <c r="R220" i="4"/>
  <c r="S220" i="4" s="1"/>
  <c r="O220" i="4"/>
  <c r="L220" i="4"/>
  <c r="K220" i="4"/>
  <c r="H220" i="4"/>
  <c r="P220" i="4" s="1"/>
  <c r="C220" i="4"/>
  <c r="A220" i="4"/>
  <c r="U219" i="4"/>
  <c r="T219" i="4"/>
  <c r="R219" i="4"/>
  <c r="S219" i="4" s="1"/>
  <c r="P219" i="4"/>
  <c r="O219" i="4"/>
  <c r="N219" i="4"/>
  <c r="L219" i="4"/>
  <c r="M219" i="4" s="1"/>
  <c r="K219" i="4"/>
  <c r="H219" i="4"/>
  <c r="C219" i="4"/>
  <c r="A219" i="4"/>
  <c r="U218" i="4"/>
  <c r="T218" i="4"/>
  <c r="R218" i="4"/>
  <c r="S218" i="4" s="1"/>
  <c r="O218" i="4"/>
  <c r="L218" i="4"/>
  <c r="N218" i="4" s="1"/>
  <c r="K218" i="4"/>
  <c r="H218" i="4"/>
  <c r="P218" i="4" s="1"/>
  <c r="C218" i="4"/>
  <c r="A218" i="4"/>
  <c r="U217" i="4"/>
  <c r="T217" i="4"/>
  <c r="R217" i="4"/>
  <c r="S217" i="4" s="1"/>
  <c r="O217" i="4"/>
  <c r="M217" i="4"/>
  <c r="L217" i="4"/>
  <c r="N217" i="4" s="1"/>
  <c r="K217" i="4"/>
  <c r="H217" i="4"/>
  <c r="P217" i="4" s="1"/>
  <c r="C217" i="4"/>
  <c r="A217" i="4"/>
  <c r="U216" i="4"/>
  <c r="T216" i="4"/>
  <c r="S216" i="4"/>
  <c r="R216" i="4"/>
  <c r="O216" i="4"/>
  <c r="L216" i="4"/>
  <c r="N216" i="4" s="1"/>
  <c r="K216" i="4"/>
  <c r="H216" i="4"/>
  <c r="P216" i="4" s="1"/>
  <c r="C216" i="4"/>
  <c r="A216" i="4"/>
  <c r="U215" i="4"/>
  <c r="T215" i="4"/>
  <c r="R215" i="4"/>
  <c r="S215" i="4" s="1"/>
  <c r="O215" i="4"/>
  <c r="M215" i="4"/>
  <c r="L215" i="4"/>
  <c r="N215" i="4" s="1"/>
  <c r="K215" i="4"/>
  <c r="H215" i="4"/>
  <c r="P215" i="4" s="1"/>
  <c r="C215" i="4"/>
  <c r="A215" i="4"/>
  <c r="U214" i="4"/>
  <c r="T214" i="4"/>
  <c r="S214" i="4"/>
  <c r="R214" i="4"/>
  <c r="O214" i="4"/>
  <c r="L214" i="4"/>
  <c r="N214" i="4" s="1"/>
  <c r="K214" i="4"/>
  <c r="H214" i="4"/>
  <c r="P214" i="4" s="1"/>
  <c r="C214" i="4"/>
  <c r="A214" i="4"/>
  <c r="U213" i="4"/>
  <c r="T213" i="4"/>
  <c r="R213" i="4"/>
  <c r="S213" i="4" s="1"/>
  <c r="O213" i="4"/>
  <c r="N213" i="4"/>
  <c r="M213" i="4"/>
  <c r="L213" i="4"/>
  <c r="K213" i="4"/>
  <c r="H213" i="4"/>
  <c r="P213" i="4" s="1"/>
  <c r="C213" i="4"/>
  <c r="A213" i="4"/>
  <c r="U212" i="4"/>
  <c r="T212" i="4"/>
  <c r="S212" i="4"/>
  <c r="R212" i="4"/>
  <c r="O212" i="4"/>
  <c r="L212" i="4"/>
  <c r="K212" i="4"/>
  <c r="H212" i="4"/>
  <c r="P212" i="4" s="1"/>
  <c r="C212" i="4"/>
  <c r="A212" i="4"/>
  <c r="U211" i="4"/>
  <c r="T211" i="4"/>
  <c r="R211" i="4"/>
  <c r="S211" i="4" s="1"/>
  <c r="P211" i="4"/>
  <c r="O211" i="4"/>
  <c r="L211" i="4"/>
  <c r="M211" i="4" s="1"/>
  <c r="K211" i="4"/>
  <c r="H211" i="4"/>
  <c r="C211" i="4"/>
  <c r="A211" i="4"/>
  <c r="U210" i="4"/>
  <c r="T210" i="4"/>
  <c r="R210" i="4"/>
  <c r="S210" i="4" s="1"/>
  <c r="O210" i="4"/>
  <c r="M210" i="4"/>
  <c r="L210" i="4"/>
  <c r="N210" i="4" s="1"/>
  <c r="K210" i="4"/>
  <c r="H210" i="4"/>
  <c r="P210" i="4" s="1"/>
  <c r="C210" i="4"/>
  <c r="A210" i="4"/>
  <c r="U209" i="4"/>
  <c r="T209" i="4"/>
  <c r="S209" i="4"/>
  <c r="R209" i="4"/>
  <c r="O209" i="4"/>
  <c r="L209" i="4"/>
  <c r="N209" i="4" s="1"/>
  <c r="K209" i="4"/>
  <c r="H209" i="4"/>
  <c r="P209" i="4" s="1"/>
  <c r="C209" i="4"/>
  <c r="A209" i="4"/>
  <c r="U208" i="4"/>
  <c r="T208" i="4"/>
  <c r="R208" i="4"/>
  <c r="S208" i="4" s="1"/>
  <c r="O208" i="4"/>
  <c r="N208" i="4"/>
  <c r="M208" i="4"/>
  <c r="L208" i="4"/>
  <c r="K208" i="4"/>
  <c r="H208" i="4"/>
  <c r="P208" i="4" s="1"/>
  <c r="C208" i="4"/>
  <c r="A208" i="4"/>
  <c r="U207" i="4"/>
  <c r="T207" i="4"/>
  <c r="S207" i="4"/>
  <c r="R207" i="4"/>
  <c r="O207" i="4"/>
  <c r="L207" i="4"/>
  <c r="N207" i="4" s="1"/>
  <c r="K207" i="4"/>
  <c r="H207" i="4"/>
  <c r="P207" i="4" s="1"/>
  <c r="C207" i="4"/>
  <c r="A207" i="4"/>
  <c r="U206" i="4"/>
  <c r="T206" i="4"/>
  <c r="R206" i="4"/>
  <c r="S206" i="4" s="1"/>
  <c r="O206" i="4"/>
  <c r="L206" i="4"/>
  <c r="N206" i="4" s="1"/>
  <c r="K206" i="4"/>
  <c r="H206" i="4"/>
  <c r="P206" i="4" s="1"/>
  <c r="C206" i="4"/>
  <c r="A206" i="4"/>
  <c r="U205" i="4"/>
  <c r="T205" i="4"/>
  <c r="R205" i="4"/>
  <c r="S205" i="4" s="1"/>
  <c r="O205" i="4"/>
  <c r="L205" i="4"/>
  <c r="N205" i="4" s="1"/>
  <c r="K205" i="4"/>
  <c r="H205" i="4"/>
  <c r="P205" i="4" s="1"/>
  <c r="C205" i="4"/>
  <c r="A205" i="4"/>
  <c r="U204" i="4"/>
  <c r="T204" i="4"/>
  <c r="R204" i="4"/>
  <c r="S204" i="4" s="1"/>
  <c r="O204" i="4"/>
  <c r="L204" i="4"/>
  <c r="K204" i="4"/>
  <c r="H204" i="4"/>
  <c r="P204" i="4" s="1"/>
  <c r="C204" i="4"/>
  <c r="A204" i="4"/>
  <c r="U203" i="4"/>
  <c r="T203" i="4"/>
  <c r="R203" i="4"/>
  <c r="S203" i="4" s="1"/>
  <c r="P203" i="4"/>
  <c r="O203" i="4"/>
  <c r="N203" i="4"/>
  <c r="L203" i="4"/>
  <c r="M203" i="4" s="1"/>
  <c r="K203" i="4"/>
  <c r="H203" i="4"/>
  <c r="C203" i="4"/>
  <c r="A203" i="4"/>
  <c r="U202" i="4"/>
  <c r="T202" i="4"/>
  <c r="R202" i="4"/>
  <c r="S202" i="4" s="1"/>
  <c r="P202" i="4"/>
  <c r="O202" i="4"/>
  <c r="L202" i="4"/>
  <c r="N202" i="4" s="1"/>
  <c r="K202" i="4"/>
  <c r="H202" i="4"/>
  <c r="C202" i="4"/>
  <c r="A202" i="4"/>
  <c r="U201" i="4"/>
  <c r="T201" i="4"/>
  <c r="R201" i="4"/>
  <c r="S201" i="4" s="1"/>
  <c r="O201" i="4"/>
  <c r="M201" i="4"/>
  <c r="L201" i="4"/>
  <c r="N201" i="4" s="1"/>
  <c r="K201" i="4"/>
  <c r="H201" i="4"/>
  <c r="P201" i="4" s="1"/>
  <c r="C201" i="4"/>
  <c r="A201" i="4"/>
  <c r="U200" i="4"/>
  <c r="T200" i="4"/>
  <c r="S200" i="4"/>
  <c r="R200" i="4"/>
  <c r="P200" i="4"/>
  <c r="O200" i="4"/>
  <c r="N200" i="4"/>
  <c r="L200" i="4"/>
  <c r="M200" i="4" s="1"/>
  <c r="K200" i="4"/>
  <c r="H200" i="4"/>
  <c r="C200" i="4"/>
  <c r="A200" i="4"/>
  <c r="U199" i="4"/>
  <c r="T199" i="4"/>
  <c r="R199" i="4"/>
  <c r="S199" i="4" s="1"/>
  <c r="O199" i="4"/>
  <c r="M199" i="4"/>
  <c r="L199" i="4"/>
  <c r="N199" i="4" s="1"/>
  <c r="K199" i="4"/>
  <c r="H199" i="4"/>
  <c r="P199" i="4" s="1"/>
  <c r="C199" i="4"/>
  <c r="A199" i="4"/>
  <c r="U198" i="4"/>
  <c r="T198" i="4"/>
  <c r="S198" i="4"/>
  <c r="R198" i="4"/>
  <c r="P198" i="4"/>
  <c r="O198" i="4"/>
  <c r="L198" i="4"/>
  <c r="N198" i="4" s="1"/>
  <c r="K198" i="4"/>
  <c r="H198" i="4"/>
  <c r="C198" i="4"/>
  <c r="A198" i="4"/>
  <c r="U197" i="4"/>
  <c r="T197" i="4"/>
  <c r="R197" i="4"/>
  <c r="S197" i="4" s="1"/>
  <c r="O197" i="4"/>
  <c r="L197" i="4"/>
  <c r="N197" i="4" s="1"/>
  <c r="K197" i="4"/>
  <c r="H197" i="4"/>
  <c r="P197" i="4" s="1"/>
  <c r="C197" i="4"/>
  <c r="A197" i="4"/>
  <c r="U196" i="4"/>
  <c r="T196" i="4"/>
  <c r="R196" i="4"/>
  <c r="S196" i="4" s="1"/>
  <c r="O196" i="4"/>
  <c r="L196" i="4"/>
  <c r="K196" i="4"/>
  <c r="H196" i="4"/>
  <c r="P196" i="4" s="1"/>
  <c r="C196" i="4"/>
  <c r="A196" i="4"/>
  <c r="U195" i="4"/>
  <c r="T195" i="4"/>
  <c r="R195" i="4"/>
  <c r="S195" i="4" s="1"/>
  <c r="P195" i="4"/>
  <c r="O195" i="4"/>
  <c r="N195" i="4"/>
  <c r="L195" i="4"/>
  <c r="M195" i="4" s="1"/>
  <c r="K195" i="4"/>
  <c r="H195" i="4"/>
  <c r="C195" i="4"/>
  <c r="A195" i="4"/>
  <c r="U194" i="4"/>
  <c r="T194" i="4"/>
  <c r="R194" i="4"/>
  <c r="S194" i="4" s="1"/>
  <c r="O194" i="4"/>
  <c r="N194" i="4"/>
  <c r="M194" i="4"/>
  <c r="L194" i="4"/>
  <c r="K194" i="4"/>
  <c r="H194" i="4"/>
  <c r="P194" i="4" s="1"/>
  <c r="C194" i="4"/>
  <c r="A194" i="4"/>
  <c r="U193" i="4"/>
  <c r="T193" i="4"/>
  <c r="S193" i="4"/>
  <c r="R193" i="4"/>
  <c r="O193" i="4"/>
  <c r="L193" i="4"/>
  <c r="N193" i="4" s="1"/>
  <c r="K193" i="4"/>
  <c r="H193" i="4"/>
  <c r="P193" i="4" s="1"/>
  <c r="C193" i="4"/>
  <c r="A193" i="4"/>
  <c r="U192" i="4"/>
  <c r="T192" i="4"/>
  <c r="R192" i="4"/>
  <c r="S192" i="4" s="1"/>
  <c r="O192" i="4"/>
  <c r="N192" i="4"/>
  <c r="M192" i="4"/>
  <c r="L192" i="4"/>
  <c r="K192" i="4"/>
  <c r="H192" i="4"/>
  <c r="P192" i="4" s="1"/>
  <c r="C192" i="4"/>
  <c r="A192" i="4"/>
  <c r="U191" i="4"/>
  <c r="T191" i="4"/>
  <c r="S191" i="4"/>
  <c r="R191" i="4"/>
  <c r="O191" i="4"/>
  <c r="L191" i="4"/>
  <c r="N191" i="4" s="1"/>
  <c r="K191" i="4"/>
  <c r="H191" i="4"/>
  <c r="P191" i="4" s="1"/>
  <c r="C191" i="4"/>
  <c r="A191" i="4"/>
  <c r="U190" i="4"/>
  <c r="T190" i="4"/>
  <c r="R190" i="4"/>
  <c r="S190" i="4" s="1"/>
  <c r="O190" i="4"/>
  <c r="L190" i="4"/>
  <c r="N190" i="4" s="1"/>
  <c r="K190" i="4"/>
  <c r="H190" i="4"/>
  <c r="P190" i="4" s="1"/>
  <c r="C190" i="4"/>
  <c r="A190" i="4"/>
  <c r="U189" i="4"/>
  <c r="T189" i="4"/>
  <c r="R189" i="4"/>
  <c r="S189" i="4" s="1"/>
  <c r="O189" i="4"/>
  <c r="N189" i="4"/>
  <c r="M189" i="4"/>
  <c r="L189" i="4"/>
  <c r="K189" i="4"/>
  <c r="H189" i="4"/>
  <c r="P189" i="4" s="1"/>
  <c r="C189" i="4"/>
  <c r="A189" i="4"/>
  <c r="U188" i="4"/>
  <c r="T188" i="4"/>
  <c r="S188" i="4"/>
  <c r="R188" i="4"/>
  <c r="O188" i="4"/>
  <c r="L188" i="4"/>
  <c r="K188" i="4"/>
  <c r="H188" i="4"/>
  <c r="P188" i="4" s="1"/>
  <c r="C188" i="4"/>
  <c r="A188" i="4"/>
  <c r="U187" i="4"/>
  <c r="T187" i="4"/>
  <c r="R187" i="4"/>
  <c r="S187" i="4" s="1"/>
  <c r="P187" i="4"/>
  <c r="O187" i="4"/>
  <c r="L187" i="4"/>
  <c r="M187" i="4" s="1"/>
  <c r="K187" i="4"/>
  <c r="H187" i="4"/>
  <c r="C187" i="4"/>
  <c r="A187" i="4"/>
  <c r="U186" i="4"/>
  <c r="T186" i="4"/>
  <c r="R186" i="4"/>
  <c r="S186" i="4" s="1"/>
  <c r="O186" i="4"/>
  <c r="M186" i="4"/>
  <c r="L186" i="4"/>
  <c r="N186" i="4" s="1"/>
  <c r="K186" i="4"/>
  <c r="H186" i="4"/>
  <c r="P186" i="4" s="1"/>
  <c r="C186" i="4"/>
  <c r="A186" i="4"/>
  <c r="U185" i="4"/>
  <c r="T185" i="4"/>
  <c r="S185" i="4"/>
  <c r="R185" i="4"/>
  <c r="O185" i="4"/>
  <c r="L185" i="4"/>
  <c r="N185" i="4" s="1"/>
  <c r="K185" i="4"/>
  <c r="H185" i="4"/>
  <c r="P185" i="4" s="1"/>
  <c r="C185" i="4"/>
  <c r="A185" i="4"/>
  <c r="U184" i="4"/>
  <c r="T184" i="4"/>
  <c r="R184" i="4"/>
  <c r="S184" i="4" s="1"/>
  <c r="O184" i="4"/>
  <c r="N184" i="4"/>
  <c r="M184" i="4"/>
  <c r="L184" i="4"/>
  <c r="K184" i="4"/>
  <c r="H184" i="4"/>
  <c r="P184" i="4" s="1"/>
  <c r="C184" i="4"/>
  <c r="A184" i="4"/>
  <c r="U183" i="4"/>
  <c r="T183" i="4"/>
  <c r="S183" i="4"/>
  <c r="R183" i="4"/>
  <c r="O183" i="4"/>
  <c r="L183" i="4"/>
  <c r="N183" i="4" s="1"/>
  <c r="K183" i="4"/>
  <c r="H183" i="4"/>
  <c r="P183" i="4" s="1"/>
  <c r="C183" i="4"/>
  <c r="A183" i="4"/>
  <c r="U182" i="4"/>
  <c r="T182" i="4"/>
  <c r="R182" i="4"/>
  <c r="S182" i="4" s="1"/>
  <c r="O182" i="4"/>
  <c r="L182" i="4"/>
  <c r="N182" i="4" s="1"/>
  <c r="K182" i="4"/>
  <c r="H182" i="4"/>
  <c r="P182" i="4" s="1"/>
  <c r="C182" i="4"/>
  <c r="A182" i="4"/>
  <c r="U181" i="4"/>
  <c r="T181" i="4"/>
  <c r="R181" i="4"/>
  <c r="S181" i="4" s="1"/>
  <c r="O181" i="4"/>
  <c r="L181" i="4"/>
  <c r="N181" i="4" s="1"/>
  <c r="K181" i="4"/>
  <c r="H181" i="4"/>
  <c r="P181" i="4" s="1"/>
  <c r="C181" i="4"/>
  <c r="A181" i="4"/>
  <c r="U180" i="4"/>
  <c r="T180" i="4"/>
  <c r="R180" i="4"/>
  <c r="S180" i="4" s="1"/>
  <c r="O180" i="4"/>
  <c r="L180" i="4"/>
  <c r="K180" i="4"/>
  <c r="H180" i="4"/>
  <c r="P180" i="4" s="1"/>
  <c r="C180" i="4"/>
  <c r="A180" i="4"/>
  <c r="U179" i="4"/>
  <c r="T179" i="4"/>
  <c r="R179" i="4"/>
  <c r="S179" i="4" s="1"/>
  <c r="O179" i="4"/>
  <c r="L179" i="4"/>
  <c r="M179" i="4" s="1"/>
  <c r="K179" i="4"/>
  <c r="H179" i="4"/>
  <c r="P179" i="4" s="1"/>
  <c r="C179" i="4"/>
  <c r="A179" i="4"/>
  <c r="U178" i="4"/>
  <c r="T178" i="4"/>
  <c r="R178" i="4"/>
  <c r="S178" i="4" s="1"/>
  <c r="O178" i="4"/>
  <c r="L178" i="4"/>
  <c r="N178" i="4" s="1"/>
  <c r="K178" i="4"/>
  <c r="H178" i="4"/>
  <c r="P178" i="4" s="1"/>
  <c r="C178" i="4"/>
  <c r="A178" i="4"/>
  <c r="U177" i="4"/>
  <c r="T177" i="4"/>
  <c r="R177" i="4"/>
  <c r="S177" i="4" s="1"/>
  <c r="O177" i="4"/>
  <c r="N177" i="4"/>
  <c r="L177" i="4"/>
  <c r="M177" i="4" s="1"/>
  <c r="K177" i="4"/>
  <c r="H177" i="4"/>
  <c r="P177" i="4" s="1"/>
  <c r="C177" i="4"/>
  <c r="A177" i="4"/>
  <c r="U176" i="4"/>
  <c r="T176" i="4"/>
  <c r="R176" i="4"/>
  <c r="S176" i="4" s="1"/>
  <c r="O176" i="4"/>
  <c r="N176" i="4"/>
  <c r="M176" i="4"/>
  <c r="L176" i="4"/>
  <c r="K176" i="4"/>
  <c r="H176" i="4"/>
  <c r="P176" i="4" s="1"/>
  <c r="C176" i="4"/>
  <c r="A176" i="4"/>
  <c r="U175" i="4"/>
  <c r="T175" i="4"/>
  <c r="S175" i="4"/>
  <c r="R175" i="4"/>
  <c r="O175" i="4"/>
  <c r="L175" i="4"/>
  <c r="N175" i="4" s="1"/>
  <c r="K175" i="4"/>
  <c r="H175" i="4"/>
  <c r="P175" i="4" s="1"/>
  <c r="C175" i="4"/>
  <c r="A175" i="4"/>
  <c r="U174" i="4"/>
  <c r="T174" i="4"/>
  <c r="R174" i="4"/>
  <c r="S174" i="4" s="1"/>
  <c r="P174" i="4"/>
  <c r="O174" i="4"/>
  <c r="L174" i="4"/>
  <c r="K174" i="4"/>
  <c r="H174" i="4"/>
  <c r="C174" i="4"/>
  <c r="A174" i="4"/>
  <c r="U173" i="4"/>
  <c r="T173" i="4"/>
  <c r="R173" i="4"/>
  <c r="S173" i="4" s="1"/>
  <c r="O173" i="4"/>
  <c r="L173" i="4"/>
  <c r="N173" i="4" s="1"/>
  <c r="K173" i="4"/>
  <c r="H173" i="4"/>
  <c r="P173" i="4" s="1"/>
  <c r="C173" i="4"/>
  <c r="A173" i="4"/>
  <c r="U172" i="4"/>
  <c r="T172" i="4"/>
  <c r="R172" i="4"/>
  <c r="S172" i="4" s="1"/>
  <c r="O172" i="4"/>
  <c r="L172" i="4"/>
  <c r="M172" i="4" s="1"/>
  <c r="K172" i="4"/>
  <c r="H172" i="4"/>
  <c r="P172" i="4" s="1"/>
  <c r="C172" i="4"/>
  <c r="A172" i="4"/>
  <c r="U171" i="4"/>
  <c r="T171" i="4"/>
  <c r="R171" i="4"/>
  <c r="S171" i="4" s="1"/>
  <c r="P171" i="4"/>
  <c r="O171" i="4"/>
  <c r="N171" i="4"/>
  <c r="L171" i="4"/>
  <c r="M171" i="4" s="1"/>
  <c r="K171" i="4"/>
  <c r="H171" i="4"/>
  <c r="C171" i="4"/>
  <c r="A171" i="4"/>
  <c r="U170" i="4"/>
  <c r="T170" i="4"/>
  <c r="R170" i="4"/>
  <c r="S170" i="4" s="1"/>
  <c r="P170" i="4"/>
  <c r="O170" i="4"/>
  <c r="L170" i="4"/>
  <c r="M170" i="4" s="1"/>
  <c r="K170" i="4"/>
  <c r="H170" i="4"/>
  <c r="C170" i="4"/>
  <c r="A170" i="4"/>
  <c r="U169" i="4"/>
  <c r="T169" i="4"/>
  <c r="R169" i="4"/>
  <c r="S169" i="4" s="1"/>
  <c r="O169" i="4"/>
  <c r="L169" i="4"/>
  <c r="N169" i="4" s="1"/>
  <c r="K169" i="4"/>
  <c r="H169" i="4"/>
  <c r="P169" i="4" s="1"/>
  <c r="C169" i="4"/>
  <c r="A169" i="4"/>
  <c r="U168" i="4"/>
  <c r="T168" i="4"/>
  <c r="R168" i="4"/>
  <c r="S168" i="4" s="1"/>
  <c r="P168" i="4"/>
  <c r="O168" i="4"/>
  <c r="L168" i="4"/>
  <c r="N168" i="4" s="1"/>
  <c r="K168" i="4"/>
  <c r="H168" i="4"/>
  <c r="C168" i="4"/>
  <c r="A168" i="4"/>
  <c r="U167" i="4"/>
  <c r="T167" i="4"/>
  <c r="R167" i="4"/>
  <c r="S167" i="4" s="1"/>
  <c r="O167" i="4"/>
  <c r="L167" i="4"/>
  <c r="N167" i="4" s="1"/>
  <c r="K167" i="4"/>
  <c r="H167" i="4"/>
  <c r="P167" i="4" s="1"/>
  <c r="C167" i="4"/>
  <c r="A167" i="4"/>
  <c r="U166" i="4"/>
  <c r="T166" i="4"/>
  <c r="R166" i="4"/>
  <c r="S166" i="4" s="1"/>
  <c r="O166" i="4"/>
  <c r="L166" i="4"/>
  <c r="K166" i="4"/>
  <c r="H166" i="4"/>
  <c r="P166" i="4" s="1"/>
  <c r="C166" i="4"/>
  <c r="A166" i="4"/>
  <c r="U165" i="4"/>
  <c r="T165" i="4"/>
  <c r="R165" i="4"/>
  <c r="S165" i="4" s="1"/>
  <c r="O165" i="4"/>
  <c r="N165" i="4"/>
  <c r="M165" i="4"/>
  <c r="L165" i="4"/>
  <c r="K165" i="4"/>
  <c r="H165" i="4"/>
  <c r="P165" i="4" s="1"/>
  <c r="C165" i="4"/>
  <c r="A165" i="4"/>
  <c r="U164" i="4"/>
  <c r="T164" i="4"/>
  <c r="S164" i="4"/>
  <c r="R164" i="4"/>
  <c r="O164" i="4"/>
  <c r="L164" i="4"/>
  <c r="M164" i="4" s="1"/>
  <c r="K164" i="4"/>
  <c r="H164" i="4"/>
  <c r="P164" i="4" s="1"/>
  <c r="C164" i="4"/>
  <c r="A164" i="4"/>
  <c r="U163" i="4"/>
  <c r="T163" i="4"/>
  <c r="R163" i="4"/>
  <c r="S163" i="4" s="1"/>
  <c r="O163" i="4"/>
  <c r="L163" i="4"/>
  <c r="M163" i="4" s="1"/>
  <c r="K163" i="4"/>
  <c r="H163" i="4"/>
  <c r="P163" i="4" s="1"/>
  <c r="C163" i="4"/>
  <c r="A163" i="4"/>
  <c r="U162" i="4"/>
  <c r="T162" i="4"/>
  <c r="R162" i="4"/>
  <c r="S162" i="4" s="1"/>
  <c r="P162" i="4"/>
  <c r="O162" i="4"/>
  <c r="L162" i="4"/>
  <c r="N162" i="4" s="1"/>
  <c r="K162" i="4"/>
  <c r="H162" i="4"/>
  <c r="C162" i="4"/>
  <c r="A162" i="4"/>
  <c r="U161" i="4"/>
  <c r="T161" i="4"/>
  <c r="R161" i="4"/>
  <c r="S161" i="4" s="1"/>
  <c r="O161" i="4"/>
  <c r="L161" i="4"/>
  <c r="N161" i="4" s="1"/>
  <c r="K161" i="4"/>
  <c r="H161" i="4"/>
  <c r="P161" i="4" s="1"/>
  <c r="C161" i="4"/>
  <c r="A161" i="4"/>
  <c r="U160" i="4"/>
  <c r="T160" i="4"/>
  <c r="R160" i="4"/>
  <c r="S160" i="4" s="1"/>
  <c r="O160" i="4"/>
  <c r="N160" i="4"/>
  <c r="L160" i="4"/>
  <c r="M160" i="4" s="1"/>
  <c r="K160" i="4"/>
  <c r="H160" i="4"/>
  <c r="P160" i="4" s="1"/>
  <c r="C160" i="4"/>
  <c r="A160" i="4"/>
  <c r="U159" i="4"/>
  <c r="T159" i="4"/>
  <c r="R159" i="4"/>
  <c r="S159" i="4" s="1"/>
  <c r="O159" i="4"/>
  <c r="L159" i="4"/>
  <c r="N159" i="4" s="1"/>
  <c r="K159" i="4"/>
  <c r="H159" i="4"/>
  <c r="P159" i="4" s="1"/>
  <c r="C159" i="4"/>
  <c r="A159" i="4"/>
  <c r="U158" i="4"/>
  <c r="T158" i="4"/>
  <c r="R158" i="4"/>
  <c r="S158" i="4" s="1"/>
  <c r="O158" i="4"/>
  <c r="L158" i="4"/>
  <c r="K158" i="4"/>
  <c r="H158" i="4"/>
  <c r="P158" i="4" s="1"/>
  <c r="C158" i="4"/>
  <c r="A158" i="4"/>
  <c r="U157" i="4"/>
  <c r="T157" i="4"/>
  <c r="R157" i="4"/>
  <c r="S157" i="4" s="1"/>
  <c r="O157" i="4"/>
  <c r="L157" i="4"/>
  <c r="N157" i="4" s="1"/>
  <c r="K157" i="4"/>
  <c r="H157" i="4"/>
  <c r="P157" i="4" s="1"/>
  <c r="C157" i="4"/>
  <c r="A157" i="4"/>
  <c r="U156" i="4"/>
  <c r="T156" i="4"/>
  <c r="R156" i="4"/>
  <c r="S156" i="4" s="1"/>
  <c r="O156" i="4"/>
  <c r="L156" i="4"/>
  <c r="M156" i="4" s="1"/>
  <c r="K156" i="4"/>
  <c r="H156" i="4"/>
  <c r="P156" i="4" s="1"/>
  <c r="C156" i="4"/>
  <c r="A156" i="4"/>
  <c r="U155" i="4"/>
  <c r="T155" i="4"/>
  <c r="R155" i="4"/>
  <c r="S155" i="4" s="1"/>
  <c r="P155" i="4"/>
  <c r="O155" i="4"/>
  <c r="L155" i="4"/>
  <c r="M155" i="4" s="1"/>
  <c r="K155" i="4"/>
  <c r="H155" i="4"/>
  <c r="C155" i="4"/>
  <c r="A155" i="4"/>
  <c r="U154" i="4"/>
  <c r="T154" i="4"/>
  <c r="R154" i="4"/>
  <c r="S154" i="4" s="1"/>
  <c r="P154" i="4"/>
  <c r="O154" i="4"/>
  <c r="M154" i="4"/>
  <c r="L154" i="4"/>
  <c r="N154" i="4" s="1"/>
  <c r="K154" i="4"/>
  <c r="H154" i="4"/>
  <c r="C154" i="4"/>
  <c r="A154" i="4"/>
  <c r="U153" i="4"/>
  <c r="T153" i="4"/>
  <c r="S153" i="4"/>
  <c r="R153" i="4"/>
  <c r="O153" i="4"/>
  <c r="L153" i="4"/>
  <c r="N153" i="4" s="1"/>
  <c r="K153" i="4"/>
  <c r="H153" i="4"/>
  <c r="P153" i="4" s="1"/>
  <c r="C153" i="4"/>
  <c r="A153" i="4"/>
  <c r="U152" i="4"/>
  <c r="T152" i="4"/>
  <c r="R152" i="4"/>
  <c r="S152" i="4" s="1"/>
  <c r="P152" i="4"/>
  <c r="O152" i="4"/>
  <c r="N152" i="4"/>
  <c r="L152" i="4"/>
  <c r="M152" i="4" s="1"/>
  <c r="K152" i="4"/>
  <c r="H152" i="4"/>
  <c r="C152" i="4"/>
  <c r="A152" i="4"/>
  <c r="U151" i="4"/>
  <c r="T151" i="4"/>
  <c r="R151" i="4"/>
  <c r="S151" i="4" s="1"/>
  <c r="O151" i="4"/>
  <c r="L151" i="4"/>
  <c r="N151" i="4" s="1"/>
  <c r="K151" i="4"/>
  <c r="H151" i="4"/>
  <c r="P151" i="4" s="1"/>
  <c r="C151" i="4"/>
  <c r="A151" i="4"/>
  <c r="U150" i="4"/>
  <c r="T150" i="4"/>
  <c r="R150" i="4"/>
  <c r="S150" i="4" s="1"/>
  <c r="O150" i="4"/>
  <c r="L150" i="4"/>
  <c r="N150" i="4" s="1"/>
  <c r="K150" i="4"/>
  <c r="H150" i="4"/>
  <c r="P150" i="4" s="1"/>
  <c r="C150" i="4"/>
  <c r="A150" i="4"/>
  <c r="U149" i="4"/>
  <c r="T149" i="4"/>
  <c r="R149" i="4"/>
  <c r="S149" i="4" s="1"/>
  <c r="O149" i="4"/>
  <c r="L149" i="4"/>
  <c r="N149" i="4" s="1"/>
  <c r="K149" i="4"/>
  <c r="H149" i="4"/>
  <c r="P149" i="4" s="1"/>
  <c r="C149" i="4"/>
  <c r="A149" i="4"/>
  <c r="U148" i="4"/>
  <c r="T148" i="4"/>
  <c r="R148" i="4"/>
  <c r="S148" i="4" s="1"/>
  <c r="O148" i="4"/>
  <c r="L148" i="4"/>
  <c r="N148" i="4" s="1"/>
  <c r="K148" i="4"/>
  <c r="H148" i="4"/>
  <c r="P148" i="4" s="1"/>
  <c r="C148" i="4"/>
  <c r="A148" i="4"/>
  <c r="U147" i="4"/>
  <c r="T147" i="4"/>
  <c r="R147" i="4"/>
  <c r="S147" i="4" s="1"/>
  <c r="P147" i="4"/>
  <c r="O147" i="4"/>
  <c r="L147" i="4"/>
  <c r="M147" i="4" s="1"/>
  <c r="K147" i="4"/>
  <c r="H147" i="4"/>
  <c r="C147" i="4"/>
  <c r="A147" i="4"/>
  <c r="U146" i="4"/>
  <c r="T146" i="4"/>
  <c r="R146" i="4"/>
  <c r="S146" i="4" s="1"/>
  <c r="O146" i="4"/>
  <c r="L146" i="4"/>
  <c r="N146" i="4" s="1"/>
  <c r="K146" i="4"/>
  <c r="H146" i="4"/>
  <c r="P146" i="4" s="1"/>
  <c r="C146" i="4"/>
  <c r="A146" i="4"/>
  <c r="U145" i="4"/>
  <c r="T145" i="4"/>
  <c r="R145" i="4"/>
  <c r="S145" i="4" s="1"/>
  <c r="O145" i="4"/>
  <c r="L145" i="4"/>
  <c r="N145" i="4" s="1"/>
  <c r="K145" i="4"/>
  <c r="H145" i="4"/>
  <c r="P145" i="4" s="1"/>
  <c r="C145" i="4"/>
  <c r="A145" i="4"/>
  <c r="U144" i="4"/>
  <c r="T144" i="4"/>
  <c r="R144" i="4"/>
  <c r="S144" i="4" s="1"/>
  <c r="O144" i="4"/>
  <c r="N144" i="4"/>
  <c r="L144" i="4"/>
  <c r="M144" i="4" s="1"/>
  <c r="K144" i="4"/>
  <c r="H144" i="4"/>
  <c r="P144" i="4" s="1"/>
  <c r="C144" i="4"/>
  <c r="A144" i="4"/>
  <c r="U143" i="4"/>
  <c r="T143" i="4"/>
  <c r="R143" i="4"/>
  <c r="S143" i="4" s="1"/>
  <c r="O143" i="4"/>
  <c r="L143" i="4"/>
  <c r="N143" i="4" s="1"/>
  <c r="K143" i="4"/>
  <c r="H143" i="4"/>
  <c r="P143" i="4" s="1"/>
  <c r="C143" i="4"/>
  <c r="A143" i="4"/>
  <c r="U142" i="4"/>
  <c r="T142" i="4"/>
  <c r="R142" i="4"/>
  <c r="S142" i="4" s="1"/>
  <c r="P142" i="4"/>
  <c r="O142" i="4"/>
  <c r="L142" i="4"/>
  <c r="N142" i="4" s="1"/>
  <c r="K142" i="4"/>
  <c r="H142" i="4"/>
  <c r="C142" i="4"/>
  <c r="A142" i="4"/>
  <c r="U141" i="4"/>
  <c r="T141" i="4"/>
  <c r="R141" i="4"/>
  <c r="S141" i="4" s="1"/>
  <c r="O141" i="4"/>
  <c r="L141" i="4"/>
  <c r="N141" i="4" s="1"/>
  <c r="K141" i="4"/>
  <c r="H141" i="4"/>
  <c r="P141" i="4" s="1"/>
  <c r="C141" i="4"/>
  <c r="A141" i="4"/>
  <c r="U140" i="4"/>
  <c r="T140" i="4"/>
  <c r="R140" i="4"/>
  <c r="S140" i="4" s="1"/>
  <c r="O140" i="4"/>
  <c r="L140" i="4"/>
  <c r="N140" i="4" s="1"/>
  <c r="K140" i="4"/>
  <c r="H140" i="4"/>
  <c r="P140" i="4" s="1"/>
  <c r="C140" i="4"/>
  <c r="A140" i="4"/>
  <c r="U139" i="4"/>
  <c r="T139" i="4"/>
  <c r="R139" i="4"/>
  <c r="S139" i="4" s="1"/>
  <c r="O139" i="4"/>
  <c r="N139" i="4"/>
  <c r="L139" i="4"/>
  <c r="M139" i="4" s="1"/>
  <c r="K139" i="4"/>
  <c r="H139" i="4"/>
  <c r="P139" i="4" s="1"/>
  <c r="C139" i="4"/>
  <c r="A139" i="4"/>
  <c r="U138" i="4"/>
  <c r="T138" i="4"/>
  <c r="R138" i="4"/>
  <c r="S138" i="4" s="1"/>
  <c r="O138" i="4"/>
  <c r="L138" i="4"/>
  <c r="N138" i="4" s="1"/>
  <c r="K138" i="4"/>
  <c r="H138" i="4"/>
  <c r="P138" i="4" s="1"/>
  <c r="C138" i="4"/>
  <c r="A138" i="4"/>
  <c r="U137" i="4"/>
  <c r="T137" i="4"/>
  <c r="R137" i="4"/>
  <c r="S137" i="4" s="1"/>
  <c r="O137" i="4"/>
  <c r="L137" i="4"/>
  <c r="N137" i="4" s="1"/>
  <c r="K137" i="4"/>
  <c r="H137" i="4"/>
  <c r="P137" i="4" s="1"/>
  <c r="C137" i="4"/>
  <c r="A137" i="4"/>
  <c r="U136" i="4"/>
  <c r="T136" i="4"/>
  <c r="R136" i="4"/>
  <c r="S136" i="4" s="1"/>
  <c r="O136" i="4"/>
  <c r="L136" i="4"/>
  <c r="N136" i="4" s="1"/>
  <c r="K136" i="4"/>
  <c r="H136" i="4"/>
  <c r="P136" i="4" s="1"/>
  <c r="C136" i="4"/>
  <c r="A136" i="4"/>
  <c r="U135" i="4"/>
  <c r="T135" i="4"/>
  <c r="R135" i="4"/>
  <c r="S135" i="4" s="1"/>
  <c r="O135" i="4"/>
  <c r="N135" i="4"/>
  <c r="L135" i="4"/>
  <c r="M135" i="4" s="1"/>
  <c r="K135" i="4"/>
  <c r="H135" i="4"/>
  <c r="P135" i="4" s="1"/>
  <c r="C135" i="4"/>
  <c r="A135" i="4"/>
  <c r="U134" i="4"/>
  <c r="T134" i="4"/>
  <c r="R134" i="4"/>
  <c r="S134" i="4" s="1"/>
  <c r="O134" i="4"/>
  <c r="L134" i="4"/>
  <c r="N134" i="4" s="1"/>
  <c r="K134" i="4"/>
  <c r="H134" i="4"/>
  <c r="P134" i="4" s="1"/>
  <c r="C134" i="4"/>
  <c r="A134" i="4"/>
  <c r="U133" i="4"/>
  <c r="T133" i="4"/>
  <c r="R133" i="4"/>
  <c r="S133" i="4" s="1"/>
  <c r="O133" i="4"/>
  <c r="L133" i="4"/>
  <c r="N133" i="4" s="1"/>
  <c r="K133" i="4"/>
  <c r="H133" i="4"/>
  <c r="P133" i="4" s="1"/>
  <c r="C133" i="4"/>
  <c r="A133" i="4"/>
  <c r="U132" i="4"/>
  <c r="T132" i="4"/>
  <c r="R132" i="4"/>
  <c r="S132" i="4" s="1"/>
  <c r="O132" i="4"/>
  <c r="N132" i="4"/>
  <c r="L132" i="4"/>
  <c r="M132" i="4" s="1"/>
  <c r="K132" i="4"/>
  <c r="H132" i="4"/>
  <c r="P132" i="4" s="1"/>
  <c r="C132" i="4"/>
  <c r="A132" i="4"/>
  <c r="U131" i="4"/>
  <c r="T131" i="4"/>
  <c r="R131" i="4"/>
  <c r="S131" i="4" s="1"/>
  <c r="O131" i="4"/>
  <c r="L131" i="4"/>
  <c r="N131" i="4" s="1"/>
  <c r="K131" i="4"/>
  <c r="H131" i="4"/>
  <c r="P131" i="4" s="1"/>
  <c r="C131" i="4"/>
  <c r="A131" i="4"/>
  <c r="U130" i="4"/>
  <c r="T130" i="4"/>
  <c r="R130" i="4"/>
  <c r="S130" i="4" s="1"/>
  <c r="P130" i="4"/>
  <c r="O130" i="4"/>
  <c r="L130" i="4"/>
  <c r="N130" i="4" s="1"/>
  <c r="K130" i="4"/>
  <c r="H130" i="4"/>
  <c r="C130" i="4"/>
  <c r="A130" i="4"/>
  <c r="U129" i="4"/>
  <c r="T129" i="4"/>
  <c r="R129" i="4"/>
  <c r="S129" i="4" s="1"/>
  <c r="P129" i="4"/>
  <c r="O129" i="4"/>
  <c r="L129" i="4"/>
  <c r="N129" i="4" s="1"/>
  <c r="K129" i="4"/>
  <c r="H129" i="4"/>
  <c r="C129" i="4"/>
  <c r="A129" i="4"/>
  <c r="U128" i="4"/>
  <c r="T128" i="4"/>
  <c r="R128" i="4"/>
  <c r="S128" i="4" s="1"/>
  <c r="O128" i="4"/>
  <c r="L128" i="4"/>
  <c r="N128" i="4" s="1"/>
  <c r="K128" i="4"/>
  <c r="H128" i="4"/>
  <c r="P128" i="4" s="1"/>
  <c r="C128" i="4"/>
  <c r="A128" i="4"/>
  <c r="U127" i="4"/>
  <c r="R127" i="4"/>
  <c r="S127" i="4" s="1"/>
  <c r="K127" i="4"/>
  <c r="L127" i="4" s="1"/>
  <c r="H127" i="4"/>
  <c r="C127" i="4"/>
  <c r="A127" i="4"/>
  <c r="U126" i="4"/>
  <c r="R126" i="4"/>
  <c r="S126" i="4" s="1"/>
  <c r="K126" i="4"/>
  <c r="L126" i="4" s="1"/>
  <c r="H126" i="4"/>
  <c r="C126" i="4"/>
  <c r="A126" i="4"/>
  <c r="U125" i="4"/>
  <c r="R125" i="4"/>
  <c r="S125" i="4" s="1"/>
  <c r="K125" i="4"/>
  <c r="L125" i="4" s="1"/>
  <c r="N125" i="4" s="1"/>
  <c r="H125" i="4"/>
  <c r="C125" i="4"/>
  <c r="A125" i="4"/>
  <c r="U124" i="4"/>
  <c r="R124" i="4"/>
  <c r="S124" i="4" s="1"/>
  <c r="K124" i="4"/>
  <c r="L124" i="4" s="1"/>
  <c r="H124" i="4"/>
  <c r="C124" i="4"/>
  <c r="A124" i="4"/>
  <c r="U123" i="4"/>
  <c r="R123" i="4"/>
  <c r="S123" i="4" s="1"/>
  <c r="K123" i="4"/>
  <c r="L123" i="4" s="1"/>
  <c r="H123" i="4"/>
  <c r="C123" i="4"/>
  <c r="A123" i="4"/>
  <c r="U122" i="4"/>
  <c r="S122" i="4"/>
  <c r="R122" i="4"/>
  <c r="K122" i="4"/>
  <c r="L122" i="4" s="1"/>
  <c r="H122" i="4"/>
  <c r="C122" i="4"/>
  <c r="A122" i="4"/>
  <c r="U121" i="4"/>
  <c r="R121" i="4"/>
  <c r="S121" i="4" s="1"/>
  <c r="K121" i="4"/>
  <c r="L121" i="4" s="1"/>
  <c r="H121" i="4"/>
  <c r="C121" i="4"/>
  <c r="A121" i="4"/>
  <c r="U120" i="4"/>
  <c r="R120" i="4"/>
  <c r="S120" i="4" s="1"/>
  <c r="K120" i="4"/>
  <c r="L120" i="4" s="1"/>
  <c r="M120" i="4" s="1"/>
  <c r="H120" i="4"/>
  <c r="C120" i="4"/>
  <c r="A120" i="4"/>
  <c r="U119" i="4"/>
  <c r="S119" i="4"/>
  <c r="R119" i="4"/>
  <c r="K119" i="4"/>
  <c r="L119" i="4" s="1"/>
  <c r="H119" i="4"/>
  <c r="C119" i="4"/>
  <c r="A119" i="4"/>
  <c r="U118" i="4"/>
  <c r="R118" i="4"/>
  <c r="S118" i="4" s="1"/>
  <c r="K118" i="4"/>
  <c r="L118" i="4" s="1"/>
  <c r="H118" i="4"/>
  <c r="C118" i="4"/>
  <c r="A118" i="4"/>
  <c r="U117" i="4"/>
  <c r="S117" i="4"/>
  <c r="R117" i="4"/>
  <c r="K117" i="4"/>
  <c r="L117" i="4" s="1"/>
  <c r="H117" i="4"/>
  <c r="C117" i="4"/>
  <c r="A117" i="4"/>
  <c r="U116" i="4"/>
  <c r="R116" i="4"/>
  <c r="S116" i="4" s="1"/>
  <c r="K116" i="4"/>
  <c r="L116" i="4" s="1"/>
  <c r="N116" i="4" s="1"/>
  <c r="H116" i="4"/>
  <c r="C116" i="4"/>
  <c r="A116" i="4"/>
  <c r="U115" i="4"/>
  <c r="R115" i="4"/>
  <c r="S115" i="4" s="1"/>
  <c r="K115" i="4"/>
  <c r="L115" i="4" s="1"/>
  <c r="H115" i="4"/>
  <c r="C115" i="4"/>
  <c r="A115" i="4"/>
  <c r="U114" i="4"/>
  <c r="R114" i="4"/>
  <c r="S114" i="4" s="1"/>
  <c r="L114" i="4"/>
  <c r="M114" i="4" s="1"/>
  <c r="K114" i="4"/>
  <c r="H114" i="4"/>
  <c r="C114" i="4"/>
  <c r="A114" i="4"/>
  <c r="U113" i="4"/>
  <c r="R113" i="4"/>
  <c r="S113" i="4" s="1"/>
  <c r="K113" i="4"/>
  <c r="L113" i="4" s="1"/>
  <c r="H113" i="4"/>
  <c r="C113" i="4"/>
  <c r="A113" i="4"/>
  <c r="U112" i="4"/>
  <c r="R112" i="4"/>
  <c r="S112" i="4" s="1"/>
  <c r="K112" i="4"/>
  <c r="L112" i="4" s="1"/>
  <c r="N112" i="4" s="1"/>
  <c r="H112" i="4"/>
  <c r="C112" i="4"/>
  <c r="A112" i="4"/>
  <c r="U111" i="4"/>
  <c r="R111" i="4"/>
  <c r="S111" i="4" s="1"/>
  <c r="M111" i="4"/>
  <c r="K111" i="4"/>
  <c r="L111" i="4" s="1"/>
  <c r="N111" i="4" s="1"/>
  <c r="H111" i="4"/>
  <c r="C111" i="4"/>
  <c r="A111" i="4"/>
  <c r="U110" i="4"/>
  <c r="R110" i="4"/>
  <c r="S110" i="4" s="1"/>
  <c r="K110" i="4"/>
  <c r="L110" i="4" s="1"/>
  <c r="H110" i="4"/>
  <c r="C110" i="4"/>
  <c r="A110" i="4"/>
  <c r="U109" i="4"/>
  <c r="R109" i="4"/>
  <c r="S109" i="4" s="1"/>
  <c r="L109" i="4"/>
  <c r="N109" i="4" s="1"/>
  <c r="K109" i="4"/>
  <c r="H109" i="4"/>
  <c r="C109" i="4"/>
  <c r="A109" i="4"/>
  <c r="U108" i="4"/>
  <c r="R108" i="4"/>
  <c r="S108" i="4" s="1"/>
  <c r="L108" i="4"/>
  <c r="K108" i="4"/>
  <c r="H108" i="4"/>
  <c r="C108" i="4"/>
  <c r="A108" i="4"/>
  <c r="U107" i="4"/>
  <c r="R107" i="4"/>
  <c r="S107" i="4" s="1"/>
  <c r="L107" i="4"/>
  <c r="M107" i="4" s="1"/>
  <c r="K107" i="4"/>
  <c r="H107" i="4"/>
  <c r="C107" i="4"/>
  <c r="A107" i="4"/>
  <c r="U106" i="4"/>
  <c r="R106" i="4"/>
  <c r="S106" i="4" s="1"/>
  <c r="K106" i="4"/>
  <c r="L106" i="4" s="1"/>
  <c r="H106" i="4"/>
  <c r="C106" i="4"/>
  <c r="A106" i="4"/>
  <c r="U105" i="4"/>
  <c r="R105" i="4"/>
  <c r="S105" i="4" s="1"/>
  <c r="K105" i="4"/>
  <c r="L105" i="4" s="1"/>
  <c r="H105" i="4"/>
  <c r="C105" i="4"/>
  <c r="A105" i="4"/>
  <c r="U104" i="4"/>
  <c r="R104" i="4"/>
  <c r="S104" i="4" s="1"/>
  <c r="K104" i="4"/>
  <c r="L104" i="4" s="1"/>
  <c r="N104" i="4" s="1"/>
  <c r="H104" i="4"/>
  <c r="C104" i="4"/>
  <c r="A104" i="4"/>
  <c r="U103" i="4"/>
  <c r="R103" i="4"/>
  <c r="S103" i="4" s="1"/>
  <c r="K103" i="4"/>
  <c r="L103" i="4" s="1"/>
  <c r="N103" i="4" s="1"/>
  <c r="H103" i="4"/>
  <c r="C103" i="4"/>
  <c r="A103" i="4"/>
  <c r="U102" i="4"/>
  <c r="S102" i="4"/>
  <c r="R102" i="4"/>
  <c r="K102" i="4"/>
  <c r="L102" i="4" s="1"/>
  <c r="H102" i="4"/>
  <c r="C102" i="4"/>
  <c r="A102" i="4"/>
  <c r="U101" i="4"/>
  <c r="R101" i="4"/>
  <c r="S101" i="4" s="1"/>
  <c r="L101" i="4"/>
  <c r="N101" i="4" s="1"/>
  <c r="K101" i="4"/>
  <c r="H101" i="4"/>
  <c r="C101" i="4"/>
  <c r="A101" i="4"/>
  <c r="U100" i="4"/>
  <c r="S100" i="4"/>
  <c r="R100" i="4"/>
  <c r="L100" i="4"/>
  <c r="K100" i="4"/>
  <c r="H100" i="4"/>
  <c r="C100" i="4"/>
  <c r="A100" i="4"/>
  <c r="U99" i="4"/>
  <c r="R99" i="4"/>
  <c r="S99" i="4" s="1"/>
  <c r="L99" i="4"/>
  <c r="M99" i="4" s="1"/>
  <c r="K99" i="4"/>
  <c r="H99" i="4"/>
  <c r="C99" i="4"/>
  <c r="A99" i="4"/>
  <c r="U98" i="4"/>
  <c r="R98" i="4"/>
  <c r="S98" i="4" s="1"/>
  <c r="K98" i="4"/>
  <c r="L98" i="4" s="1"/>
  <c r="H98" i="4"/>
  <c r="C98" i="4"/>
  <c r="A98" i="4"/>
  <c r="U97" i="4"/>
  <c r="R97" i="4"/>
  <c r="S97" i="4" s="1"/>
  <c r="K97" i="4"/>
  <c r="L97" i="4" s="1"/>
  <c r="H97" i="4"/>
  <c r="C97" i="4"/>
  <c r="A97" i="4"/>
  <c r="U96" i="4"/>
  <c r="R96" i="4"/>
  <c r="S96" i="4" s="1"/>
  <c r="K96" i="4"/>
  <c r="L96" i="4" s="1"/>
  <c r="N96" i="4" s="1"/>
  <c r="H96" i="4"/>
  <c r="C96" i="4"/>
  <c r="A96" i="4"/>
  <c r="U95" i="4"/>
  <c r="S95" i="4"/>
  <c r="R95" i="4"/>
  <c r="M95" i="4"/>
  <c r="K95" i="4"/>
  <c r="L95" i="4" s="1"/>
  <c r="N95" i="4" s="1"/>
  <c r="H95" i="4"/>
  <c r="C95" i="4"/>
  <c r="A95" i="4"/>
  <c r="U94" i="4"/>
  <c r="S94" i="4"/>
  <c r="R94" i="4"/>
  <c r="K94" i="4"/>
  <c r="L94" i="4" s="1"/>
  <c r="H94" i="4"/>
  <c r="C94" i="4"/>
  <c r="A94" i="4"/>
  <c r="U93" i="4"/>
  <c r="R93" i="4"/>
  <c r="S93" i="4" s="1"/>
  <c r="L93" i="4"/>
  <c r="N93" i="4" s="1"/>
  <c r="K93" i="4"/>
  <c r="H93" i="4"/>
  <c r="C93" i="4"/>
  <c r="A93" i="4"/>
  <c r="U92" i="4"/>
  <c r="R92" i="4"/>
  <c r="S92" i="4" s="1"/>
  <c r="K92" i="4"/>
  <c r="L92" i="4" s="1"/>
  <c r="H92" i="4"/>
  <c r="C92" i="4"/>
  <c r="A92" i="4"/>
  <c r="U91" i="4"/>
  <c r="R91" i="4"/>
  <c r="S91" i="4" s="1"/>
  <c r="K91" i="4"/>
  <c r="L91" i="4" s="1"/>
  <c r="H91" i="4"/>
  <c r="C91" i="4"/>
  <c r="A91" i="4"/>
  <c r="U90" i="4"/>
  <c r="R90" i="4"/>
  <c r="S90" i="4" s="1"/>
  <c r="K90" i="4"/>
  <c r="L90" i="4" s="1"/>
  <c r="H90" i="4"/>
  <c r="C90" i="4"/>
  <c r="A90" i="4"/>
  <c r="U89" i="4"/>
  <c r="R89" i="4"/>
  <c r="S89" i="4" s="1"/>
  <c r="K89" i="4"/>
  <c r="L89" i="4" s="1"/>
  <c r="H89" i="4"/>
  <c r="C89" i="4"/>
  <c r="A89" i="4"/>
  <c r="U88" i="4"/>
  <c r="R88" i="4"/>
  <c r="S88" i="4" s="1"/>
  <c r="M88" i="4"/>
  <c r="K88" i="4"/>
  <c r="L88" i="4" s="1"/>
  <c r="N88" i="4" s="1"/>
  <c r="H88" i="4"/>
  <c r="C88" i="4"/>
  <c r="A88" i="4"/>
  <c r="U87" i="4"/>
  <c r="S87" i="4"/>
  <c r="R87" i="4"/>
  <c r="K87" i="4"/>
  <c r="L87" i="4" s="1"/>
  <c r="N87" i="4" s="1"/>
  <c r="H87" i="4"/>
  <c r="C87" i="4"/>
  <c r="A87" i="4"/>
  <c r="U86" i="4"/>
  <c r="R86" i="4"/>
  <c r="S86" i="4" s="1"/>
  <c r="K86" i="4"/>
  <c r="L86" i="4" s="1"/>
  <c r="H86" i="4"/>
  <c r="C86" i="4"/>
  <c r="A86" i="4"/>
  <c r="U85" i="4"/>
  <c r="S85" i="4"/>
  <c r="R85" i="4"/>
  <c r="L85" i="4"/>
  <c r="N85" i="4" s="1"/>
  <c r="K85" i="4"/>
  <c r="H85" i="4"/>
  <c r="C85" i="4"/>
  <c r="A85" i="4"/>
  <c r="U84" i="4"/>
  <c r="S84" i="4"/>
  <c r="R84" i="4"/>
  <c r="L84" i="4"/>
  <c r="K84" i="4"/>
  <c r="H84" i="4"/>
  <c r="C84" i="4"/>
  <c r="A84" i="4"/>
  <c r="U83" i="4"/>
  <c r="R83" i="4"/>
  <c r="S83" i="4" s="1"/>
  <c r="L83" i="4"/>
  <c r="M83" i="4" s="1"/>
  <c r="K83" i="4"/>
  <c r="H83" i="4"/>
  <c r="C83" i="4"/>
  <c r="A83" i="4"/>
  <c r="U82" i="4"/>
  <c r="R82" i="4"/>
  <c r="S82" i="4" s="1"/>
  <c r="L82" i="4"/>
  <c r="M82" i="4" s="1"/>
  <c r="K82" i="4"/>
  <c r="H82" i="4"/>
  <c r="C82" i="4"/>
  <c r="A82" i="4"/>
  <c r="U81" i="4"/>
  <c r="R81" i="4"/>
  <c r="S81" i="4" s="1"/>
  <c r="K81" i="4"/>
  <c r="L81" i="4" s="1"/>
  <c r="H81" i="4"/>
  <c r="C81" i="4"/>
  <c r="A81" i="4"/>
  <c r="U80" i="4"/>
  <c r="R80" i="4"/>
  <c r="S80" i="4" s="1"/>
  <c r="K80" i="4"/>
  <c r="L80" i="4" s="1"/>
  <c r="N80" i="4" s="1"/>
  <c r="H80" i="4"/>
  <c r="C80" i="4"/>
  <c r="A80" i="4"/>
  <c r="U79" i="4"/>
  <c r="R79" i="4"/>
  <c r="S79" i="4" s="1"/>
  <c r="M79" i="4"/>
  <c r="K79" i="4"/>
  <c r="L79" i="4" s="1"/>
  <c r="N79" i="4" s="1"/>
  <c r="H79" i="4"/>
  <c r="C79" i="4"/>
  <c r="A79" i="4"/>
  <c r="U78" i="4"/>
  <c r="R78" i="4"/>
  <c r="S78" i="4" s="1"/>
  <c r="K78" i="4"/>
  <c r="L78" i="4" s="1"/>
  <c r="H78" i="4"/>
  <c r="C78" i="4"/>
  <c r="A78" i="4"/>
  <c r="U77" i="4"/>
  <c r="S77" i="4"/>
  <c r="R77" i="4"/>
  <c r="L77" i="4"/>
  <c r="N77" i="4" s="1"/>
  <c r="K77" i="4"/>
  <c r="H77" i="4"/>
  <c r="C77" i="4"/>
  <c r="A77" i="4"/>
  <c r="U76" i="4"/>
  <c r="R76" i="4"/>
  <c r="S76" i="4" s="1"/>
  <c r="K76" i="4"/>
  <c r="L76" i="4" s="1"/>
  <c r="H76" i="4"/>
  <c r="C76" i="4"/>
  <c r="A76" i="4"/>
  <c r="U75" i="4"/>
  <c r="R75" i="4"/>
  <c r="S75" i="4" s="1"/>
  <c r="K75" i="4"/>
  <c r="L75" i="4" s="1"/>
  <c r="H75" i="4"/>
  <c r="C75" i="4"/>
  <c r="A75" i="4"/>
  <c r="U74" i="4"/>
  <c r="R74" i="4"/>
  <c r="S74" i="4" s="1"/>
  <c r="K74" i="4"/>
  <c r="L74" i="4" s="1"/>
  <c r="H74" i="4"/>
  <c r="C74" i="4"/>
  <c r="A74" i="4"/>
  <c r="U73" i="4"/>
  <c r="R73" i="4"/>
  <c r="S73" i="4" s="1"/>
  <c r="K73" i="4"/>
  <c r="L73" i="4" s="1"/>
  <c r="H73" i="4"/>
  <c r="C73" i="4"/>
  <c r="A73" i="4"/>
  <c r="U72" i="4"/>
  <c r="R72" i="4"/>
  <c r="S72" i="4" s="1"/>
  <c r="N72" i="4"/>
  <c r="M72" i="4"/>
  <c r="K72" i="4"/>
  <c r="L72" i="4" s="1"/>
  <c r="H72" i="4"/>
  <c r="C72" i="4"/>
  <c r="A72" i="4"/>
  <c r="U71" i="4"/>
  <c r="R71" i="4"/>
  <c r="S71" i="4" s="1"/>
  <c r="K71" i="4"/>
  <c r="L71" i="4" s="1"/>
  <c r="N71" i="4" s="1"/>
  <c r="H71" i="4"/>
  <c r="C71" i="4"/>
  <c r="A71" i="4"/>
  <c r="U70" i="4"/>
  <c r="S70" i="4"/>
  <c r="R70" i="4"/>
  <c r="K70" i="4"/>
  <c r="L70" i="4" s="1"/>
  <c r="H70" i="4"/>
  <c r="C70" i="4"/>
  <c r="A70" i="4"/>
  <c r="U69" i="4"/>
  <c r="R69" i="4"/>
  <c r="S69" i="4" s="1"/>
  <c r="K69" i="4"/>
  <c r="L69" i="4" s="1"/>
  <c r="N69" i="4" s="1"/>
  <c r="H69" i="4"/>
  <c r="C69" i="4"/>
  <c r="A69" i="4"/>
  <c r="U68" i="4"/>
  <c r="R68" i="4"/>
  <c r="S68" i="4" s="1"/>
  <c r="L68" i="4"/>
  <c r="K68" i="4"/>
  <c r="H68" i="4"/>
  <c r="C68" i="4"/>
  <c r="A68" i="4"/>
  <c r="U67" i="4"/>
  <c r="R67" i="4"/>
  <c r="S67" i="4" s="1"/>
  <c r="L67" i="4"/>
  <c r="M67" i="4" s="1"/>
  <c r="K67" i="4"/>
  <c r="H67" i="4"/>
  <c r="C67" i="4"/>
  <c r="A67" i="4"/>
  <c r="U66" i="4"/>
  <c r="R66" i="4"/>
  <c r="S66" i="4" s="1"/>
  <c r="K66" i="4"/>
  <c r="L66" i="4" s="1"/>
  <c r="M66" i="4" s="1"/>
  <c r="H66" i="4"/>
  <c r="C66" i="4"/>
  <c r="A66" i="4"/>
  <c r="U65" i="4"/>
  <c r="R65" i="4"/>
  <c r="S65" i="4" s="1"/>
  <c r="K65" i="4"/>
  <c r="L65" i="4" s="1"/>
  <c r="H65" i="4"/>
  <c r="C65" i="4"/>
  <c r="A65" i="4"/>
  <c r="U64" i="4"/>
  <c r="R64" i="4"/>
  <c r="S64" i="4" s="1"/>
  <c r="K64" i="4"/>
  <c r="L64" i="4" s="1"/>
  <c r="N64" i="4" s="1"/>
  <c r="H64" i="4"/>
  <c r="C64" i="4"/>
  <c r="A64" i="4"/>
  <c r="U63" i="4"/>
  <c r="S63" i="4"/>
  <c r="R63" i="4"/>
  <c r="K63" i="4"/>
  <c r="L63" i="4" s="1"/>
  <c r="N63" i="4" s="1"/>
  <c r="H63" i="4"/>
  <c r="C63" i="4"/>
  <c r="A63" i="4"/>
  <c r="U62" i="4"/>
  <c r="S62" i="4"/>
  <c r="R62" i="4"/>
  <c r="K62" i="4"/>
  <c r="L62" i="4" s="1"/>
  <c r="H62" i="4"/>
  <c r="C62" i="4"/>
  <c r="A62" i="4"/>
  <c r="U61" i="4"/>
  <c r="S61" i="4"/>
  <c r="R61" i="4"/>
  <c r="K61" i="4"/>
  <c r="L61" i="4" s="1"/>
  <c r="N61" i="4" s="1"/>
  <c r="H61" i="4"/>
  <c r="C61" i="4"/>
  <c r="A61" i="4"/>
  <c r="U60" i="4"/>
  <c r="R60" i="4"/>
  <c r="S60" i="4" s="1"/>
  <c r="L60" i="4"/>
  <c r="K60" i="4"/>
  <c r="H60" i="4"/>
  <c r="C60" i="4"/>
  <c r="A60" i="4"/>
  <c r="U59" i="4"/>
  <c r="R59" i="4"/>
  <c r="S59" i="4" s="1"/>
  <c r="N59" i="4"/>
  <c r="L59" i="4"/>
  <c r="M59" i="4" s="1"/>
  <c r="K59" i="4"/>
  <c r="H59" i="4"/>
  <c r="C59" i="4"/>
  <c r="A59" i="4"/>
  <c r="U58" i="4"/>
  <c r="R58" i="4"/>
  <c r="S58" i="4" s="1"/>
  <c r="K58" i="4"/>
  <c r="L58" i="4" s="1"/>
  <c r="H58" i="4"/>
  <c r="C58" i="4"/>
  <c r="A58" i="4"/>
  <c r="U57" i="4"/>
  <c r="R57" i="4"/>
  <c r="S57" i="4" s="1"/>
  <c r="K57" i="4"/>
  <c r="L57" i="4" s="1"/>
  <c r="H57" i="4"/>
  <c r="C57" i="4"/>
  <c r="A57" i="4"/>
  <c r="U56" i="4"/>
  <c r="R56" i="4"/>
  <c r="S56" i="4" s="1"/>
  <c r="K56" i="4"/>
  <c r="L56" i="4" s="1"/>
  <c r="N56" i="4" s="1"/>
  <c r="H56" i="4"/>
  <c r="C56" i="4"/>
  <c r="A56" i="4"/>
  <c r="U55" i="4"/>
  <c r="R55" i="4"/>
  <c r="S55" i="4" s="1"/>
  <c r="K55" i="4"/>
  <c r="L55" i="4" s="1"/>
  <c r="N55" i="4" s="1"/>
  <c r="H55" i="4"/>
  <c r="C55" i="4"/>
  <c r="A55" i="4"/>
  <c r="U54" i="4"/>
  <c r="R54" i="4"/>
  <c r="S54" i="4" s="1"/>
  <c r="K54" i="4"/>
  <c r="L54" i="4" s="1"/>
  <c r="M54" i="4" s="1"/>
  <c r="H54" i="4"/>
  <c r="C54" i="4"/>
  <c r="A54" i="4"/>
  <c r="U53" i="4"/>
  <c r="R53" i="4"/>
  <c r="S53" i="4" s="1"/>
  <c r="L53" i="4"/>
  <c r="N53" i="4" s="1"/>
  <c r="K53" i="4"/>
  <c r="H53" i="4"/>
  <c r="C53" i="4"/>
  <c r="A53" i="4"/>
  <c r="U52" i="4"/>
  <c r="R52" i="4"/>
  <c r="S52" i="4" s="1"/>
  <c r="K52" i="4"/>
  <c r="L52" i="4" s="1"/>
  <c r="H52" i="4"/>
  <c r="C52" i="4"/>
  <c r="A52" i="4"/>
  <c r="U51" i="4"/>
  <c r="R51" i="4"/>
  <c r="S51" i="4" s="1"/>
  <c r="K51" i="4"/>
  <c r="L51" i="4" s="1"/>
  <c r="H51" i="4"/>
  <c r="C51" i="4"/>
  <c r="A51" i="4"/>
  <c r="U50" i="4"/>
  <c r="S50" i="4"/>
  <c r="R50" i="4"/>
  <c r="K50" i="4"/>
  <c r="L50" i="4" s="1"/>
  <c r="H50" i="4"/>
  <c r="C50" i="4"/>
  <c r="A50" i="4"/>
  <c r="U49" i="4"/>
  <c r="S49" i="4"/>
  <c r="R49" i="4"/>
  <c r="K49" i="4"/>
  <c r="L49" i="4" s="1"/>
  <c r="H49" i="4"/>
  <c r="C49" i="4"/>
  <c r="A49" i="4"/>
  <c r="U48" i="4"/>
  <c r="R48" i="4"/>
  <c r="S48" i="4" s="1"/>
  <c r="N48" i="4"/>
  <c r="M48" i="4"/>
  <c r="L48" i="4"/>
  <c r="K48" i="4"/>
  <c r="H48" i="4"/>
  <c r="C48" i="4"/>
  <c r="A48" i="4"/>
  <c r="U47" i="4"/>
  <c r="S47" i="4"/>
  <c r="R47" i="4"/>
  <c r="L47" i="4"/>
  <c r="N47" i="4" s="1"/>
  <c r="K47" i="4"/>
  <c r="H47" i="4"/>
  <c r="C47" i="4"/>
  <c r="A47" i="4"/>
  <c r="U46" i="4"/>
  <c r="R46" i="4"/>
  <c r="S46" i="4" s="1"/>
  <c r="K46" i="4"/>
  <c r="L46" i="4" s="1"/>
  <c r="H46" i="4"/>
  <c r="C46" i="4"/>
  <c r="A46" i="4"/>
  <c r="U45" i="4"/>
  <c r="S45" i="4"/>
  <c r="R45" i="4"/>
  <c r="L45" i="4"/>
  <c r="N45" i="4" s="1"/>
  <c r="K45" i="4"/>
  <c r="H45" i="4"/>
  <c r="C45" i="4"/>
  <c r="A45" i="4"/>
  <c r="U44" i="4"/>
  <c r="R44" i="4"/>
  <c r="S44" i="4" s="1"/>
  <c r="K44" i="4"/>
  <c r="L44" i="4" s="1"/>
  <c r="H44" i="4"/>
  <c r="C44" i="4"/>
  <c r="A44" i="4"/>
  <c r="U43" i="4"/>
  <c r="R43" i="4"/>
  <c r="S43" i="4" s="1"/>
  <c r="K43" i="4"/>
  <c r="L43" i="4" s="1"/>
  <c r="H43" i="4"/>
  <c r="C43" i="4"/>
  <c r="A43" i="4"/>
  <c r="U42" i="4"/>
  <c r="R42" i="4"/>
  <c r="S42" i="4" s="1"/>
  <c r="K42" i="4"/>
  <c r="L42" i="4" s="1"/>
  <c r="H42" i="4"/>
  <c r="C42" i="4"/>
  <c r="A42" i="4"/>
  <c r="U41" i="4"/>
  <c r="S41" i="4"/>
  <c r="R41" i="4"/>
  <c r="K41" i="4"/>
  <c r="L41" i="4" s="1"/>
  <c r="H41" i="4"/>
  <c r="C41" i="4"/>
  <c r="A41" i="4"/>
  <c r="U40" i="4"/>
  <c r="R40" i="4"/>
  <c r="S40" i="4" s="1"/>
  <c r="L40" i="4"/>
  <c r="N40" i="4" s="1"/>
  <c r="K40" i="4"/>
  <c r="H40" i="4"/>
  <c r="C40" i="4"/>
  <c r="A40" i="4"/>
  <c r="U39" i="4"/>
  <c r="S39" i="4"/>
  <c r="R39" i="4"/>
  <c r="L39" i="4"/>
  <c r="N39" i="4" s="1"/>
  <c r="K39" i="4"/>
  <c r="H39" i="4"/>
  <c r="C39" i="4"/>
  <c r="A39" i="4"/>
  <c r="U38" i="4"/>
  <c r="R38" i="4"/>
  <c r="S38" i="4" s="1"/>
  <c r="K38" i="4"/>
  <c r="L38" i="4" s="1"/>
  <c r="H38" i="4"/>
  <c r="C38" i="4"/>
  <c r="A38" i="4"/>
  <c r="U37" i="4"/>
  <c r="R37" i="4"/>
  <c r="S37" i="4" s="1"/>
  <c r="L37" i="4"/>
  <c r="N37" i="4" s="1"/>
  <c r="K37" i="4"/>
  <c r="H37" i="4"/>
  <c r="C37" i="4"/>
  <c r="A37" i="4"/>
  <c r="U36" i="4"/>
  <c r="R36" i="4"/>
  <c r="S36" i="4" s="1"/>
  <c r="K36" i="4"/>
  <c r="L36" i="4" s="1"/>
  <c r="H36" i="4"/>
  <c r="C36" i="4"/>
  <c r="A36" i="4"/>
  <c r="U35" i="4"/>
  <c r="R35" i="4"/>
  <c r="S35" i="4" s="1"/>
  <c r="K35" i="4"/>
  <c r="L35" i="4" s="1"/>
  <c r="H35" i="4"/>
  <c r="C35" i="4"/>
  <c r="A35" i="4"/>
  <c r="U34" i="4"/>
  <c r="S34" i="4"/>
  <c r="R34" i="4"/>
  <c r="K34" i="4"/>
  <c r="L34" i="4" s="1"/>
  <c r="H34" i="4"/>
  <c r="C34" i="4"/>
  <c r="A34" i="4"/>
  <c r="U33" i="4"/>
  <c r="S33" i="4"/>
  <c r="R33" i="4"/>
  <c r="K33" i="4"/>
  <c r="L33" i="4" s="1"/>
  <c r="H33" i="4"/>
  <c r="C33" i="4"/>
  <c r="A33" i="4"/>
  <c r="U32" i="4"/>
  <c r="R32" i="4"/>
  <c r="S32" i="4" s="1"/>
  <c r="K32" i="4"/>
  <c r="L32" i="4" s="1"/>
  <c r="H32" i="4"/>
  <c r="C32" i="4"/>
  <c r="A32" i="4"/>
  <c r="U31" i="4"/>
  <c r="S31" i="4"/>
  <c r="R31" i="4"/>
  <c r="K31" i="4"/>
  <c r="L31" i="4" s="1"/>
  <c r="N31" i="4" s="1"/>
  <c r="H31" i="4"/>
  <c r="C31" i="4"/>
  <c r="A31" i="4"/>
  <c r="U30" i="4"/>
  <c r="R30" i="4"/>
  <c r="S30" i="4" s="1"/>
  <c r="K30" i="4"/>
  <c r="L30" i="4" s="1"/>
  <c r="H30" i="4"/>
  <c r="C30" i="4"/>
  <c r="A30" i="4"/>
  <c r="U29" i="4"/>
  <c r="S29" i="4"/>
  <c r="R29" i="4"/>
  <c r="L29" i="4"/>
  <c r="N29" i="4" s="1"/>
  <c r="K29" i="4"/>
  <c r="H29" i="4"/>
  <c r="C29" i="4"/>
  <c r="A29" i="4"/>
  <c r="U28" i="4"/>
  <c r="R28" i="4"/>
  <c r="S28" i="4" s="1"/>
  <c r="K28" i="4"/>
  <c r="L28" i="4" s="1"/>
  <c r="H28" i="4"/>
  <c r="C28" i="4"/>
  <c r="A28" i="4"/>
  <c r="U27" i="4"/>
  <c r="R27" i="4"/>
  <c r="S27" i="4" s="1"/>
  <c r="K27" i="4"/>
  <c r="L27" i="4" s="1"/>
  <c r="H27" i="4"/>
  <c r="C27" i="4"/>
  <c r="A27" i="4"/>
  <c r="U26" i="4"/>
  <c r="R26" i="4"/>
  <c r="S26" i="4" s="1"/>
  <c r="K26" i="4"/>
  <c r="L26" i="4" s="1"/>
  <c r="H26" i="4"/>
  <c r="C26" i="4"/>
  <c r="A26" i="4"/>
  <c r="U25" i="4"/>
  <c r="S25" i="4"/>
  <c r="R25" i="4"/>
  <c r="K25" i="4"/>
  <c r="L25" i="4" s="1"/>
  <c r="H25" i="4"/>
  <c r="C25" i="4"/>
  <c r="A25" i="4"/>
  <c r="U24" i="4"/>
  <c r="R24" i="4"/>
  <c r="S24" i="4" s="1"/>
  <c r="L24" i="4"/>
  <c r="N24" i="4" s="1"/>
  <c r="K24" i="4"/>
  <c r="H24" i="4"/>
  <c r="C24" i="4"/>
  <c r="A24" i="4"/>
  <c r="U23" i="4"/>
  <c r="S23" i="4"/>
  <c r="R23" i="4"/>
  <c r="L23" i="4"/>
  <c r="N23" i="4" s="1"/>
  <c r="K23" i="4"/>
  <c r="H23" i="4"/>
  <c r="C23" i="4"/>
  <c r="A23" i="4"/>
  <c r="U22" i="4"/>
  <c r="R22" i="4"/>
  <c r="S22" i="4" s="1"/>
  <c r="K22" i="4"/>
  <c r="L22" i="4" s="1"/>
  <c r="H22" i="4"/>
  <c r="C22" i="4"/>
  <c r="A22" i="4"/>
  <c r="U21" i="4"/>
  <c r="R21" i="4"/>
  <c r="S21" i="4" s="1"/>
  <c r="L21" i="4"/>
  <c r="N21" i="4" s="1"/>
  <c r="K21" i="4"/>
  <c r="H21" i="4"/>
  <c r="C21" i="4"/>
  <c r="A21" i="4"/>
  <c r="U20" i="4"/>
  <c r="R20" i="4"/>
  <c r="S20" i="4" s="1"/>
  <c r="K20" i="4"/>
  <c r="L20" i="4" s="1"/>
  <c r="H20" i="4"/>
  <c r="C20" i="4"/>
  <c r="A20" i="4"/>
  <c r="U19" i="4"/>
  <c r="R19" i="4"/>
  <c r="S19" i="4" s="1"/>
  <c r="K19" i="4"/>
  <c r="L19" i="4" s="1"/>
  <c r="H19" i="4"/>
  <c r="C19" i="4"/>
  <c r="A19" i="4"/>
  <c r="U18" i="4"/>
  <c r="S18" i="4"/>
  <c r="R18" i="4"/>
  <c r="K18" i="4"/>
  <c r="L18" i="4" s="1"/>
  <c r="H18" i="4"/>
  <c r="C18" i="4"/>
  <c r="A18" i="4"/>
  <c r="U17" i="4"/>
  <c r="S17" i="4"/>
  <c r="R17" i="4"/>
  <c r="K17" i="4"/>
  <c r="L17" i="4" s="1"/>
  <c r="H17" i="4"/>
  <c r="C17" i="4"/>
  <c r="A17" i="4"/>
  <c r="U16" i="4"/>
  <c r="R16" i="4"/>
  <c r="S16" i="4" s="1"/>
  <c r="N16" i="4"/>
  <c r="M16" i="4"/>
  <c r="L16" i="4"/>
  <c r="K16" i="4"/>
  <c r="H16" i="4"/>
  <c r="C16" i="4"/>
  <c r="A16" i="4"/>
  <c r="U15" i="4"/>
  <c r="S15" i="4"/>
  <c r="R15" i="4"/>
  <c r="K15" i="4"/>
  <c r="L15" i="4" s="1"/>
  <c r="N15" i="4" s="1"/>
  <c r="H15" i="4"/>
  <c r="C15" i="4"/>
  <c r="A15" i="4"/>
  <c r="U14" i="4"/>
  <c r="R14" i="4"/>
  <c r="S14" i="4" s="1"/>
  <c r="K14" i="4"/>
  <c r="L14" i="4" s="1"/>
  <c r="H14" i="4"/>
  <c r="C14" i="4"/>
  <c r="A14" i="4"/>
  <c r="U13" i="4"/>
  <c r="S13" i="4"/>
  <c r="R13" i="4"/>
  <c r="L13" i="4"/>
  <c r="N13" i="4" s="1"/>
  <c r="K13" i="4"/>
  <c r="H13" i="4"/>
  <c r="C13" i="4"/>
  <c r="A13" i="4"/>
  <c r="U12" i="4"/>
  <c r="R12" i="4"/>
  <c r="S12" i="4" s="1"/>
  <c r="K12" i="4"/>
  <c r="L12" i="4" s="1"/>
  <c r="H12" i="4"/>
  <c r="C12" i="4"/>
  <c r="A12" i="4"/>
  <c r="U11" i="4"/>
  <c r="R11" i="4"/>
  <c r="S11" i="4" s="1"/>
  <c r="K11" i="4"/>
  <c r="L11" i="4" s="1"/>
  <c r="H11" i="4"/>
  <c r="C11" i="4"/>
  <c r="A11" i="4"/>
  <c r="U10" i="4"/>
  <c r="R10" i="4"/>
  <c r="S10" i="4" s="1"/>
  <c r="K10" i="4"/>
  <c r="L10" i="4" s="1"/>
  <c r="H10" i="4"/>
  <c r="C10" i="4"/>
  <c r="A10" i="4"/>
  <c r="U9" i="4"/>
  <c r="S9" i="4"/>
  <c r="R9" i="4"/>
  <c r="K9" i="4"/>
  <c r="L9" i="4" s="1"/>
  <c r="H9" i="4"/>
  <c r="C9" i="4"/>
  <c r="A9" i="4"/>
  <c r="U8" i="4"/>
  <c r="R8" i="4"/>
  <c r="S8" i="4" s="1"/>
  <c r="L8" i="4"/>
  <c r="N8" i="4" s="1"/>
  <c r="K8" i="4"/>
  <c r="H8" i="4"/>
  <c r="C8" i="4"/>
  <c r="A8" i="4"/>
  <c r="U7" i="4"/>
  <c r="S7" i="4"/>
  <c r="R7" i="4"/>
  <c r="L7" i="4"/>
  <c r="N7" i="4" s="1"/>
  <c r="K7" i="4"/>
  <c r="H7" i="4"/>
  <c r="C7" i="4"/>
  <c r="A7" i="4"/>
  <c r="U6" i="4"/>
  <c r="R6" i="4"/>
  <c r="S6" i="4" s="1"/>
  <c r="K6" i="4"/>
  <c r="L6" i="4" s="1"/>
  <c r="H6" i="4"/>
  <c r="C6" i="4"/>
  <c r="A6" i="4"/>
  <c r="R5" i="4"/>
  <c r="S5" i="4" s="1"/>
  <c r="L5" i="4"/>
  <c r="N5" i="4" s="1"/>
  <c r="K5" i="4"/>
  <c r="U5" i="4" s="1"/>
  <c r="B26" i="8" s="1"/>
  <c r="H5" i="4"/>
  <c r="C5" i="4"/>
  <c r="A5" i="4"/>
  <c r="G38" i="3"/>
  <c r="F38" i="3"/>
  <c r="F37" i="3"/>
  <c r="E37" i="3"/>
  <c r="D37" i="3"/>
  <c r="C37" i="3"/>
  <c r="F36" i="3"/>
  <c r="E36" i="3"/>
  <c r="D36" i="3"/>
  <c r="C36" i="3"/>
  <c r="F35" i="3"/>
  <c r="E35" i="3"/>
  <c r="D35" i="3"/>
  <c r="C35" i="3"/>
  <c r="H33" i="3"/>
  <c r="G33" i="3"/>
  <c r="H32" i="3"/>
  <c r="G32" i="3"/>
  <c r="H31" i="3"/>
  <c r="G31" i="3"/>
  <c r="H30" i="3"/>
  <c r="G30" i="3"/>
  <c r="H29" i="3"/>
  <c r="G29" i="3"/>
  <c r="H28" i="3"/>
  <c r="G28" i="3"/>
  <c r="H27" i="3"/>
  <c r="G27" i="3"/>
  <c r="H26" i="3"/>
  <c r="G26" i="3"/>
  <c r="H25" i="3"/>
  <c r="G25" i="3"/>
  <c r="H24" i="3"/>
  <c r="G24" i="3"/>
  <c r="H23" i="3"/>
  <c r="G23" i="3"/>
  <c r="H22" i="3"/>
  <c r="G22" i="3"/>
  <c r="P18" i="3"/>
  <c r="K18" i="3"/>
  <c r="D18" i="3"/>
  <c r="F18" i="3" s="1"/>
  <c r="C18" i="3"/>
  <c r="B18" i="3"/>
  <c r="P17" i="3"/>
  <c r="K17" i="3"/>
  <c r="F17" i="3"/>
  <c r="D17" i="3"/>
  <c r="C17" i="3"/>
  <c r="B17" i="3"/>
  <c r="P16" i="3"/>
  <c r="K16" i="3"/>
  <c r="F16" i="3"/>
  <c r="D16" i="3"/>
  <c r="C16" i="3"/>
  <c r="B16" i="3"/>
  <c r="P15" i="3"/>
  <c r="K15" i="3"/>
  <c r="D15" i="3"/>
  <c r="F15" i="3" s="1"/>
  <c r="C15" i="3"/>
  <c r="B15" i="3"/>
  <c r="P14" i="3"/>
  <c r="K14" i="3"/>
  <c r="D14" i="3"/>
  <c r="F14" i="3" s="1"/>
  <c r="C14" i="3"/>
  <c r="B14" i="3"/>
  <c r="P13" i="3"/>
  <c r="K13" i="3"/>
  <c r="D13" i="3"/>
  <c r="F13" i="3" s="1"/>
  <c r="H13" i="3" s="1"/>
  <c r="C13" i="3"/>
  <c r="B13" i="3"/>
  <c r="P12" i="3"/>
  <c r="K12" i="3"/>
  <c r="D12" i="3"/>
  <c r="F12" i="3" s="1"/>
  <c r="H12" i="3" s="1"/>
  <c r="C12" i="3"/>
  <c r="B12" i="3"/>
  <c r="P11" i="3"/>
  <c r="K11" i="3"/>
  <c r="D11" i="3"/>
  <c r="F11" i="3" s="1"/>
  <c r="H11" i="3" s="1"/>
  <c r="C11" i="3"/>
  <c r="B11" i="3"/>
  <c r="P10" i="3"/>
  <c r="K10" i="3"/>
  <c r="D10" i="3"/>
  <c r="F10" i="3" s="1"/>
  <c r="C10" i="3"/>
  <c r="B10" i="3"/>
  <c r="P9" i="3"/>
  <c r="K9" i="3"/>
  <c r="D9" i="3"/>
  <c r="F9" i="3" s="1"/>
  <c r="H9" i="3" s="1"/>
  <c r="C9" i="3"/>
  <c r="B9" i="3"/>
  <c r="P8" i="3"/>
  <c r="K8" i="3"/>
  <c r="F8" i="3"/>
  <c r="H8" i="3" s="1"/>
  <c r="D8" i="3"/>
  <c r="C8" i="3"/>
  <c r="B8" i="3"/>
  <c r="P7" i="3"/>
  <c r="K7" i="3"/>
  <c r="D7" i="3"/>
  <c r="F7" i="3" s="1"/>
  <c r="H7" i="3" s="1"/>
  <c r="C7" i="3"/>
  <c r="B7" i="3"/>
  <c r="K6" i="3"/>
  <c r="D6" i="3"/>
  <c r="F6" i="3" s="1"/>
  <c r="C6" i="3"/>
  <c r="B6" i="3"/>
  <c r="B58" i="2"/>
  <c r="B49" i="2"/>
  <c r="D33" i="2"/>
  <c r="O6" i="4" s="1"/>
  <c r="P6" i="4" s="1"/>
  <c r="C33" i="2"/>
  <c r="O55" i="4" s="1"/>
  <c r="B33" i="2"/>
  <c r="E32" i="2"/>
  <c r="B32" i="2"/>
  <c r="B24" i="2"/>
  <c r="E16" i="2"/>
  <c r="B9" i="2"/>
  <c r="A31" i="11" s="1"/>
  <c r="B4" i="2"/>
  <c r="N117" i="4" l="1"/>
  <c r="M117" i="4"/>
  <c r="N19" i="4"/>
  <c r="M19" i="4"/>
  <c r="N51" i="4"/>
  <c r="M51" i="4"/>
  <c r="N35" i="4"/>
  <c r="M35" i="4"/>
  <c r="M11" i="4"/>
  <c r="N11" i="4"/>
  <c r="M75" i="4"/>
  <c r="N75" i="4"/>
  <c r="M115" i="4"/>
  <c r="N115" i="4"/>
  <c r="B9" i="7"/>
  <c r="B9" i="12"/>
  <c r="M32" i="4"/>
  <c r="N32" i="4"/>
  <c r="M74" i="4"/>
  <c r="N74" i="4"/>
  <c r="M27" i="4"/>
  <c r="N27" i="4"/>
  <c r="N43" i="4"/>
  <c r="M43" i="4"/>
  <c r="M91" i="4"/>
  <c r="N91" i="4"/>
  <c r="A10" i="12"/>
  <c r="H14" i="3"/>
  <c r="N82" i="4"/>
  <c r="N83" i="4"/>
  <c r="M93" i="4"/>
  <c r="M104" i="4"/>
  <c r="M137" i="4"/>
  <c r="N156" i="4"/>
  <c r="M175" i="4"/>
  <c r="N179" i="4"/>
  <c r="M185" i="4"/>
  <c r="M191" i="4"/>
  <c r="M193" i="4"/>
  <c r="M209" i="4"/>
  <c r="M271" i="4"/>
  <c r="N288" i="4"/>
  <c r="B10" i="5"/>
  <c r="J10" i="5" s="1"/>
  <c r="H10" i="3"/>
  <c r="M10" i="3" s="1"/>
  <c r="M8" i="4"/>
  <c r="M24" i="4"/>
  <c r="N8" i="9" s="1"/>
  <c r="M40" i="4"/>
  <c r="M55" i="4"/>
  <c r="M56" i="4"/>
  <c r="N67" i="4"/>
  <c r="N99" i="4"/>
  <c r="M101" i="4"/>
  <c r="M128" i="4"/>
  <c r="M140" i="4"/>
  <c r="M143" i="4"/>
  <c r="M145" i="4"/>
  <c r="N163" i="4"/>
  <c r="M169" i="4"/>
  <c r="M225" i="4"/>
  <c r="M240" i="4"/>
  <c r="M242" i="4"/>
  <c r="M249" i="4"/>
  <c r="M251" i="4"/>
  <c r="M259" i="4"/>
  <c r="N272" i="4"/>
  <c r="N280" i="4"/>
  <c r="B16" i="5"/>
  <c r="J16" i="5" s="1"/>
  <c r="K18" i="12"/>
  <c r="G37" i="3"/>
  <c r="M63" i="4"/>
  <c r="M64" i="4"/>
  <c r="M77" i="4"/>
  <c r="N107" i="4"/>
  <c r="M109" i="4"/>
  <c r="M131" i="4"/>
  <c r="M136" i="4"/>
  <c r="M161" i="4"/>
  <c r="M178" i="4"/>
  <c r="M197" i="4"/>
  <c r="M205" i="4"/>
  <c r="M216" i="4"/>
  <c r="M218" i="4"/>
  <c r="M278" i="4"/>
  <c r="A12" i="12"/>
  <c r="A16" i="12"/>
  <c r="C38" i="3"/>
  <c r="H16" i="3"/>
  <c r="D15" i="12" s="1"/>
  <c r="H6" i="3"/>
  <c r="L6" i="3" s="1"/>
  <c r="H15" i="3"/>
  <c r="M153" i="4"/>
  <c r="N155" i="4"/>
  <c r="M159" i="4"/>
  <c r="M168" i="4"/>
  <c r="M181" i="4"/>
  <c r="M224" i="4"/>
  <c r="M226" i="4"/>
  <c r="M245" i="4"/>
  <c r="M248" i="4"/>
  <c r="M250" i="4"/>
  <c r="M257" i="4"/>
  <c r="M273" i="4"/>
  <c r="M281" i="4"/>
  <c r="M284" i="4"/>
  <c r="J9" i="12"/>
  <c r="H17" i="3"/>
  <c r="H18" i="3"/>
  <c r="M129" i="4"/>
  <c r="N170" i="4"/>
  <c r="N187" i="4"/>
  <c r="N211" i="4"/>
  <c r="M231" i="4"/>
  <c r="M233" i="4"/>
  <c r="M263" i="4"/>
  <c r="M265" i="4"/>
  <c r="N296" i="4"/>
  <c r="N42" i="4"/>
  <c r="M42" i="4"/>
  <c r="N9" i="4"/>
  <c r="M9" i="4"/>
  <c r="F6" i="5"/>
  <c r="D6" i="7" s="1"/>
  <c r="F13" i="5"/>
  <c r="D13" i="7" s="1"/>
  <c r="D12" i="12"/>
  <c r="M13" i="3"/>
  <c r="L13" i="3"/>
  <c r="N6" i="4"/>
  <c r="M6" i="4"/>
  <c r="O20" i="9" s="1"/>
  <c r="N22" i="4"/>
  <c r="M22" i="4"/>
  <c r="N38" i="4"/>
  <c r="M38" i="4"/>
  <c r="M98" i="4"/>
  <c r="N98" i="4"/>
  <c r="D6" i="12"/>
  <c r="F7" i="5"/>
  <c r="D7" i="7" s="1"/>
  <c r="L7" i="3"/>
  <c r="N7" i="3" s="1"/>
  <c r="M7" i="3"/>
  <c r="N12" i="4"/>
  <c r="M12" i="4"/>
  <c r="N26" i="4"/>
  <c r="M26" i="4"/>
  <c r="D16" i="12"/>
  <c r="F17" i="5"/>
  <c r="D17" i="7" s="1"/>
  <c r="M17" i="3"/>
  <c r="L17" i="3"/>
  <c r="N25" i="4"/>
  <c r="M25" i="4"/>
  <c r="N41" i="4"/>
  <c r="M41" i="4"/>
  <c r="M90" i="4"/>
  <c r="N90" i="4"/>
  <c r="D8" i="12"/>
  <c r="F9" i="5"/>
  <c r="D9" i="7" s="1"/>
  <c r="M9" i="3"/>
  <c r="N9" i="3" s="1"/>
  <c r="L9" i="3"/>
  <c r="F16" i="5"/>
  <c r="D16" i="7" s="1"/>
  <c r="P34" i="4"/>
  <c r="P36" i="4"/>
  <c r="E18" i="12"/>
  <c r="E10" i="12"/>
  <c r="E15" i="12"/>
  <c r="E7" i="12"/>
  <c r="E13" i="12"/>
  <c r="E6" i="12"/>
  <c r="E11" i="12"/>
  <c r="E12" i="12"/>
  <c r="E16" i="12"/>
  <c r="E14" i="12"/>
  <c r="E8" i="12"/>
  <c r="A32" i="11"/>
  <c r="E9" i="12"/>
  <c r="E17" i="12"/>
  <c r="M58" i="4"/>
  <c r="N58" i="4"/>
  <c r="N44" i="4"/>
  <c r="M44" i="4"/>
  <c r="B14" i="8"/>
  <c r="O125" i="4"/>
  <c r="P125" i="4" s="1"/>
  <c r="O117" i="4"/>
  <c r="O120" i="4"/>
  <c r="P120" i="4" s="1"/>
  <c r="O112" i="4"/>
  <c r="P112" i="4" s="1"/>
  <c r="O104" i="4"/>
  <c r="P104" i="4" s="1"/>
  <c r="O96" i="4"/>
  <c r="P96" i="4" s="1"/>
  <c r="O88" i="4"/>
  <c r="P88" i="4" s="1"/>
  <c r="O80" i="4"/>
  <c r="P80" i="4" s="1"/>
  <c r="O72" i="4"/>
  <c r="P72" i="4" s="1"/>
  <c r="O64" i="4"/>
  <c r="P64" i="4" s="1"/>
  <c r="O56" i="4"/>
  <c r="P56" i="4" s="1"/>
  <c r="O123" i="4"/>
  <c r="P123" i="4" s="1"/>
  <c r="O126" i="4"/>
  <c r="P126" i="4" s="1"/>
  <c r="O118" i="4"/>
  <c r="P118" i="4" s="1"/>
  <c r="O121" i="4"/>
  <c r="P121" i="4" s="1"/>
  <c r="O113" i="4"/>
  <c r="P113" i="4" s="1"/>
  <c r="O105" i="4"/>
  <c r="P105" i="4" s="1"/>
  <c r="O97" i="4"/>
  <c r="P97" i="4" s="1"/>
  <c r="O89" i="4"/>
  <c r="P89" i="4" s="1"/>
  <c r="O81" i="4"/>
  <c r="P81" i="4" s="1"/>
  <c r="O73" i="4"/>
  <c r="P73" i="4" s="1"/>
  <c r="O65" i="4"/>
  <c r="P65" i="4" s="1"/>
  <c r="O57" i="4"/>
  <c r="P57" i="4" s="1"/>
  <c r="O124" i="4"/>
  <c r="P124" i="4" s="1"/>
  <c r="O116" i="4"/>
  <c r="P116" i="4" s="1"/>
  <c r="O108" i="4"/>
  <c r="O100" i="4"/>
  <c r="O92" i="4"/>
  <c r="P92" i="4" s="1"/>
  <c r="O84" i="4"/>
  <c r="O76" i="4"/>
  <c r="P76" i="4" s="1"/>
  <c r="O68" i="4"/>
  <c r="P68" i="4" s="1"/>
  <c r="O60" i="4"/>
  <c r="O127" i="4"/>
  <c r="P127" i="4" s="1"/>
  <c r="O119" i="4"/>
  <c r="O111" i="4"/>
  <c r="P111" i="4" s="1"/>
  <c r="O103" i="4"/>
  <c r="P103" i="4" s="1"/>
  <c r="O95" i="4"/>
  <c r="O87" i="4"/>
  <c r="P87" i="4" s="1"/>
  <c r="O79" i="4"/>
  <c r="P79" i="4" s="1"/>
  <c r="O71" i="4"/>
  <c r="O63" i="4"/>
  <c r="P63" i="4" s="1"/>
  <c r="O122" i="4"/>
  <c r="O114" i="4"/>
  <c r="P114" i="4" s="1"/>
  <c r="O106" i="4"/>
  <c r="P106" i="4" s="1"/>
  <c r="O98" i="4"/>
  <c r="O90" i="4"/>
  <c r="O82" i="4"/>
  <c r="O74" i="4"/>
  <c r="O66" i="4"/>
  <c r="O58" i="4"/>
  <c r="O110" i="4"/>
  <c r="P110" i="4" s="1"/>
  <c r="O109" i="4"/>
  <c r="P109" i="4" s="1"/>
  <c r="O99" i="4"/>
  <c r="P99" i="4" s="1"/>
  <c r="O49" i="4"/>
  <c r="P49" i="4" s="1"/>
  <c r="O33" i="4"/>
  <c r="P33" i="4" s="1"/>
  <c r="O17" i="4"/>
  <c r="P17" i="4" s="1"/>
  <c r="O107" i="4"/>
  <c r="P107" i="4" s="1"/>
  <c r="O44" i="4"/>
  <c r="O36" i="4"/>
  <c r="O20" i="4"/>
  <c r="P20" i="4" s="1"/>
  <c r="O12" i="4"/>
  <c r="P12" i="4" s="1"/>
  <c r="O115" i="4"/>
  <c r="O62" i="4"/>
  <c r="P62" i="4" s="1"/>
  <c r="O61" i="4"/>
  <c r="O47" i="4"/>
  <c r="P47" i="4" s="1"/>
  <c r="O31" i="4"/>
  <c r="P31" i="4" s="1"/>
  <c r="O23" i="4"/>
  <c r="P23" i="4" s="1"/>
  <c r="O15" i="4"/>
  <c r="P15" i="4" s="1"/>
  <c r="O7" i="4"/>
  <c r="P7" i="4" s="1"/>
  <c r="O70" i="4"/>
  <c r="P70" i="4" s="1"/>
  <c r="O69" i="4"/>
  <c r="O59" i="4"/>
  <c r="P59" i="4" s="1"/>
  <c r="O50" i="4"/>
  <c r="P50" i="4" s="1"/>
  <c r="O34" i="4"/>
  <c r="O18" i="4"/>
  <c r="P18" i="4" s="1"/>
  <c r="O78" i="4"/>
  <c r="P78" i="4" s="1"/>
  <c r="O77" i="4"/>
  <c r="O67" i="4"/>
  <c r="P67" i="4" s="1"/>
  <c r="O45" i="4"/>
  <c r="P45" i="4" s="1"/>
  <c r="O37" i="4"/>
  <c r="P37" i="4" s="1"/>
  <c r="O21" i="4"/>
  <c r="P21" i="4" s="1"/>
  <c r="O86" i="4"/>
  <c r="O85" i="4"/>
  <c r="P85" i="4" s="1"/>
  <c r="O75" i="4"/>
  <c r="P75" i="4" s="1"/>
  <c r="O48" i="4"/>
  <c r="P48" i="4" s="1"/>
  <c r="O32" i="4"/>
  <c r="P32" i="4" s="1"/>
  <c r="O24" i="4"/>
  <c r="P24" i="4" s="1"/>
  <c r="O16" i="4"/>
  <c r="P16" i="4" s="1"/>
  <c r="O8" i="4"/>
  <c r="P8" i="4" s="1"/>
  <c r="O94" i="4"/>
  <c r="P94" i="4" s="1"/>
  <c r="O93" i="4"/>
  <c r="O83" i="4"/>
  <c r="P83" i="4" s="1"/>
  <c r="O43" i="4"/>
  <c r="P43" i="4" s="1"/>
  <c r="O35" i="4"/>
  <c r="P35" i="4" s="1"/>
  <c r="O19" i="4"/>
  <c r="P19" i="4" s="1"/>
  <c r="O102" i="4"/>
  <c r="P102" i="4" s="1"/>
  <c r="O101" i="4"/>
  <c r="P101" i="4" s="1"/>
  <c r="O91" i="4"/>
  <c r="P91" i="4" s="1"/>
  <c r="O46" i="4"/>
  <c r="P46" i="4" s="1"/>
  <c r="O30" i="4"/>
  <c r="P30" i="4" s="1"/>
  <c r="O22" i="4"/>
  <c r="P22" i="4" s="1"/>
  <c r="O14" i="4"/>
  <c r="P14" i="4" s="1"/>
  <c r="F12" i="5"/>
  <c r="D12" i="7" s="1"/>
  <c r="D11" i="12"/>
  <c r="L12" i="3"/>
  <c r="M12" i="3"/>
  <c r="N18" i="4"/>
  <c r="M18" i="4"/>
  <c r="N20" i="4"/>
  <c r="M20" i="4"/>
  <c r="N10" i="9" s="1"/>
  <c r="N34" i="4"/>
  <c r="M34" i="4"/>
  <c r="N36" i="4"/>
  <c r="M36" i="4"/>
  <c r="N50" i="4"/>
  <c r="M50" i="4"/>
  <c r="N52" i="4"/>
  <c r="M52" i="4"/>
  <c r="M106" i="4"/>
  <c r="N106" i="4"/>
  <c r="D13" i="12"/>
  <c r="F14" i="5"/>
  <c r="D14" i="7" s="1"/>
  <c r="L14" i="3"/>
  <c r="P44" i="4"/>
  <c r="D9" i="12"/>
  <c r="F10" i="5"/>
  <c r="D10" i="7" s="1"/>
  <c r="N10" i="3"/>
  <c r="L10" i="3"/>
  <c r="N28" i="4"/>
  <c r="M28" i="4"/>
  <c r="O29" i="9"/>
  <c r="O25" i="9"/>
  <c r="O13" i="9"/>
  <c r="N29" i="9"/>
  <c r="N25" i="9"/>
  <c r="N21" i="9"/>
  <c r="N13" i="9"/>
  <c r="N9" i="9"/>
  <c r="A18" i="11"/>
  <c r="O28" i="9"/>
  <c r="O24" i="9"/>
  <c r="O16" i="9"/>
  <c r="N28" i="9"/>
  <c r="N24" i="9"/>
  <c r="N16" i="9"/>
  <c r="O27" i="9"/>
  <c r="O23" i="9"/>
  <c r="O15" i="9"/>
  <c r="O11" i="9"/>
  <c r="N27" i="9"/>
  <c r="N23" i="9"/>
  <c r="N15" i="9"/>
  <c r="N11" i="9"/>
  <c r="O26" i="9"/>
  <c r="O18" i="9"/>
  <c r="O14" i="9"/>
  <c r="O10" i="9"/>
  <c r="N26" i="9"/>
  <c r="N18" i="9"/>
  <c r="N14" i="9"/>
  <c r="T121" i="4"/>
  <c r="T124" i="4"/>
  <c r="T116" i="4"/>
  <c r="T108" i="4"/>
  <c r="T100" i="4"/>
  <c r="T92" i="4"/>
  <c r="T84" i="4"/>
  <c r="T76" i="4"/>
  <c r="T68" i="4"/>
  <c r="T60" i="4"/>
  <c r="T127" i="4"/>
  <c r="T122" i="4"/>
  <c r="T125" i="4"/>
  <c r="T117" i="4"/>
  <c r="T109" i="4"/>
  <c r="T101" i="4"/>
  <c r="T93" i="4"/>
  <c r="T85" i="4"/>
  <c r="T77" i="4"/>
  <c r="T69" i="4"/>
  <c r="T61" i="4"/>
  <c r="T120" i="4"/>
  <c r="T112" i="4"/>
  <c r="T104" i="4"/>
  <c r="T96" i="4"/>
  <c r="T88" i="4"/>
  <c r="T80" i="4"/>
  <c r="T72" i="4"/>
  <c r="T64" i="4"/>
  <c r="T56" i="4"/>
  <c r="T123" i="4"/>
  <c r="T115" i="4"/>
  <c r="T107" i="4"/>
  <c r="T99" i="4"/>
  <c r="T91" i="4"/>
  <c r="T83" i="4"/>
  <c r="T75" i="4"/>
  <c r="T67" i="4"/>
  <c r="T59" i="4"/>
  <c r="T126" i="4"/>
  <c r="T118" i="4"/>
  <c r="T110" i="4"/>
  <c r="T102" i="4"/>
  <c r="T94" i="4"/>
  <c r="T86" i="4"/>
  <c r="T78" i="4"/>
  <c r="T70" i="4"/>
  <c r="T62" i="4"/>
  <c r="T54" i="4"/>
  <c r="T119" i="4"/>
  <c r="T98" i="4"/>
  <c r="T89" i="4"/>
  <c r="T79" i="4"/>
  <c r="T45" i="4"/>
  <c r="T37" i="4"/>
  <c r="T29" i="4"/>
  <c r="T21" i="4"/>
  <c r="T13" i="4"/>
  <c r="T5" i="4"/>
  <c r="T106" i="4"/>
  <c r="T97" i="4"/>
  <c r="T87" i="4"/>
  <c r="T53" i="4"/>
  <c r="T48" i="4"/>
  <c r="T40" i="4"/>
  <c r="T32" i="4"/>
  <c r="T24" i="4"/>
  <c r="T16" i="4"/>
  <c r="T8" i="4"/>
  <c r="T114" i="4"/>
  <c r="T105" i="4"/>
  <c r="T95" i="4"/>
  <c r="T51" i="4"/>
  <c r="T43" i="4"/>
  <c r="T35" i="4"/>
  <c r="T27" i="4"/>
  <c r="T19" i="4"/>
  <c r="T11" i="4"/>
  <c r="T113" i="4"/>
  <c r="T103" i="4"/>
  <c r="T58" i="4"/>
  <c r="T46" i="4"/>
  <c r="T38" i="4"/>
  <c r="T30" i="4"/>
  <c r="T22" i="4"/>
  <c r="T14" i="4"/>
  <c r="T6" i="4"/>
  <c r="T111" i="4"/>
  <c r="T66" i="4"/>
  <c r="T57" i="4"/>
  <c r="T49" i="4"/>
  <c r="T41" i="4"/>
  <c r="T33" i="4"/>
  <c r="T25" i="4"/>
  <c r="T17" i="4"/>
  <c r="T9" i="4"/>
  <c r="T10" i="4"/>
  <c r="T74" i="4"/>
  <c r="T65" i="4"/>
  <c r="T55" i="4"/>
  <c r="T52" i="4"/>
  <c r="T44" i="4"/>
  <c r="T36" i="4"/>
  <c r="T28" i="4"/>
  <c r="T20" i="4"/>
  <c r="T12" i="4"/>
  <c r="T82" i="4"/>
  <c r="T73" i="4"/>
  <c r="T63" i="4"/>
  <c r="T47" i="4"/>
  <c r="T39" i="4"/>
  <c r="T31" i="4"/>
  <c r="T23" i="4"/>
  <c r="T15" i="4"/>
  <c r="T7" i="4"/>
  <c r="T90" i="4"/>
  <c r="T81" i="4"/>
  <c r="T71" i="4"/>
  <c r="T50" i="4"/>
  <c r="T42" i="4"/>
  <c r="T34" i="4"/>
  <c r="T26" i="4"/>
  <c r="T18" i="4"/>
  <c r="D7" i="12"/>
  <c r="F8" i="5"/>
  <c r="D8" i="7" s="1"/>
  <c r="M8" i="3"/>
  <c r="L8" i="3"/>
  <c r="F15" i="5"/>
  <c r="D15" i="7" s="1"/>
  <c r="D14" i="12"/>
  <c r="L15" i="3"/>
  <c r="N15" i="3" s="1"/>
  <c r="M15" i="3"/>
  <c r="N17" i="4"/>
  <c r="M17" i="4"/>
  <c r="N33" i="4"/>
  <c r="M33" i="4"/>
  <c r="N49" i="4"/>
  <c r="M49" i="4"/>
  <c r="P86" i="4"/>
  <c r="N10" i="4"/>
  <c r="M10" i="4"/>
  <c r="O19" i="9" s="1"/>
  <c r="M14" i="3"/>
  <c r="D10" i="12"/>
  <c r="F11" i="5"/>
  <c r="D11" i="7" s="1"/>
  <c r="L11" i="3"/>
  <c r="M11" i="3"/>
  <c r="N11" i="3" s="1"/>
  <c r="F18" i="5"/>
  <c r="D18" i="7" s="1"/>
  <c r="D18" i="12"/>
  <c r="D17" i="12"/>
  <c r="M18" i="3"/>
  <c r="L18" i="3"/>
  <c r="N14" i="4"/>
  <c r="M14" i="4"/>
  <c r="N30" i="4"/>
  <c r="M30" i="4"/>
  <c r="N46" i="4"/>
  <c r="M46" i="4"/>
  <c r="O38" i="4"/>
  <c r="P38" i="4" s="1"/>
  <c r="N57" i="4"/>
  <c r="M57" i="4"/>
  <c r="P69" i="4"/>
  <c r="N84" i="4"/>
  <c r="M84" i="4"/>
  <c r="N94" i="4"/>
  <c r="M94" i="4"/>
  <c r="P95" i="4"/>
  <c r="N124" i="4"/>
  <c r="M124" i="4"/>
  <c r="G36" i="3"/>
  <c r="E38" i="3"/>
  <c r="M5" i="4"/>
  <c r="E18" i="5" s="1"/>
  <c r="O11" i="4"/>
  <c r="P11" i="4" s="1"/>
  <c r="M13" i="4"/>
  <c r="M21" i="4"/>
  <c r="O27" i="4"/>
  <c r="P27" i="4" s="1"/>
  <c r="M29" i="4"/>
  <c r="M37" i="4"/>
  <c r="M45" i="4"/>
  <c r="O51" i="4"/>
  <c r="P51" i="4" s="1"/>
  <c r="M53" i="4"/>
  <c r="P60" i="4"/>
  <c r="P61" i="4"/>
  <c r="N66" i="4"/>
  <c r="N76" i="4"/>
  <c r="M76" i="4"/>
  <c r="M85" i="4"/>
  <c r="N86" i="4"/>
  <c r="M86" i="4"/>
  <c r="M103" i="4"/>
  <c r="M112" i="4"/>
  <c r="N113" i="4"/>
  <c r="M113" i="4"/>
  <c r="P115" i="4"/>
  <c r="P122" i="4"/>
  <c r="N123" i="4"/>
  <c r="M123" i="4"/>
  <c r="D38" i="3"/>
  <c r="B6" i="8"/>
  <c r="B13" i="8"/>
  <c r="B5" i="8"/>
  <c r="C6" i="5"/>
  <c r="O40" i="4"/>
  <c r="P40" i="4" s="1"/>
  <c r="N68" i="4"/>
  <c r="M68" i="4"/>
  <c r="N78" i="4"/>
  <c r="M78" i="4"/>
  <c r="P98" i="4"/>
  <c r="N105" i="4"/>
  <c r="M105" i="4"/>
  <c r="P117" i="4"/>
  <c r="N122" i="4"/>
  <c r="M122" i="4"/>
  <c r="O5" i="4"/>
  <c r="P5" i="4" s="1"/>
  <c r="M7" i="4"/>
  <c r="O13" i="4"/>
  <c r="P13" i="4" s="1"/>
  <c r="M15" i="4"/>
  <c r="N6" i="9" s="1"/>
  <c r="M23" i="4"/>
  <c r="N12" i="9" s="1"/>
  <c r="O29" i="4"/>
  <c r="P29" i="4" s="1"/>
  <c r="M31" i="4"/>
  <c r="M39" i="4"/>
  <c r="M47" i="4"/>
  <c r="O53" i="4"/>
  <c r="P53" i="4" s="1"/>
  <c r="N60" i="4"/>
  <c r="M60" i="4"/>
  <c r="M69" i="4"/>
  <c r="N70" i="4"/>
  <c r="M70" i="4"/>
  <c r="P71" i="4"/>
  <c r="M87" i="4"/>
  <c r="P90" i="4"/>
  <c r="M96" i="4"/>
  <c r="N97" i="4"/>
  <c r="K16" i="7" s="1"/>
  <c r="M97" i="4"/>
  <c r="P108" i="4"/>
  <c r="N114" i="4"/>
  <c r="P119" i="4"/>
  <c r="N121" i="4"/>
  <c r="M121" i="4"/>
  <c r="M127" i="4"/>
  <c r="N127" i="4"/>
  <c r="B50" i="2"/>
  <c r="B51" i="2" s="1"/>
  <c r="B52" i="2" s="1"/>
  <c r="E52" i="2" s="1"/>
  <c r="G35" i="3"/>
  <c r="O10" i="4"/>
  <c r="P10" i="4" s="1"/>
  <c r="O26" i="4"/>
  <c r="P26" i="4" s="1"/>
  <c r="O42" i="4"/>
  <c r="P42" i="4" s="1"/>
  <c r="M61" i="4"/>
  <c r="N62" i="4"/>
  <c r="M62" i="4"/>
  <c r="P82" i="4"/>
  <c r="N89" i="4"/>
  <c r="M89" i="4"/>
  <c r="P100" i="4"/>
  <c r="N118" i="4"/>
  <c r="M118" i="4"/>
  <c r="M119" i="4"/>
  <c r="N119" i="4"/>
  <c r="O39" i="4"/>
  <c r="P39" i="4" s="1"/>
  <c r="N54" i="4"/>
  <c r="P55" i="4"/>
  <c r="M71" i="4"/>
  <c r="P74" i="4"/>
  <c r="M80" i="4"/>
  <c r="N81" i="4"/>
  <c r="M81" i="4"/>
  <c r="P93" i="4"/>
  <c r="N108" i="4"/>
  <c r="M108" i="4"/>
  <c r="N120" i="4"/>
  <c r="N126" i="4"/>
  <c r="M126" i="4"/>
  <c r="O28" i="4"/>
  <c r="P28" i="4" s="1"/>
  <c r="O52" i="4"/>
  <c r="P52" i="4" s="1"/>
  <c r="O54" i="4"/>
  <c r="P54" i="4" s="1"/>
  <c r="P66" i="4"/>
  <c r="N73" i="4"/>
  <c r="M73" i="4"/>
  <c r="P84" i="4"/>
  <c r="N100" i="4"/>
  <c r="M100" i="4"/>
  <c r="N110" i="4"/>
  <c r="M110" i="4"/>
  <c r="O9" i="4"/>
  <c r="P9" i="4" s="1"/>
  <c r="O25" i="4"/>
  <c r="P25" i="4" s="1"/>
  <c r="O41" i="4"/>
  <c r="P41" i="4" s="1"/>
  <c r="P58" i="4"/>
  <c r="N65" i="4"/>
  <c r="M65" i="4"/>
  <c r="P77" i="4"/>
  <c r="N92" i="4"/>
  <c r="M92" i="4"/>
  <c r="N102" i="4"/>
  <c r="M102" i="4"/>
  <c r="M116" i="4"/>
  <c r="N252" i="4"/>
  <c r="M252" i="4"/>
  <c r="N294" i="4"/>
  <c r="M294" i="4"/>
  <c r="N196" i="4"/>
  <c r="M196" i="4"/>
  <c r="N228" i="4"/>
  <c r="M228" i="4"/>
  <c r="A17" i="7"/>
  <c r="B17" i="5"/>
  <c r="A17" i="12"/>
  <c r="M134" i="4"/>
  <c r="M142" i="4"/>
  <c r="N147" i="4"/>
  <c r="M149" i="4"/>
  <c r="M151" i="4"/>
  <c r="M157" i="4"/>
  <c r="N166" i="4"/>
  <c r="M166" i="4"/>
  <c r="N172" i="4"/>
  <c r="M255" i="4"/>
  <c r="M266" i="4"/>
  <c r="N268" i="4"/>
  <c r="M268" i="4"/>
  <c r="N286" i="4"/>
  <c r="M286" i="4"/>
  <c r="N244" i="4"/>
  <c r="M244" i="4"/>
  <c r="A11" i="6"/>
  <c r="K16" i="12"/>
  <c r="J16" i="12"/>
  <c r="N204" i="4"/>
  <c r="M204" i="4"/>
  <c r="N220" i="4"/>
  <c r="M220" i="4"/>
  <c r="M125" i="4"/>
  <c r="M133" i="4"/>
  <c r="M141" i="4"/>
  <c r="N158" i="4"/>
  <c r="M158" i="4"/>
  <c r="N164" i="4"/>
  <c r="M173" i="4"/>
  <c r="N180" i="4"/>
  <c r="M180" i="4"/>
  <c r="M247" i="4"/>
  <c r="M258" i="4"/>
  <c r="N260" i="4"/>
  <c r="M260" i="4"/>
  <c r="M130" i="4"/>
  <c r="M138" i="4"/>
  <c r="M146" i="4"/>
  <c r="M148" i="4"/>
  <c r="M150" i="4"/>
  <c r="M162" i="4"/>
  <c r="M167" i="4"/>
  <c r="M183" i="4"/>
  <c r="M202" i="4"/>
  <c r="M207" i="4"/>
  <c r="M223" i="4"/>
  <c r="M234" i="4"/>
  <c r="N236" i="4"/>
  <c r="M236" i="4"/>
  <c r="M275" i="4"/>
  <c r="M279" i="4"/>
  <c r="N279" i="4"/>
  <c r="A10" i="6"/>
  <c r="N174" i="4"/>
  <c r="M174" i="4"/>
  <c r="N188" i="4"/>
  <c r="M188" i="4"/>
  <c r="N212" i="4"/>
  <c r="M212" i="4"/>
  <c r="B6" i="12"/>
  <c r="B6" i="7"/>
  <c r="A7" i="7"/>
  <c r="B7" i="5"/>
  <c r="A7" i="12"/>
  <c r="A8" i="7"/>
  <c r="A8" i="12"/>
  <c r="B8" i="5"/>
  <c r="K15" i="12"/>
  <c r="J15" i="12"/>
  <c r="M182" i="4"/>
  <c r="M190" i="4"/>
  <c r="M198" i="4"/>
  <c r="M206" i="4"/>
  <c r="M214" i="4"/>
  <c r="M222" i="4"/>
  <c r="M230" i="4"/>
  <c r="M238" i="4"/>
  <c r="M246" i="4"/>
  <c r="M254" i="4"/>
  <c r="M262" i="4"/>
  <c r="M270" i="4"/>
  <c r="M274" i="4"/>
  <c r="M282" i="4"/>
  <c r="N287" i="4"/>
  <c r="M287" i="4"/>
  <c r="N290" i="4"/>
  <c r="M290" i="4"/>
  <c r="N298" i="4"/>
  <c r="M298" i="4"/>
  <c r="J7" i="12"/>
  <c r="A11" i="7"/>
  <c r="A11" i="12"/>
  <c r="A14" i="12"/>
  <c r="A14" i="7"/>
  <c r="B14" i="5"/>
  <c r="A16" i="6"/>
  <c r="N283" i="4"/>
  <c r="M283" i="4"/>
  <c r="N291" i="4"/>
  <c r="M291" i="4"/>
  <c r="N299" i="4"/>
  <c r="M299" i="4"/>
  <c r="J6" i="5"/>
  <c r="A6" i="6" s="1"/>
  <c r="B10" i="7"/>
  <c r="B10" i="12"/>
  <c r="B11" i="12"/>
  <c r="B11" i="7"/>
  <c r="A13" i="7"/>
  <c r="B13" i="5"/>
  <c r="K8" i="12"/>
  <c r="J8" i="12"/>
  <c r="B16" i="12"/>
  <c r="B16" i="7"/>
  <c r="A15" i="7"/>
  <c r="A18" i="7"/>
  <c r="A18" i="12"/>
  <c r="M295" i="4"/>
  <c r="A9" i="7"/>
  <c r="A9" i="12"/>
  <c r="B12" i="5"/>
  <c r="B15" i="5"/>
  <c r="B18" i="5"/>
  <c r="J12" i="12"/>
  <c r="J13" i="12"/>
  <c r="A6" i="12"/>
  <c r="A6" i="7"/>
  <c r="K6" i="7" s="1"/>
  <c r="L6" i="7" s="1"/>
  <c r="J9" i="5"/>
  <c r="A9" i="6" s="1"/>
  <c r="A15" i="12"/>
  <c r="N19" i="9" l="1"/>
  <c r="B21" i="8"/>
  <c r="O9" i="9"/>
  <c r="O8" i="9"/>
  <c r="K12" i="7"/>
  <c r="O5" i="9"/>
  <c r="K10" i="7"/>
  <c r="O22" i="9"/>
  <c r="N12" i="3"/>
  <c r="B22" i="8"/>
  <c r="K13" i="7"/>
  <c r="L16" i="3"/>
  <c r="K11" i="7"/>
  <c r="K17" i="7"/>
  <c r="O21" i="9"/>
  <c r="M16" i="3"/>
  <c r="N16" i="3" s="1"/>
  <c r="P6" i="3"/>
  <c r="B28" i="8" s="1"/>
  <c r="K14" i="7"/>
  <c r="N22" i="9"/>
  <c r="M6" i="3"/>
  <c r="N6" i="3" s="1"/>
  <c r="S6" i="5" s="1"/>
  <c r="S7" i="5" s="1"/>
  <c r="A27" i="11"/>
  <c r="B8" i="11"/>
  <c r="C18" i="12"/>
  <c r="C18" i="7"/>
  <c r="F9" i="6"/>
  <c r="D9" i="6"/>
  <c r="B24" i="8"/>
  <c r="T6" i="5"/>
  <c r="F16" i="6"/>
  <c r="D16" i="6"/>
  <c r="O7" i="9"/>
  <c r="G9" i="12"/>
  <c r="F9" i="12"/>
  <c r="G13" i="12"/>
  <c r="F13" i="12"/>
  <c r="Q6" i="5"/>
  <c r="Q7" i="5" s="1"/>
  <c r="K15" i="7"/>
  <c r="E7" i="5"/>
  <c r="E17" i="5"/>
  <c r="E10" i="5"/>
  <c r="E16" i="5"/>
  <c r="D10" i="5"/>
  <c r="D16" i="5"/>
  <c r="E9" i="5"/>
  <c r="D6" i="5"/>
  <c r="D9" i="5"/>
  <c r="E12" i="5"/>
  <c r="D12" i="5"/>
  <c r="D18" i="5"/>
  <c r="D13" i="5"/>
  <c r="E11" i="5"/>
  <c r="A33" i="11"/>
  <c r="B15" i="8"/>
  <c r="N20" i="9"/>
  <c r="N5" i="9"/>
  <c r="O17" i="9"/>
  <c r="F7" i="12"/>
  <c r="G7" i="12"/>
  <c r="N13" i="3"/>
  <c r="R7" i="5"/>
  <c r="C7" i="11" s="1"/>
  <c r="E15" i="5"/>
  <c r="D8" i="5"/>
  <c r="B8" i="12"/>
  <c r="B8" i="7"/>
  <c r="J8" i="5"/>
  <c r="A8" i="6" s="1"/>
  <c r="D10" i="6"/>
  <c r="F10" i="6"/>
  <c r="N7" i="9"/>
  <c r="N14" i="3"/>
  <c r="G8" i="12"/>
  <c r="F8" i="12"/>
  <c r="E6" i="5"/>
  <c r="G14" i="12"/>
  <c r="F14" i="12"/>
  <c r="F10" i="12"/>
  <c r="G10" i="12"/>
  <c r="B7" i="7"/>
  <c r="J7" i="5"/>
  <c r="A7" i="6" s="1"/>
  <c r="B7" i="12"/>
  <c r="B12" i="7"/>
  <c r="J12" i="5"/>
  <c r="A12" i="6" s="1"/>
  <c r="B12" i="12"/>
  <c r="E14" i="5"/>
  <c r="M6" i="7"/>
  <c r="K9" i="7"/>
  <c r="E8" i="5"/>
  <c r="D17" i="5"/>
  <c r="F15" i="12"/>
  <c r="G15" i="12"/>
  <c r="B27" i="8"/>
  <c r="A29" i="11"/>
  <c r="D11" i="5"/>
  <c r="K8" i="7"/>
  <c r="N18" i="3"/>
  <c r="J17" i="5"/>
  <c r="A17" i="6" s="1"/>
  <c r="B17" i="7"/>
  <c r="B17" i="12"/>
  <c r="N8" i="3"/>
  <c r="T7" i="5" s="1"/>
  <c r="C8" i="11" s="1"/>
  <c r="B20" i="8"/>
  <c r="O6" i="9"/>
  <c r="N17" i="9"/>
  <c r="A26" i="11"/>
  <c r="G16" i="12"/>
  <c r="F16" i="12"/>
  <c r="F18" i="12"/>
  <c r="G18" i="12"/>
  <c r="N17" i="3"/>
  <c r="B23" i="8"/>
  <c r="O12" i="9"/>
  <c r="K18" i="7"/>
  <c r="B13" i="7"/>
  <c r="B13" i="12"/>
  <c r="J13" i="5"/>
  <c r="A13" i="6" s="1"/>
  <c r="D7" i="5"/>
  <c r="A28" i="11"/>
  <c r="A11" i="11"/>
  <c r="F11" i="12"/>
  <c r="G11" i="12"/>
  <c r="O6" i="5"/>
  <c r="O7" i="5" s="1"/>
  <c r="G12" i="12"/>
  <c r="F12" i="12"/>
  <c r="B18" i="7"/>
  <c r="B18" i="12"/>
  <c r="J18" i="5"/>
  <c r="A18" i="6" s="1"/>
  <c r="I6" i="6"/>
  <c r="H6" i="6"/>
  <c r="B6" i="6"/>
  <c r="G6" i="6"/>
  <c r="F6" i="6"/>
  <c r="E6" i="6"/>
  <c r="C6" i="6"/>
  <c r="D6" i="6"/>
  <c r="B14" i="12"/>
  <c r="B14" i="7"/>
  <c r="J14" i="5"/>
  <c r="A14" i="6" s="1"/>
  <c r="B15" i="7"/>
  <c r="J15" i="5"/>
  <c r="A15" i="6" s="1"/>
  <c r="B15" i="12"/>
  <c r="D15" i="5"/>
  <c r="E13" i="5"/>
  <c r="D14" i="5"/>
  <c r="K7" i="7"/>
  <c r="D11" i="6"/>
  <c r="F11" i="6"/>
  <c r="A4" i="11"/>
  <c r="G17" i="12"/>
  <c r="F17" i="12"/>
  <c r="G6" i="12"/>
  <c r="F6" i="12"/>
  <c r="L7" i="7" l="1"/>
  <c r="B19" i="8"/>
  <c r="M7" i="7"/>
  <c r="L8" i="7" s="1"/>
  <c r="C16" i="12"/>
  <c r="C16" i="7"/>
  <c r="C10" i="12"/>
  <c r="C10" i="7"/>
  <c r="C14" i="12"/>
  <c r="C14" i="7"/>
  <c r="P6" i="5"/>
  <c r="R6" i="5"/>
  <c r="C12" i="7"/>
  <c r="C12" i="12"/>
  <c r="C17" i="7"/>
  <c r="C17" i="12"/>
  <c r="O8" i="5"/>
  <c r="B6" i="11"/>
  <c r="C13" i="12"/>
  <c r="C13" i="7"/>
  <c r="D18" i="6"/>
  <c r="F18" i="6"/>
  <c r="F13" i="6"/>
  <c r="D13" i="6"/>
  <c r="D7" i="6"/>
  <c r="F7" i="6"/>
  <c r="C6" i="12"/>
  <c r="C6" i="7"/>
  <c r="D15" i="6"/>
  <c r="F15" i="6"/>
  <c r="F8" i="6"/>
  <c r="D8" i="6"/>
  <c r="C7" i="12"/>
  <c r="C7" i="7"/>
  <c r="D12" i="6"/>
  <c r="F12" i="6"/>
  <c r="F14" i="6"/>
  <c r="D14" i="6"/>
  <c r="C9" i="7"/>
  <c r="C9" i="12"/>
  <c r="Q8" i="5"/>
  <c r="B7" i="11"/>
  <c r="D7" i="11" s="1"/>
  <c r="E7" i="11" s="1"/>
  <c r="F17" i="6"/>
  <c r="D17" i="6"/>
  <c r="C8" i="12"/>
  <c r="C8" i="7"/>
  <c r="G6" i="5"/>
  <c r="C11" i="12"/>
  <c r="C11" i="7"/>
  <c r="D8" i="11"/>
  <c r="E8" i="11" s="1"/>
  <c r="P7" i="5"/>
  <c r="C15" i="7"/>
  <c r="C15" i="12"/>
  <c r="S8" i="5"/>
  <c r="M8" i="7" l="1"/>
  <c r="L9" i="7" s="1"/>
  <c r="G6" i="7"/>
  <c r="E6" i="7"/>
  <c r="I6" i="7"/>
  <c r="Q9" i="5"/>
  <c r="B14" i="11"/>
  <c r="R8" i="5"/>
  <c r="C14" i="11" s="1"/>
  <c r="U7" i="5"/>
  <c r="C6" i="11"/>
  <c r="D6" i="11" s="1"/>
  <c r="E6" i="11" s="1"/>
  <c r="O9" i="5"/>
  <c r="B13" i="11"/>
  <c r="P8" i="5"/>
  <c r="S9" i="5"/>
  <c r="B15" i="11"/>
  <c r="T8" i="5"/>
  <c r="C15" i="11" s="1"/>
  <c r="I6" i="5"/>
  <c r="C7" i="5"/>
  <c r="G7" i="5" s="1"/>
  <c r="U6" i="5"/>
  <c r="M9" i="7" l="1"/>
  <c r="L10" i="7" s="1"/>
  <c r="Q10" i="5"/>
  <c r="R9" i="5"/>
  <c r="C21" i="11" s="1"/>
  <c r="B21" i="11"/>
  <c r="U8" i="5"/>
  <c r="C13" i="11"/>
  <c r="D13" i="11" s="1"/>
  <c r="E13" i="11" s="1"/>
  <c r="J6" i="7"/>
  <c r="I7" i="7" s="1"/>
  <c r="D15" i="11"/>
  <c r="E15" i="11" s="1"/>
  <c r="O10" i="5"/>
  <c r="B20" i="11"/>
  <c r="P9" i="5"/>
  <c r="P6" i="7"/>
  <c r="H6" i="7"/>
  <c r="G7" i="7"/>
  <c r="O6" i="7"/>
  <c r="N6" i="7"/>
  <c r="S10" i="5"/>
  <c r="B22" i="11"/>
  <c r="D22" i="11" s="1"/>
  <c r="E22" i="11" s="1"/>
  <c r="T9" i="5"/>
  <c r="C22" i="11" s="1"/>
  <c r="C8" i="5"/>
  <c r="G8" i="5" s="1"/>
  <c r="D14" i="11"/>
  <c r="E14" i="11" s="1"/>
  <c r="F6" i="7"/>
  <c r="E7" i="7" s="1"/>
  <c r="K6" i="5"/>
  <c r="D21" i="11" l="1"/>
  <c r="E21" i="11" s="1"/>
  <c r="F7" i="7"/>
  <c r="E8" i="7" s="1"/>
  <c r="M10" i="7"/>
  <c r="L11" i="7" s="1"/>
  <c r="J7" i="7"/>
  <c r="I8" i="7" s="1"/>
  <c r="C9" i="5"/>
  <c r="G9" i="5" s="1"/>
  <c r="H7" i="5"/>
  <c r="I7" i="5" s="1"/>
  <c r="L6" i="5"/>
  <c r="D20" i="11"/>
  <c r="E20" i="11" s="1"/>
  <c r="U9" i="5"/>
  <c r="C20" i="11"/>
  <c r="Q11" i="5"/>
  <c r="R10" i="5"/>
  <c r="S11" i="5"/>
  <c r="T10" i="5"/>
  <c r="P7" i="7"/>
  <c r="H7" i="7"/>
  <c r="G8" i="7" s="1"/>
  <c r="N7" i="7"/>
  <c r="O7" i="7"/>
  <c r="O11" i="5"/>
  <c r="P10" i="5"/>
  <c r="U10" i="5" l="1"/>
  <c r="P8" i="7"/>
  <c r="H8" i="7"/>
  <c r="G9" i="7" s="1"/>
  <c r="O8" i="7"/>
  <c r="N8" i="7"/>
  <c r="M11" i="7"/>
  <c r="L12" i="7" s="1"/>
  <c r="J8" i="7"/>
  <c r="I9" i="7" s="1"/>
  <c r="F8" i="7"/>
  <c r="E9" i="7" s="1"/>
  <c r="H6" i="12"/>
  <c r="M6" i="5"/>
  <c r="N6" i="5" s="1"/>
  <c r="C10" i="5"/>
  <c r="G10" i="5" s="1"/>
  <c r="K7" i="5"/>
  <c r="B9" i="11"/>
  <c r="B7" i="6"/>
  <c r="Q12" i="5"/>
  <c r="R11" i="5"/>
  <c r="O12" i="5"/>
  <c r="P11" i="5"/>
  <c r="U11" i="5" s="1"/>
  <c r="S12" i="5"/>
  <c r="T11" i="5"/>
  <c r="J9" i="7" l="1"/>
  <c r="I10" i="7" s="1"/>
  <c r="F9" i="7"/>
  <c r="E10" i="7" s="1"/>
  <c r="M12" i="7"/>
  <c r="L13" i="7" s="1"/>
  <c r="P9" i="7"/>
  <c r="H9" i="7"/>
  <c r="G10" i="7" s="1"/>
  <c r="N9" i="7"/>
  <c r="O9" i="7"/>
  <c r="S13" i="5"/>
  <c r="T12" i="5"/>
  <c r="B8" i="8"/>
  <c r="E9" i="11"/>
  <c r="C7" i="6"/>
  <c r="E7" i="6" s="1"/>
  <c r="H8" i="5"/>
  <c r="I8" i="5" s="1"/>
  <c r="L7" i="5"/>
  <c r="I7" i="6"/>
  <c r="O13" i="5"/>
  <c r="P12" i="5"/>
  <c r="C11" i="5"/>
  <c r="G11" i="5" s="1"/>
  <c r="Q13" i="5"/>
  <c r="R12" i="5"/>
  <c r="P10" i="7" l="1"/>
  <c r="H10" i="7"/>
  <c r="G11" i="7" s="1"/>
  <c r="O10" i="7"/>
  <c r="N10" i="7"/>
  <c r="M13" i="7"/>
  <c r="L14" i="7" s="1"/>
  <c r="F10" i="7"/>
  <c r="E11" i="7" s="1"/>
  <c r="J10" i="7"/>
  <c r="I11" i="7" s="1"/>
  <c r="S14" i="5"/>
  <c r="T13" i="5"/>
  <c r="K8" i="5"/>
  <c r="L8" i="5" s="1"/>
  <c r="B16" i="11"/>
  <c r="B8" i="6"/>
  <c r="C12" i="5"/>
  <c r="G12" i="5" s="1"/>
  <c r="O14" i="5"/>
  <c r="P13" i="5"/>
  <c r="H7" i="12"/>
  <c r="M7" i="5"/>
  <c r="B7" i="8"/>
  <c r="Q14" i="5"/>
  <c r="R13" i="5"/>
  <c r="U12" i="5"/>
  <c r="J11" i="7" l="1"/>
  <c r="I12" i="7" s="1"/>
  <c r="F11" i="7"/>
  <c r="E12" i="7" s="1"/>
  <c r="P11" i="7"/>
  <c r="H11" i="7"/>
  <c r="G12" i="7" s="1"/>
  <c r="N11" i="7"/>
  <c r="O11" i="7"/>
  <c r="M14" i="7"/>
  <c r="L15" i="7" s="1"/>
  <c r="C9" i="11"/>
  <c r="G7" i="6"/>
  <c r="N7" i="5"/>
  <c r="H8" i="12"/>
  <c r="M8" i="5"/>
  <c r="E16" i="11"/>
  <c r="B9" i="8"/>
  <c r="C8" i="6"/>
  <c r="E8" i="6" s="1"/>
  <c r="H9" i="5"/>
  <c r="I9" i="5" s="1"/>
  <c r="U13" i="5"/>
  <c r="N8" i="5"/>
  <c r="O15" i="5"/>
  <c r="P14" i="5"/>
  <c r="S15" i="5"/>
  <c r="T14" i="5"/>
  <c r="C13" i="5"/>
  <c r="G13" i="5" s="1"/>
  <c r="Q15" i="5"/>
  <c r="R14" i="5"/>
  <c r="I8" i="6" l="1"/>
  <c r="F12" i="7"/>
  <c r="E13" i="7" s="1"/>
  <c r="P12" i="7"/>
  <c r="H12" i="7"/>
  <c r="G13" i="7" s="1"/>
  <c r="O12" i="7"/>
  <c r="N12" i="7"/>
  <c r="M15" i="7"/>
  <c r="L16" i="7" s="1"/>
  <c r="J12" i="7"/>
  <c r="I13" i="7" s="1"/>
  <c r="C14" i="5"/>
  <c r="G14" i="5" s="1"/>
  <c r="K9" i="5"/>
  <c r="N9" i="5" s="1"/>
  <c r="B23" i="11"/>
  <c r="B9" i="6"/>
  <c r="D9" i="11"/>
  <c r="H7" i="6"/>
  <c r="U14" i="5"/>
  <c r="O16" i="5"/>
  <c r="P15" i="5"/>
  <c r="S16" i="5"/>
  <c r="T15" i="5"/>
  <c r="D16" i="11"/>
  <c r="H8" i="6"/>
  <c r="Q16" i="5"/>
  <c r="R15" i="5"/>
  <c r="C16" i="11"/>
  <c r="G8" i="6"/>
  <c r="J13" i="7" l="1"/>
  <c r="I14" i="7" s="1"/>
  <c r="M16" i="7"/>
  <c r="L17" i="7" s="1"/>
  <c r="P13" i="7"/>
  <c r="H13" i="7"/>
  <c r="G14" i="7" s="1"/>
  <c r="N13" i="7"/>
  <c r="O13" i="7"/>
  <c r="S17" i="5"/>
  <c r="T16" i="5"/>
  <c r="E23" i="11"/>
  <c r="C9" i="6"/>
  <c r="E9" i="6" s="1"/>
  <c r="H10" i="5"/>
  <c r="I10" i="5" s="1"/>
  <c r="U15" i="5"/>
  <c r="L9" i="5"/>
  <c r="Q17" i="5"/>
  <c r="R16" i="5"/>
  <c r="C15" i="5"/>
  <c r="G15" i="5" s="1"/>
  <c r="O17" i="5"/>
  <c r="P16" i="5"/>
  <c r="D23" i="11"/>
  <c r="H9" i="6"/>
  <c r="I9" i="6"/>
  <c r="F13" i="7"/>
  <c r="E14" i="7" s="1"/>
  <c r="U16" i="5" l="1"/>
  <c r="P14" i="7"/>
  <c r="H14" i="7"/>
  <c r="G15" i="7" s="1"/>
  <c r="O14" i="7"/>
  <c r="N14" i="7"/>
  <c r="L18" i="7"/>
  <c r="M18" i="7" s="1"/>
  <c r="M17" i="7"/>
  <c r="F14" i="7"/>
  <c r="E15" i="7" s="1"/>
  <c r="J14" i="7"/>
  <c r="I15" i="7" s="1"/>
  <c r="O18" i="5"/>
  <c r="P18" i="5" s="1"/>
  <c r="P17" i="5"/>
  <c r="Q18" i="5"/>
  <c r="R18" i="5" s="1"/>
  <c r="R17" i="5"/>
  <c r="K10" i="5"/>
  <c r="B10" i="6"/>
  <c r="C16" i="5"/>
  <c r="G16" i="5" s="1"/>
  <c r="S18" i="5"/>
  <c r="T18" i="5" s="1"/>
  <c r="T17" i="5"/>
  <c r="H9" i="12"/>
  <c r="M9" i="5"/>
  <c r="U17" i="5" l="1"/>
  <c r="P15" i="7"/>
  <c r="H15" i="7"/>
  <c r="G16" i="7" s="1"/>
  <c r="N15" i="7"/>
  <c r="O15" i="7"/>
  <c r="F15" i="7"/>
  <c r="E16" i="7" s="1"/>
  <c r="C23" i="11"/>
  <c r="G9" i="6"/>
  <c r="C10" i="6"/>
  <c r="E10" i="6" s="1"/>
  <c r="H11" i="5"/>
  <c r="I11" i="5" s="1"/>
  <c r="B12" i="8"/>
  <c r="L10" i="5"/>
  <c r="U18" i="5"/>
  <c r="I10" i="6"/>
  <c r="C17" i="5"/>
  <c r="G17" i="5" s="1"/>
  <c r="N10" i="5"/>
  <c r="H10" i="6" s="1"/>
  <c r="I16" i="7"/>
  <c r="J15" i="7"/>
  <c r="P16" i="7" l="1"/>
  <c r="H16" i="7"/>
  <c r="G17" i="7" s="1"/>
  <c r="O16" i="7"/>
  <c r="N16" i="7"/>
  <c r="C18" i="5"/>
  <c r="G18" i="5" s="1"/>
  <c r="F16" i="7"/>
  <c r="E17" i="7" s="1"/>
  <c r="K11" i="5"/>
  <c r="N11" i="5" s="1"/>
  <c r="H11" i="6" s="1"/>
  <c r="B11" i="6"/>
  <c r="H10" i="12"/>
  <c r="M10" i="5"/>
  <c r="J16" i="7"/>
  <c r="I17" i="7" s="1"/>
  <c r="J17" i="7" l="1"/>
  <c r="I18" i="7" s="1"/>
  <c r="J18" i="7" s="1"/>
  <c r="P17" i="7"/>
  <c r="H17" i="7"/>
  <c r="G18" i="7" s="1"/>
  <c r="N17" i="7"/>
  <c r="O17" i="7"/>
  <c r="F17" i="7"/>
  <c r="E18" i="7" s="1"/>
  <c r="F18" i="7" s="1"/>
  <c r="G10" i="6"/>
  <c r="B10" i="8"/>
  <c r="C11" i="6"/>
  <c r="E11" i="6" s="1"/>
  <c r="H12" i="5"/>
  <c r="I12" i="5" s="1"/>
  <c r="I11" i="6"/>
  <c r="L11" i="5"/>
  <c r="P18" i="7" l="1"/>
  <c r="H18" i="7"/>
  <c r="O18" i="7"/>
  <c r="N18" i="7"/>
  <c r="A30" i="11"/>
  <c r="H11" i="12"/>
  <c r="M11" i="5"/>
  <c r="G11" i="6" s="1"/>
  <c r="K12" i="5"/>
  <c r="L12" i="5" s="1"/>
  <c r="N12" i="5"/>
  <c r="H12" i="6" s="1"/>
  <c r="B12" i="6"/>
  <c r="H12" i="12" l="1"/>
  <c r="M12" i="5"/>
  <c r="G12" i="6" s="1"/>
  <c r="C12" i="6"/>
  <c r="E12" i="6" s="1"/>
  <c r="H13" i="5"/>
  <c r="I13" i="5" s="1"/>
  <c r="I12" i="6"/>
  <c r="K13" i="5" l="1"/>
  <c r="B13" i="6"/>
  <c r="I13" i="6" l="1"/>
  <c r="C13" i="6"/>
  <c r="E13" i="6" s="1"/>
  <c r="H14" i="5"/>
  <c r="I14" i="5" s="1"/>
  <c r="L13" i="5"/>
  <c r="N13" i="5"/>
  <c r="H13" i="6" s="1"/>
  <c r="H13" i="12" l="1"/>
  <c r="M13" i="5"/>
  <c r="G13" i="6" s="1"/>
  <c r="K14" i="5"/>
  <c r="N14" i="5" s="1"/>
  <c r="H14" i="6" s="1"/>
  <c r="B14" i="6"/>
  <c r="I14" i="6" l="1"/>
  <c r="L14" i="5"/>
  <c r="C14" i="6"/>
  <c r="E14" i="6" s="1"/>
  <c r="H15" i="5"/>
  <c r="I15" i="5" s="1"/>
  <c r="K15" i="5" l="1"/>
  <c r="B15" i="6"/>
  <c r="H14" i="12"/>
  <c r="M14" i="5"/>
  <c r="G14" i="6" s="1"/>
  <c r="I15" i="6" l="1"/>
  <c r="C15" i="6"/>
  <c r="E15" i="6" s="1"/>
  <c r="H16" i="5"/>
  <c r="I16" i="5" s="1"/>
  <c r="N15" i="5"/>
  <c r="H15" i="6" s="1"/>
  <c r="L15" i="5"/>
  <c r="H15" i="12" l="1"/>
  <c r="M15" i="5"/>
  <c r="G15" i="6" s="1"/>
  <c r="K16" i="5"/>
  <c r="B16" i="6"/>
  <c r="C16" i="6" l="1"/>
  <c r="E16" i="6" s="1"/>
  <c r="H17" i="5"/>
  <c r="I17" i="5" s="1"/>
  <c r="I16" i="6"/>
  <c r="N16" i="5"/>
  <c r="H16" i="6" s="1"/>
  <c r="L16" i="5"/>
  <c r="H16" i="12" l="1"/>
  <c r="M16" i="5"/>
  <c r="G16" i="6" s="1"/>
  <c r="K17" i="5"/>
  <c r="N17" i="5" s="1"/>
  <c r="H17" i="6" s="1"/>
  <c r="B17" i="6"/>
  <c r="C17" i="6" l="1"/>
  <c r="E17" i="6" s="1"/>
  <c r="H18" i="5"/>
  <c r="I18" i="5" s="1"/>
  <c r="I17" i="6"/>
  <c r="L17" i="5"/>
  <c r="H17" i="12" l="1"/>
  <c r="M17" i="5"/>
  <c r="G17" i="6" s="1"/>
  <c r="K18" i="5"/>
  <c r="B18" i="6"/>
  <c r="C18" i="6" l="1"/>
  <c r="E18" i="6" s="1"/>
  <c r="B11" i="8"/>
  <c r="L18" i="5"/>
  <c r="I18" i="6"/>
  <c r="N18" i="5"/>
  <c r="H18" i="6" s="1"/>
  <c r="H18" i="12" l="1"/>
  <c r="M18" i="5"/>
  <c r="G18" i="6" s="1"/>
</calcChain>
</file>

<file path=xl/sharedStrings.xml><?xml version="1.0" encoding="utf-8"?>
<sst xmlns="http://schemas.openxmlformats.org/spreadsheetml/2006/main" count="1505" uniqueCount="668">
  <si>
    <t>PLAN DE COMPRAS SIMULADO - Almar S.R.L. (banana Brasil + Paraguay + Bolivia)</t>
  </si>
  <si>
    <t>Generado el 29/09/2026 11:36 a partir de plan_compras.json (conteo del 26/09/2026). Planilla de trabajo: se edita a mano, no la pisa el script.</t>
  </si>
  <si>
    <t>PARA QUE SIRVE</t>
  </si>
  <si>
    <t/>
  </si>
  <si>
    <t>Proyectar el stock de banana al cierre de cada sabado, saber cuantos camiones cargar y hasta que dia, y probar escenarios (venta distinta a comienzo/fin de mes, atraso en frontera, camiones de mas o de menos).</t>
  </si>
  <si>
    <t>Sigue las reglas de Almar: el sabado cierra la semana; lo que descarga el lunes suma a la semana siguiente; Paraguay carga domingo-lunes-martes y entra en la semana; los pedidos a Paraguay cierran el miercoles y a Brasil el jueves; minimo 22.500 cajas al cierre del sabado (Bolivia incluida).</t>
  </si>
  <si>
    <t>Y la practica de las multinacionales de fruta (S&amp;OP semanal): un solo plan de demanda, proyeccion de inventario por semana con dias de cobertura, stock minimo explicito, recomendacion de pedido con fecha limite por lead time, escenarios, KPIs y tablero de proveedores.</t>
  </si>
  <si>
    <t>COMO SE USA</t>
  </si>
  <si>
    <t>1</t>
  </si>
  <si>
    <t>Parametros: fecha del conteo, conteo por origen, minimo, lead times, cajas por camion, escenario. Las celdas AMARILLAS son las que se tocan; las blancas son formulas.</t>
  </si>
  <si>
    <t>2</t>
  </si>
  <si>
    <t>Demanda: venta plan por semana (viene de la hoja ventas_plan), factor por semana del mes (1a, 2a, 3a, 4a/5a) y una columna "Venta manual" que pisa todo. Anota la venta real del ERP cuando cierre la semana: la planilla calcula el desvio.</t>
  </si>
  <si>
    <t>3</t>
  </si>
  <si>
    <t>Cargas: una fila por camion (Aloha, dictado, supuesto). Para simular, agrega filas: fecha de carga, origen, productor, cajas. La descarga, la semana a la que suma y el costo salen solos.</t>
  </si>
  <si>
    <t>4</t>
  </si>
  <si>
    <t>Proyeccion: stock al sabado semana por semana, total y por origen, dias de cobertura, camiones a cargar y fecha limite. Los faltantes se arrastran a la semana siguiente (como el simulador web).</t>
  </si>
  <si>
    <t>5</t>
  </si>
  <si>
    <t>Que cargar: la recomendacion en limpio, con el origen que queda mas justo y el dia en que cierra el pedido.</t>
  </si>
  <si>
    <t>6</t>
  </si>
  <si>
    <t>Escenarios: la misma proyeccion con venta -10% / base / +10% lado a lado. El atraso en frontera se prueba desde Parametros.</t>
  </si>
  <si>
    <t>7</t>
  </si>
  <si>
    <t>KPIs: cobertura, semanas bajo minimo, camiones por semana, mix por origen, costo estimado, exactitud del pronostico, y una tabla de referencia de como lo miden las multinacionales.</t>
  </si>
  <si>
    <t>8</t>
  </si>
  <si>
    <t>Proveedores: capacidad y comportamiento real de cada productor (camiones por semana, lead time real, transportista, dias de carga, precio 2026).</t>
  </si>
  <si>
    <t>9</t>
  </si>
  <si>
    <t>Glosario: terminos y buenas practicas, con las fuentes consultadas.</t>
  </si>
  <si>
    <t>10</t>
  </si>
  <si>
    <t>Calendario: la rutina S&amp;OP de la semana (que se mira cada dia, quien decide, con que hoja). Semaforo: una pantalla con el estado por origen para esta semana, la proxima y la siguiente, mas los riesgos abiertos.</t>
  </si>
  <si>
    <t>11</t>
  </si>
  <si>
    <t>Capacidad: cajas a madurar por semana contra lo que las camaras pueden madurar, y stock contra la capacidad fisica (hay que completar camaras y cajas en Parametros). MercadoPY: exportadores de Paraguay con volumen, como alternativas si falla un proveedor habitual.</t>
  </si>
  <si>
    <t>CONVENCION</t>
  </si>
  <si>
    <t>Amarillo = entrada. Blanco = formula (no tocar). Rojo = falta / bajo minimo. Verde = ok. Las fechas van en dd/mm/aaaa.</t>
  </si>
  <si>
    <t>ORIGEN DE LOS DATOS</t>
  </si>
  <si>
    <t>plan_compras.json (paso 5j de actualizar_precios.ps1): Plan de Cargas de Aloha, cargas dictadas por Gonzalo (plan_compras.xlsx), supuestos PY, ventas_plan, conteo por camara. Precios: precios_cepea.json (Cepea + cargas 2026).</t>
  </si>
  <si>
    <t>Para refrescar los datos: volver a correr el script que arma esta planilla (plan_compras\generar_plan_xlsx.ps1) o pegar a mano las cargas nuevas en la hoja Cargas.</t>
  </si>
  <si>
    <t>QUIEN LA ARMO</t>
  </si>
  <si>
    <t>Pedido de Gonzalo del 28/09/2026 ("una planilla de plan de compras simulado a medida de mis necesidades y de una empresa multinacional"). La armaron dos sesiones de Claude: una investigo la practica S&amp;OP de las multinacionales de fruta y aporto lead times reales, proveedores, precios de aduana y el mercado exportador de Paraguay; la otra armo las hojas y las formulas sobre los datos del pipeline.</t>
  </si>
  <si>
    <t>Parametros</t>
  </si>
  <si>
    <t>Celdas amarillas: se editan. Todo lo demas de la planilla depende de estas.</t>
  </si>
  <si>
    <t>Fecha del conteo por camara</t>
  </si>
  <si>
    <t>El stock arranca de aca. Solo cuentan los camiones que descargan DESPUES de esta fecha.</t>
  </si>
  <si>
    <t>Hoy (FechaHoy)</t>
  </si>
  <si>
    <t>Se puede pisar con una fecha fija para revisar un plan viejo.</t>
  </si>
  <si>
    <t>Minimo al cierre del sabado (cajas)</t>
  </si>
  <si>
    <t>Gonzalo 27/09/2026: "de una semana a otra unas 22/23 mil cajas cerrando el sabado", Bolivia incluida. Equivale a ~7-8 dias de venta (fruta que todavia no maduro: gas + camara).</t>
  </si>
  <si>
    <t>Cobertura objetivo (dias de venta)</t>
  </si>
  <si>
    <t>Referencia para pintar la cobertura: menos que esto = amarillo, menos de 2 = rojo.</t>
  </si>
  <si>
    <t>Dias de venta por semana</t>
  </si>
  <si>
    <t>Lunes a sabado.</t>
  </si>
  <si>
    <t>Escenario de venta</t>
  </si>
  <si>
    <t>Base</t>
  </si>
  <si>
    <t>Multiplica la venta de todas las semanas (salvo las que tengan venta manual). La hoja Escenarios muestra -10% / base / +10% juntos.</t>
  </si>
  <si>
    <t>Factor de venta del escenario</t>
  </si>
  <si>
    <t>Atraso extra en frontera (dias)</t>
  </si>
  <si>
    <t>Se suma al lead time de todos los camiones sin descarga real. Probar 1 o 2 para ver que pasa si la frontera se traba.</t>
  </si>
  <si>
    <t>Cajas por camion para los que FALTAN</t>
  </si>
  <si>
    <t>Los camiones reales llevan sus cajas; este promedio se usa para calcular cuantos faltan.</t>
  </si>
  <si>
    <t>POR ORIGEN</t>
  </si>
  <si>
    <t>BR</t>
  </si>
  <si>
    <t>PY</t>
  </si>
  <si>
    <t>BO</t>
  </si>
  <si>
    <t>Nota</t>
  </si>
  <si>
    <t>Dias de carga a descarga (lead time)</t>
  </si>
  <si>
    <t>Brasil 3: regla de Gonzalo (lo que carga lunes a miercoles entra en la semana; viernes y sabado entra lunes o martes). Paraguay 4: mediana observada en Aloha, decidido por Gonzalo el 28/09/2026 ("paraguay vamos a 4 dias"): un camion PY cargado el martes descarga el sabado y entra en la semana; el del miercoles ya no. Bolivia 6. Los tres valores vienen de plan_compras.json y son los mismos del simulador web y del WhatsApp.</t>
  </si>
  <si>
    <t>Cajas por camion (tipico)</t>
  </si>
  <si>
    <t>Se usa cuando una fila de Cargas no tiene cajas. 936 los chicos de AXT.</t>
  </si>
  <si>
    <t>Conteo por camara a la fecha del conteo</t>
  </si>
  <si>
    <t>Cierre de pedidos (dia de la semana anterior)</t>
  </si>
  <si>
    <t>jueves</t>
  </si>
  <si>
    <t>miercoles</t>
  </si>
  <si>
    <t>segun disponibilidad</t>
  </si>
  <si>
    <t>Gonzalo 27/09: "Brasil cierra los pedidos de la semana siguiente los jueves, Paraguay los miercoles". Por eso el numero tiene que estar el miercoles.</t>
  </si>
  <si>
    <t>Ultima carga en Aloha</t>
  </si>
  <si>
    <t>2026-09-25</t>
  </si>
  <si>
    <t>2026-09-23</t>
  </si>
  <si>
    <t>Export de Aloha: Plan - Cargas (export Aloha 2026-09-24).xlsx (2026-09-24 15:51). En el servidor se baja solo en cada corrida.</t>
  </si>
  <si>
    <t>COSTOS DE REFERENCIA (para el KPI de costo)</t>
  </si>
  <si>
    <t>Cepea Nanica 1a SC (R$/kg)</t>
  </si>
  <si>
    <t>semana 2026-09-25</t>
  </si>
  <si>
    <t>Kg netos por caja</t>
  </si>
  <si>
    <t>Servicios por caja Brasil (R$: envalado, paletizado, flete interno)</t>
  </si>
  <si>
    <t>Gonzalo 27/09: "estoy pagando 18 mas precio na roca". Solo Brasil.</t>
  </si>
  <si>
    <t>Caja equivalente Cepea (R$) = kg x 22 + servicios</t>
  </si>
  <si>
    <t>Precio promedio pagado Almar Brasil (R$/caja, ponderado 4 semanas)</t>
  </si>
  <si>
    <t>Gonzalo 28/09: 'Brasil tenes el promedio de la compra semanal que sale en el WhatsApp'. Semanas 05/09 R$ 36.3 (10) · 12/09 R$ 36.5 (14) · 19/09 R$ 38.67 (3) · 26/09 R$ 38.67 (3). Lo regenera el pipeline en precios_cepea.json &gt; almar.semanas.</t>
  </si>
  <si>
    <t>Tipo de cambio BRL por USD</t>
  </si>
  <si>
    <t>Paraguay: precio por caja (PYG, Carape SIMA)</t>
  </si>
  <si>
    <t>Referencia de mercado, no lo que paga Almar: cambiar por el precio real de compra si se conoce.</t>
  </si>
  <si>
    <t>Tipo de cambio PYG por USD</t>
  </si>
  <si>
    <t>Bolivia: precio de compra</t>
  </si>
  <si>
    <t>ver fila 32</t>
  </si>
  <si>
    <t>Gonzalo lo pasa despues; mientras, la referencia de aduana (fila 31).</t>
  </si>
  <si>
    <t>COSTO POR CAJA EN USD (lo usan Cargas, KPIs y el valor del stock)</t>
  </si>
  <si>
    <t>Referencia: valor declarado en aduana 2026 (VNA, USD/caja)</t>
  </si>
  <si>
    <t>Penta (aduana UY, ene-ago 2026), USD/kg neto x kg por caja: BR 0,527 x 22 · PY 0,522 x 22 · BO 0,539 x 20. Es CIF-aduana, no precio productor. 2025: 12,7 / 14,9 / 13,8.</t>
  </si>
  <si>
    <t>Precio de compra real (USD/caja; vacio = referencia)</t>
  </si>
  <si>
    <t>USD/caja usado</t>
  </si>
  <si>
    <t>ESTACIONALIDAD DENTRO DEL MES (factor sobre la venta plan)</t>
  </si>
  <si>
    <t>Semana del mes</t>
  </si>
  <si>
    <t>Factor</t>
  </si>
  <si>
    <t>1a semana (arranque de mes: sueldos, mas venta)</t>
  </si>
  <si>
    <t>2a semana</t>
  </si>
  <si>
    <t>3a semana</t>
  </si>
  <si>
    <t>4a semana (fin de mes: menos venta)</t>
  </si>
  <si>
    <t>5a semana (cuando el mes tiene 5 lunes)</t>
  </si>
  <si>
    <t>Todos en 1,00 hasta que Gonzalo los ajuste con su experiencia (28/09/2026: "las ventas conforme a si es comienzo de mes o final de mes"). Ej: 1,05 / 1,00 / 0,98 / 0,95.</t>
  </si>
  <si>
    <t>LEAD TIME REAL Y RIESGO (Plan de Cargas Aloha 2024-2026)</t>
  </si>
  <si>
    <t>TT mediana carga a descarga (dias)</t>
  </si>
  <si>
    <t>Mediana observada en Aloha. Para planificar se usa la regla de Gonzalo (fila 14); esta es la referencia real.</t>
  </si>
  <si>
    <t>TT P90: frontera lenta (dias)</t>
  </si>
  <si>
    <t>9 de cada 10 camiones descargan antes de esto. Cargas usa esta fila para la "descarga pesimista" y Escenarios para "frontera a P90".</t>
  </si>
  <si>
    <t>Dias de maduracion (gas + camara) antes de vender</t>
  </si>
  <si>
    <t>Lead time total carga a venta: BR ~10 dias, PY ~11, BO ~13.</t>
  </si>
  <si>
    <t>Vida util maxima en verde (dias) = alerta de EXCESO</t>
  </si>
  <si>
    <t>SUPUESTO editable (no tiene fuente medida en Almar): la banana verde aguanta del orden de 2 semanas en camara a 13-14 C antes de perder calidad (referencia estandar: UC Davis Postharvest, "Banana: recommendations for maintaining postharvest quality", que da 2-4 semanas segun variedad y madurez). Mas cobertura que esto es merma, no seguridad. Ajustar con lo que se observe en index_calidad.</t>
  </si>
  <si>
    <t>Nivel de servicio objetivo</t>
  </si>
  <si>
    <t>z (factor del nivel de servicio)</t>
  </si>
  <si>
    <t>Desvio estandar de la venta semanal (cajas)</t>
  </si>
  <si>
    <t>REAL: desvio estandar del total BR+PY+BO de las 12 semanas de venta ERP que estan en Demanda (historial). Se puede pisar con un numero.</t>
  </si>
  <si>
    <t>Stock de seguridad sugerido (cajas)</t>
  </si>
  <si>
    <t>z x sigma x raiz(lead time en semanas + 1 semana de revision). Cubre la variabilidad de la venta durante el tiempo en que no se puede reaccionar.</t>
  </si>
  <si>
    <t>Minimo sugerido = seguridad + dias de maduracion de venta</t>
  </si>
  <si>
    <t>CAPACIDAD DE MADURACION Y CAMARAS (completar: no lo tenemos)</t>
  </si>
  <si>
    <t>Camaras de gas (cantidad)</t>
  </si>
  <si>
    <t>Multinacionales: minimo 4 camaras para escalonar entrada, gaseo y despacho sin cuellos de botella.</t>
  </si>
  <si>
    <t>Cajas por camara</t>
  </si>
  <si>
    <t>Ciclo de maduracion (dias)</t>
  </si>
  <si>
    <t>Ciclo de 4 a 6 dias; el de 5 es el mas usado, el de 6 da mejor sabor y vida (Produce News). Etileno 100-150 ppm las primeras 24 h.</t>
  </si>
  <si>
    <t>Cajas maximas a madurar por semana</t>
  </si>
  <si>
    <t>camaras x cajas / ciclo x 7. La hoja Capacidad compara la venta de cada semana contra esto.</t>
  </si>
  <si>
    <t>Capacidad fisica total en camaras (cajas)</t>
  </si>
  <si>
    <t>ZAC + Coronel Raiz, banana. La hoja Capacidad muestra la ocupacion al sabado.</t>
  </si>
  <si>
    <t>SUPUESTOS DE CARGA (1 = se cuentan, 0 = no)</t>
  </si>
  <si>
    <t>Contar los supuestos de Paraguay (5 camiones/semana, dom-lun-mar)</t>
  </si>
  <si>
    <t>Gonzalo 27/09: "la PY siempre se carga domingo, lunes y martes; por lo general estoy cargando 5/6". Son los camiones con Estado = Supuesto en Cargas.</t>
  </si>
  <si>
    <t>Contar los supuestos de Brasil (8 camiones/semana los viernes, mas alla de lo dictado)</t>
  </si>
  <si>
    <t>Estado = "Supuesto BR" en Cargas, solo en las semanas posteriores a la ultima dictada. Con 0, "Camiones a cargar" muestra TODA la necesidad (como el WhatsApp); con 1 muestra lo que falta ademas del ritmo habitual. El WhatsApp y el simulador web no usan este supuesto.</t>
  </si>
  <si>
    <t>Demanda: venta por semana (cajas)</t>
  </si>
  <si>
    <t>Venta usada = venta manual si hay; si no, venta plan x factor de la semana del mes x factor del escenario. El mix por origen viene de cada fila de la hoja ventas_plan (por eso la semana del 28/09 tiene 54/39/7 y las siguientes 53/38/9: Bolivia 1 carga esa semana); es editable. Anota la venta real del ERP cuando cierre la semana.</t>
  </si>
  <si>
    <t>Semana (lunes)</t>
  </si>
  <si>
    <t>Sabado (cierre)</t>
  </si>
  <si>
    <t>Mes</t>
  </si>
  <si>
    <t>Venta plan (cajas)</t>
  </si>
  <si>
    <t>Factor semana del mes</t>
  </si>
  <si>
    <t>Venta manual (pisa todo)</t>
  </si>
  <si>
    <t>VENTA USADA</t>
  </si>
  <si>
    <t>Mix BR %</t>
  </si>
  <si>
    <t>Mix PY %</t>
  </si>
  <si>
    <t>Mix BO %</t>
  </si>
  <si>
    <t>Venta BR</t>
  </si>
  <si>
    <t>Venta PY</t>
  </si>
  <si>
    <t>Venta BO</t>
  </si>
  <si>
    <t>Venta real ERP (cajas)</t>
  </si>
  <si>
    <t>Desvio real vs usada</t>
  </si>
  <si>
    <t>Fuente / nota</t>
  </si>
  <si>
    <t>REAL ERP (captura 29/09/2026)</t>
  </si>
  <si>
    <t>Gonzalo 27/09: se pide vender 16.000; Bolivia 1 carga, el resto PY y BR</t>
  </si>
  <si>
    <t>SUPUESTO = semana anterior (confirmar)</t>
  </si>
  <si>
    <t>sin fila en ventas_plan: copia de la semana del 19/10 (SUPUESTO)</t>
  </si>
  <si>
    <t>HISTORIAL DE VENTA REAL (ERP, cajas por semana lunes-sabado). Agregar semanas en plan_compras.xlsx &gt; ventas_semanales.</t>
  </si>
  <si>
    <t>Sabado</t>
  </si>
  <si>
    <t>Ecuador (otro canal)</t>
  </si>
  <si>
    <t>TOTAL banana (BR+PY+BO)</t>
  </si>
  <si>
    <t>Promedio de todas las semanas</t>
  </si>
  <si>
    <t>Promedio ultimas 4 semanas</t>
  </si>
  <si>
    <t>Desvio estandar (todas)</t>
  </si>
  <si>
    <t>Mix ultimas 4 semanas (sobre banana)</t>
  </si>
  <si>
    <t>Lectura: el plan usa 16.000 (sem 28/09) y 17.000 (despues) contra un promedio real de las ultimas 4 semanas que se ve arriba; el mix real de esas 4 semanas es el que reparte los SUPUESTOS de ventas_plan desde el 29/09. El desvio estandar del total alimenta el stock de seguridad de Parametros.</t>
  </si>
  <si>
    <t>Cargas: un camion por fila</t>
  </si>
  <si>
    <t>Amarillo = se carga a mano. Descarga = fecha real si la hay; si no, carga + lead time del origen + atraso del escenario. Solo suman los que descargan despues del conteo (Cuenta = 1). Para simular: agregar filas abajo con Estado = Simulado.</t>
  </si>
  <si>
    <t>N</t>
  </si>
  <si>
    <t>Fecha carga</t>
  </si>
  <si>
    <t>Dia</t>
  </si>
  <si>
    <t>Origen</t>
  </si>
  <si>
    <t>Productor</t>
  </si>
  <si>
    <t>Transportista</t>
  </si>
  <si>
    <t>Cajas (vacio = tipico)</t>
  </si>
  <si>
    <t>Cajas usadas</t>
  </si>
  <si>
    <t>Estado</t>
  </si>
  <si>
    <t>Descarga real</t>
  </si>
  <si>
    <t>Lead time (dias)</t>
  </si>
  <si>
    <t>Fecha descarga</t>
  </si>
  <si>
    <t>Semana de venta (lunes)</t>
  </si>
  <si>
    <t>Cuenta</t>
  </si>
  <si>
    <t>USD/caja</t>
  </si>
  <si>
    <t>Costo USD</t>
  </si>
  <si>
    <t>Descarga pesimista (P90)</t>
  </si>
  <si>
    <t>Semana de venta P90</t>
  </si>
  <si>
    <t>Pipeline (cargado, sin descargar)</t>
  </si>
  <si>
    <t>OTIF (1 = descargo a tiempo)</t>
  </si>
  <si>
    <t>Paraguay AS</t>
  </si>
  <si>
    <t>MARSO EMPRENDIMIENTOS S.R.L.</t>
  </si>
  <si>
    <t>Aloha</t>
  </si>
  <si>
    <t>descarga real confirmada por Gonzalo 28/09/2026 ("domingo 27/09 si descarga"): despues del conteo del sabado 26, suma a la semana del 28/09</t>
  </si>
  <si>
    <t>Bolivia</t>
  </si>
  <si>
    <t>Aloha: Solicitado</t>
  </si>
  <si>
    <t>Cassio Hauck</t>
  </si>
  <si>
    <t>Corupá</t>
  </si>
  <si>
    <t>FG</t>
  </si>
  <si>
    <t>Dictado</t>
  </si>
  <si>
    <t>nota 25/09: Alvarito 1, nota completa 25/09: lunes confirmado</t>
  </si>
  <si>
    <t>Paraguay DF</t>
  </si>
  <si>
    <t>nota 25/09: Diego 2, nota completa 25/09: lunes confirmado</t>
  </si>
  <si>
    <t>Paraguay MS</t>
  </si>
  <si>
    <t>nota 25/09: Milciades 1, nota completa 25/09: lunes confirmado</t>
  </si>
  <si>
    <t>Ivo zimer</t>
  </si>
  <si>
    <t>Chabat</t>
  </si>
  <si>
    <t>nota 25/09: tersa</t>
  </si>
  <si>
    <t>nota 25/09: Diego 2, nota completa 25/09: martes confirmado</t>
  </si>
  <si>
    <t>Agrocurupa</t>
  </si>
  <si>
    <t>Nilton</t>
  </si>
  <si>
    <t>nota 25/09: cuarta</t>
  </si>
  <si>
    <t>Fisher</t>
  </si>
  <si>
    <t>Amaro</t>
  </si>
  <si>
    <t>Stein</t>
  </si>
  <si>
    <t>carga extra: "asi cierro mejor pensando en futuro" (ademas de la sexta ya dictada)</t>
  </si>
  <si>
    <t>nota 25/09: sexta</t>
  </si>
  <si>
    <t>Cassio</t>
  </si>
  <si>
    <t>Axt</t>
  </si>
  <si>
    <t>Gilson</t>
  </si>
  <si>
    <t>Josemar</t>
  </si>
  <si>
    <t>Marconi</t>
  </si>
  <si>
    <t>Paraguay (supuesto)</t>
  </si>
  <si>
    <t>Supuesto</t>
  </si>
  <si>
    <t>supuesto: 5 camiones PY por semana, cargan dom-lun-mar (Gonzalo 27/09)</t>
  </si>
  <si>
    <t>Brasil (supuesto)</t>
  </si>
  <si>
    <t>Supuesto BR</t>
  </si>
  <si>
    <t>supuesto: 8 camiones BR los viernes, ritmo habitual (Gonzalo 28/09); se apaga en Parametros &gt; SupBR</t>
  </si>
  <si>
    <t>Proyeccion de stock al cierre de cada sabado</t>
  </si>
  <si>
    <t>Stock final = stock inicial + cajas que descargan en la semana - venta. Los camiones a cargar se arrastran: "Stock proyectado" ya incluye los pedidos de las semanas anteriores. La primera semana (la del conteo) va prorrateada por los dias que quedan.</t>
  </si>
  <si>
    <t>Stock inicial</t>
  </si>
  <si>
    <t>Camiones que descargan</t>
  </si>
  <si>
    <t>Cajas que descargan</t>
  </si>
  <si>
    <t>Venta</t>
  </si>
  <si>
    <t>Stock final (sin pedidos)</t>
  </si>
  <si>
    <t>Pedidos anteriores (cajas)</t>
  </si>
  <si>
    <t>STOCK PROYECTADO</t>
  </si>
  <si>
    <t>Fecha limite de carga (el lead time mas largo BR/PY)</t>
  </si>
  <si>
    <t>CAMIONES A CARGAR</t>
  </si>
  <si>
    <t>Stock con pedido</t>
  </si>
  <si>
    <t>Dias de cobertura</t>
  </si>
  <si>
    <t>BR stock</t>
  </si>
  <si>
    <t>BR dias</t>
  </si>
  <si>
    <t>PY stock</t>
  </si>
  <si>
    <t>PY dias</t>
  </si>
  <si>
    <t>BO stock</t>
  </si>
  <si>
    <t>BO dias</t>
  </si>
  <si>
    <t>Origen mas justo</t>
  </si>
  <si>
    <t>Que cargar</t>
  </si>
  <si>
    <t>Solo las semanas cuyo limite de carga todavia no paso. Camiones ADEMAS de lo dictado y de los supuestos. El origen sugerido es el que queda con menos dias de venta al cierre (Proyeccion).</t>
  </si>
  <si>
    <t>Sabado de cierre</t>
  </si>
  <si>
    <t>Stock proyectado (con pedidos anteriores)</t>
  </si>
  <si>
    <t>Camiones a cargar</t>
  </si>
  <si>
    <t>Cargar hasta (por origen)</t>
  </si>
  <si>
    <t>Origen sugerido</t>
  </si>
  <si>
    <t>Pedido cierra (PY mie / BR jue)</t>
  </si>
  <si>
    <t>Cobertura al cierre (dias)</t>
  </si>
  <si>
    <t>Renglon para WhatsApp</t>
  </si>
  <si>
    <t>Como leerlo: "cargar N mas hasta el mie" = camiones que hay que agregar a lo ya dictado para cerrar ese sabado en el minimo; lo que cargue despues del limite descarga la semana siguiente. Los faltantes de una semana se arrastran a la siguiente (Proyeccion, columna "Pedidos anteriores").</t>
  </si>
  <si>
    <t>Hay SUPUESTOS de los dos origenes en Cargas: 5 camiones de Paraguay por semana (Estado = Supuesto) y 8 de Brasil los viernes en las semanas posteriores a la ultima dictada (Estado = Supuesto BR). Con ellos, "cargar N mas" es lo que falta ADEMAS del ritmo habitual; para ver toda la necesidad como en el WhatsApp, poner SupBR = 0 en Parametros. Cuando se dictan los reales, reemplazarlos.</t>
  </si>
  <si>
    <t>Escenarios de venta lado a lado</t>
  </si>
  <si>
    <t>Misma proyeccion con la venta usada x 0,9 / x 1,0 / x 1,1 (ademas del escenario elegido en Parametros). Cada escenario arrastra sus propios camiones a cargar. Para atraso en frontera: Parametros &gt; Atraso extra.</t>
  </si>
  <si>
    <t>Venta base</t>
  </si>
  <si>
    <t>Stock -10%</t>
  </si>
  <si>
    <t>A cargar -10%</t>
  </si>
  <si>
    <t>Stock base</t>
  </si>
  <si>
    <t>A cargar base</t>
  </si>
  <si>
    <t>Stock +10%</t>
  </si>
  <si>
    <t>A cargar +10%</t>
  </si>
  <si>
    <t>Cajas si frontera a P90</t>
  </si>
  <si>
    <t>Stock frontera P90</t>
  </si>
  <si>
    <t>A cargar P90</t>
  </si>
  <si>
    <t>Stock sin HF 1 semana (-3 PY)</t>
  </si>
  <si>
    <t>Stock 1 camion rechazado (-1.000)</t>
  </si>
  <si>
    <t>Stock sin Bolivia 2 sem</t>
  </si>
  <si>
    <t>Lectura: si con -10% igual hay que cargar, el pedido es firme; si solo hace falta con +10%, es un pedido "por las dudas" que conviene decidir el miercoles con la venta real de la semana. "Frontera a P90": todos los camiones sin descarga real tardan lo que tarda el peor 10% (Parametros fila 45). Los shocks (sin HF, camion rechazado, sin Bolivia) se aplican desde la semana proxima sobre el stock base.</t>
  </si>
  <si>
    <t>KPIs del plan</t>
  </si>
  <si>
    <t>Los de arriba salen de la planilla. Abajo, la referencia de como lo miden las multinacionales de fruta y que equivale en Almar.</t>
  </si>
  <si>
    <t>Indicador</t>
  </si>
  <si>
    <t>Valor</t>
  </si>
  <si>
    <t>Como se calcula / lectura</t>
  </si>
  <si>
    <t>Stock al conteo (cajas)</t>
  </si>
  <si>
    <t>Parametros: conteo por camara, BR + PY + BO. Ecuador no entra (va por otro canal).</t>
  </si>
  <si>
    <t>Dias de cobertura al conteo</t>
  </si>
  <si>
    <t>Stock / venta diaria de la semana siguiente al conteo. Multinacionales: "days on hand" o DOS.</t>
  </si>
  <si>
    <t>Semana actual: stock proyectado al sabado</t>
  </si>
  <si>
    <t>Proyeccion, fila de la semana de hoy, con los pedidos ya contados.</t>
  </si>
  <si>
    <t>Semana actual: camiones a cargar</t>
  </si>
  <si>
    <t>Lo que falta cargar antes del limite de esta semana.</t>
  </si>
  <si>
    <t>Semana proxima: camiones a cargar</t>
  </si>
  <si>
    <t>El numero que hay que tener el miercoles (PY) y el jueves (BR).</t>
  </si>
  <si>
    <t>Cobertura promedio proximas 4 semanas (dias)</t>
  </si>
  <si>
    <t>Promedio de "Dias de cobertura" de Proyeccion. Objetivo: Parametros &gt; cobertura objetivo.</t>
  </si>
  <si>
    <t>Semanas que piden cargar (prox. 4 sem)</t>
  </si>
  <si>
    <t>Semanas de las proximas 4 que cierran abajo del minimo sin camiones extra. Mas alla de 2-3 semanas es normal que pidan, porque todavia no hay cargas dictadas.</t>
  </si>
  <si>
    <t>Camiones a cargar prox. 4 sem (ademas de lo dictado)</t>
  </si>
  <si>
    <t>Suma de "Camiones a cargar" de Proyeccion en las proximas 4 semanas.</t>
  </si>
  <si>
    <t>Rotacion: semanas de stock al conteo</t>
  </si>
  <si>
    <t>Stock / venta semanal. Referencia en fresco: 1 a 2 semanas de stock (26-52 vueltas al ano). Almar al 26/09: 1,6 semanas, dentro del rango pero en el borde alto.</t>
  </si>
  <si>
    <t>Valor del stock al conteo (USD)</t>
  </si>
  <si>
    <t>Cajas por origen x USD/caja usado (Parametros). Capital de trabajo inmovilizado en camara.</t>
  </si>
  <si>
    <t>Verde en transito (cajas cargadas y no descargadas, Aloha)</t>
  </si>
  <si>
    <t>Pipeline: camiones ya cargados que todavia no descargaron (Cargas, columna "Pipeline"). Con el export de Aloha al dia es lo que viene en camino.</t>
  </si>
  <si>
    <t>Brasil: precio pagado vs Cepea + servicios (R$/caja)</t>
  </si>
  <si>
    <t>Negativo = Almar paga por debajo de la referencia Cepea x 22 kg + R$ 18 de servicios.</t>
  </si>
  <si>
    <t>Concentracion Paraguay: % camiones del mayor productor (8 sem)</t>
  </si>
  <si>
    <t>Riesgo de dependencia: HF sola fue el 54% de los camiones PY de 2026. Multinacionales: 20-30% del programa en proveedores de contingencia precalificados (hoja MercadoPY).</t>
  </si>
  <si>
    <t>Concentracion Brasil: % camiones del mayor productor (8 sem)</t>
  </si>
  <si>
    <t>Camiones que descargan por semana, prox. 4 sem (promedio)</t>
  </si>
  <si>
    <t>Aloha + dictados + supuestos.</t>
  </si>
  <si>
    <t>Mix descargas prox. 4 sem: Brasil</t>
  </si>
  <si>
    <t>Cajas por origen sobre el total de las proximas 4 semanas. Diversificacion de origen = menos riesgo (frontera, clima, TR4).</t>
  </si>
  <si>
    <t>Mix descargas prox. 4 sem: Paraguay</t>
  </si>
  <si>
    <t>Mix descargas prox. 4 sem: Bolivia</t>
  </si>
  <si>
    <t>Costo estimado de compra prox. 4 sem (USD)</t>
  </si>
  <si>
    <t>Cajas que descargan x USD/caja usado (Parametros: precio de compra real si esta cargado, si no la referencia de aduana 2026).</t>
  </si>
  <si>
    <t>Camiones supuestos en el horizonte (PY + BR)</t>
  </si>
  <si>
    <t>Cuantos de los camiones contados todavia son supuestos (5 PY por semana; 8 BR los viernes mas alla de lo dictado). Cuanto mas bajo, mas firme el plan. Se apagan en Parametros (SupPY / SupBR).</t>
  </si>
  <si>
    <t>Faltante promedio de los proveedores (MIC - descargado, Aloha 2024-26)</t>
  </si>
  <si>
    <t>Fill rate del proveedor: positivo = descargo menos de lo declarado; negativo = descargo de mas. Por productor en Proveedores.</t>
  </si>
  <si>
    <t>OTIF: camiones que descargaron dentro del lead time + 1 dia</t>
  </si>
  <si>
    <t>Sobre los camiones con descarga real cargada en Cargas (columna Descarga real). Se llena solo a medida que se anotan descargas.</t>
  </si>
  <si>
    <t>Camiones dictados que Aloha aun no tiene</t>
  </si>
  <si>
    <t>Pasan a Aloha cuando se cargan en el sistema.</t>
  </si>
  <si>
    <t>Exactitud del pronostico (MAPE, semanas con venta real)</t>
  </si>
  <si>
    <t>Promedio del desvio absoluto entre venta real (ERP) y venta usada. Multinacionales: forecast accuracy semanal; &lt;10% es bueno para fruta.</t>
  </si>
  <si>
    <t>REFERENCIA MULTINACIONAL (S&amp;OP de fruta fresca)</t>
  </si>
  <si>
    <t>Practica</t>
  </si>
  <si>
    <t>Equivalente en Almar / esta planilla</t>
  </si>
  <si>
    <t>Cadencia S&amp;OP</t>
  </si>
  <si>
    <t>Reunion semanal (15-30 min) de demanda, abastecimiento y riesgos, con KPIs de merma y exactitud del pronostico.</t>
  </si>
  <si>
    <t>El WhatsApp del miercoles 12:00 (pedidos) y del viernes 19:00 (cierre): Cepea, clima, stock proyectado y camiones que faltan. Esta planilla es el soporte para probar antes de dictar.</t>
  </si>
  <si>
    <t>Un solo plan de demanda</t>
  </si>
  <si>
    <t>Un numero de venta por semana acordado entre ventas y compras, con estacionalidad (dia de la semana, semana del mes) y venta real para medir el desvio.</t>
  </si>
  <si>
    <t>Hoja Demanda: venta plan + factor por semana del mes + venta manual + venta real ERP + desvio.</t>
  </si>
  <si>
    <t>Proyeccion de inventario</t>
  </si>
  <si>
    <t>Stock inicial + recepciones - demanda = stock final, por semana, contra un stock de seguridad explicito; recomendacion de pedido con fecha limite por lead time.</t>
  </si>
  <si>
    <t>Hoja Proyeccion: cierre del sabado, minimo 22.500, camiones a cargar y fecha limite (sabado - lead time).</t>
  </si>
  <si>
    <t>Stock de seguridad dinamico (perecederos)</t>
  </si>
  <si>
    <t>Sube y baja con la venta (mas antes del fin de semana / comienzo de mes), acotado por la vida util: mas stock = mas merma.</t>
  </si>
  <si>
    <t>Minimo en cajas (22.500) o por dias de venta (7): Parametros. La cobertura objetivo pinta la proyeccion.</t>
  </si>
  <si>
    <t>Dias de cobertura (DOS / days on hand)</t>
  </si>
  <si>
    <t>Indicador central: stock / venta diaria. Objetivo por categoria; fruta fresca 5-10 dias segun madurez.</t>
  </si>
  <si>
    <t>Columnas "Dias de cobertura" (total y por origen). Almar: 7 dias = fruta que todavia no maduro (gas + camara).</t>
  </si>
  <si>
    <t>Lead time y ciclo de pedido por dia de la semana</t>
  </si>
  <si>
    <t>Cada origen con su lead time y su dia de corte; el sistema avisa antes del corte si la cobertura no llega.</t>
  </si>
  <si>
    <t>Lead time por origen (3/3/6), lead time real por productor (Proveedores), corte PY miercoles / BR jueves, "Cargar hasta" por semana.</t>
  </si>
  <si>
    <t>Capacidad de maduracion</t>
  </si>
  <si>
    <t>Camaras de maduracion planificadas por volumen semanal (regla: una camara de 20 pallets por cada 20 pallets extra por semana, hasta ~140 pallets/sem).</t>
  </si>
  <si>
    <t>Pendiente: cargar capacidad de camaras (ZAC / Coronel Raiz) como tope de recepcion semanal. FechaHoy el limite es el minimo, no el maximo.</t>
  </si>
  <si>
    <t>Costo total puesto en destino</t>
  </si>
  <si>
    <t>Precio en origen + empaque + flete + aduana + maduracion + merma esperada por carril/proveedor.</t>
  </si>
  <si>
    <t>Parametros: Cepea x 22 + servicios, precio pagado Almar, TC; KPI de costo de las proximas 4 semanas. Falta: flete internacional, aduana y merma por productor (calidad).</t>
  </si>
  <si>
    <t>Diversificacion de origen y proveedores</t>
  </si>
  <si>
    <t>20-30% del programa en proveedores de contingencia precalificados; varios origenes, puertos y transportistas.</t>
  </si>
  <si>
    <t>Tres origenes (BR / PY / BO), 17 productores BR, 4 PY, 2 BO; el mix por origen esta en KPIs. Proveedores: capacidad semanal por productor.</t>
  </si>
  <si>
    <t>Scorecard de proveedores</t>
  </si>
  <si>
    <t>OTIF por carril, reclamos, dias en verde / color de llegada, tiempo de correccion.</t>
  </si>
  <si>
    <t>Proveedores: lead time real, regularidad (camiones por semana), precio. Calidad y vida verde: index_calidad (necesita 15 lotes con fecha de rompio).</t>
  </si>
  <si>
    <t>Merma / shrink</t>
  </si>
  <si>
    <t>2-10% del costo puesto en destino segun cadena de frio y madurez; se mide y se descuenta del plan.</t>
  </si>
  <si>
    <t>Sin dato en el plan. Sugerencia: registrar cajas descartadas por semana en la hoja Demanda (columna nueva) y restarlas del stock.</t>
  </si>
  <si>
    <t>Proveedores: capacidad y comportamiento real</t>
  </si>
  <si>
    <t>Camiones desde el 02/08/2026 segun el Plan de Cargas de Aloha (8 semanas). Capacidad semanal = maximo observado (editable). Precio 2026 = promedio pagado por caja (cargas 2026.xlsx).</t>
  </si>
  <si>
    <t>Productor (Aloha)</t>
  </si>
  <si>
    <t>Nombre en cargas dictadas</t>
  </si>
  <si>
    <t>Camiones (8 sem)</t>
  </si>
  <si>
    <t>Semanas con carga</t>
  </si>
  <si>
    <t>Prom camiones/sem</t>
  </si>
  <si>
    <t>Pico: max camiones en una semana</t>
  </si>
  <si>
    <t>CAPACIDAD semanal (prom. de las 2 mejores semanas)</t>
  </si>
  <si>
    <t>Lead time real (dias)</t>
  </si>
  <si>
    <t>Cajas/camion</t>
  </si>
  <si>
    <t>Transportista habitual</t>
  </si>
  <si>
    <t>Dias de carga habituales</t>
  </si>
  <si>
    <t>Precio prom 2026 (R$/caja)</t>
  </si>
  <si>
    <t>Camiones esta semana (Cargas)</t>
  </si>
  <si>
    <t>Camiones semana proxima (Cargas)</t>
  </si>
  <si>
    <t>Camiones 2024/2025/2026 (Aloha)</t>
  </si>
  <si>
    <t>Faltante % (MIC - descargado)</t>
  </si>
  <si>
    <t>Ultima carga (Aloha 24/09)</t>
  </si>
  <si>
    <t>Cupo aprox/sem 2026</t>
  </si>
  <si>
    <t>Situacion</t>
  </si>
  <si>
    <t>FG (11) / Chabat (1)</t>
  </si>
  <si>
    <t>vie 6, mie 4, mar 1</t>
  </si>
  <si>
    <t>47/76/46</t>
  </si>
  <si>
    <t>11/09/2026</t>
  </si>
  <si>
    <t>activo</t>
  </si>
  <si>
    <t>Fischer</t>
  </si>
  <si>
    <t>Amaro (8) / FG (4)</t>
  </si>
  <si>
    <t>vie 5, mar 4, sab 2</t>
  </si>
  <si>
    <t>17/164/61</t>
  </si>
  <si>
    <t>19/09/2026</t>
  </si>
  <si>
    <t>AXT (6) / Chabat (3)</t>
  </si>
  <si>
    <t>vie 6, mie 2, mar 2</t>
  </si>
  <si>
    <t>13/88/96</t>
  </si>
  <si>
    <t>18/09/2026</t>
  </si>
  <si>
    <t>el mas regular de Brasil</t>
  </si>
  <si>
    <t>Osnildo Stein</t>
  </si>
  <si>
    <t>Chabat (5) / FG (2)</t>
  </si>
  <si>
    <t>vie 5, mie 1, mar 1</t>
  </si>
  <si>
    <t>0/0/22</t>
  </si>
  <si>
    <t>nuevo 2026</t>
  </si>
  <si>
    <t>Ivo Zimerman</t>
  </si>
  <si>
    <t>FG (4) / Chabat (2)</t>
  </si>
  <si>
    <t>mie 2, vie 2, mar 1</t>
  </si>
  <si>
    <t>0/0/16</t>
  </si>
  <si>
    <t>FG (5)</t>
  </si>
  <si>
    <t>jue 1, mar 1, mie 1</t>
  </si>
  <si>
    <t>39/70/37</t>
  </si>
  <si>
    <t>10/09/2026</t>
  </si>
  <si>
    <t>Josemar Provesi</t>
  </si>
  <si>
    <t>FG (2) / Chabat (1)</t>
  </si>
  <si>
    <t>vie 2, sab 1, mie 1</t>
  </si>
  <si>
    <t>Marconi Kons</t>
  </si>
  <si>
    <t>FG (2) / Amaro (1)</t>
  </si>
  <si>
    <t>vie 2, sab 1</t>
  </si>
  <si>
    <t>0/0/14</t>
  </si>
  <si>
    <t>camion chico (834 cajas promedio historico)</t>
  </si>
  <si>
    <t>Furlani</t>
  </si>
  <si>
    <t>Amaro (1) / Chabat (1)</t>
  </si>
  <si>
    <t>mie 1, vie 1</t>
  </si>
  <si>
    <t>Shapo</t>
  </si>
  <si>
    <t>Chabat (1) / FG (1)</t>
  </si>
  <si>
    <t>vie 2</t>
  </si>
  <si>
    <t>Wagner Schveitzer</t>
  </si>
  <si>
    <t>Wagner</t>
  </si>
  <si>
    <t>Amaro (1)</t>
  </si>
  <si>
    <t>vie 1</t>
  </si>
  <si>
    <t>0/0/11</t>
  </si>
  <si>
    <t>14/08/2026</t>
  </si>
  <si>
    <t>Paraguay HF</t>
  </si>
  <si>
    <t>Mega Logistica (22) / G.S.C.S. PARAGUAY TTES. (3)</t>
  </si>
  <si>
    <t>dom 12, lun 8, mar 2</t>
  </si>
  <si>
    <t>Paraguay carga domingo-lunes-martes y entra en la semana.</t>
  </si>
  <si>
    <t>39/16/76</t>
  </si>
  <si>
    <t>21/09/2026</t>
  </si>
  <si>
    <t>54% de los camiones PY de 2026: dependencia alta</t>
  </si>
  <si>
    <t>MARSO EMPRENDIMIENTOS S.R.L. (10)</t>
  </si>
  <si>
    <t>lun 5, mar 5, mie 1</t>
  </si>
  <si>
    <t>nuevo desde 11/08/2026 (Alvarito)</t>
  </si>
  <si>
    <t>G.S.C.S. PARAGUAY TTES. (6) / Lider Express (4)</t>
  </si>
  <si>
    <t>lun 5, mar 5, dom 1</t>
  </si>
  <si>
    <t>84/16/22</t>
  </si>
  <si>
    <t>15/09/2026</t>
  </si>
  <si>
    <t>Jauser (3)</t>
  </si>
  <si>
    <t>dom 1, lun 1, mar 1</t>
  </si>
  <si>
    <t>40/13/20</t>
  </si>
  <si>
    <t>14/09/2026</t>
  </si>
  <si>
    <t>transportista historico Compass</t>
  </si>
  <si>
    <t>Banexfrut</t>
  </si>
  <si>
    <t>Surcentral (5)</t>
  </si>
  <si>
    <t>vie 3, lun 2</t>
  </si>
  <si>
    <t>Bolivia: 6-9 dias reales de carga a descarga; 1 camion por semana en promedio.</t>
  </si>
  <si>
    <t>Bolivia: 1 camion por semana aprox, 6-9 dias de viaje</t>
  </si>
  <si>
    <t>Befrut</t>
  </si>
  <si>
    <t>Sintercargas (3)</t>
  </si>
  <si>
    <t>mie 2, lun 1</t>
  </si>
  <si>
    <t>Bolivia (sin productor en Aloha)</t>
  </si>
  <si>
    <t>Valdemar</t>
  </si>
  <si>
    <t>Sin cargas en las ultimas 8 semanas: alternativa si falla un habitual.</t>
  </si>
  <si>
    <t>81/133/33</t>
  </si>
  <si>
    <t>25/04/2026</t>
  </si>
  <si>
    <t>inactivo desde abril 2026; fue el 2do de 2025</t>
  </si>
  <si>
    <t>Jhony Viera</t>
  </si>
  <si>
    <t>Jony</t>
  </si>
  <si>
    <t>64/120/26</t>
  </si>
  <si>
    <t>23/03/2026</t>
  </si>
  <si>
    <t>inactivo desde marzo 2026</t>
  </si>
  <si>
    <t>Jorge Marangoni</t>
  </si>
  <si>
    <t>Marangoni</t>
  </si>
  <si>
    <t>0/0/21</t>
  </si>
  <si>
    <t>24/07/2026</t>
  </si>
  <si>
    <t>sin cargas desde julio; TT 4 dias</t>
  </si>
  <si>
    <t>Banana Combinada</t>
  </si>
  <si>
    <t>0/10/14</t>
  </si>
  <si>
    <t>26/06/2026</t>
  </si>
  <si>
    <t>sin cargas desde junio; TT 4 dias</t>
  </si>
  <si>
    <t>Paraguay GM</t>
  </si>
  <si>
    <t>Guido / Servi Fel</t>
  </si>
  <si>
    <t>Surcentral</t>
  </si>
  <si>
    <t>25/6/11</t>
  </si>
  <si>
    <t>28/07/2026</t>
  </si>
  <si>
    <t>sin cargar desde julio; TT 5 dias</t>
  </si>
  <si>
    <t>Paraguay EC</t>
  </si>
  <si>
    <t>Banana EC</t>
  </si>
  <si>
    <t>78/10/0</t>
  </si>
  <si>
    <t>10/2025</t>
  </si>
  <si>
    <t>inactivo desde octubre 2025</t>
  </si>
  <si>
    <t>Paraguay SF</t>
  </si>
  <si>
    <t>1/0/0</t>
  </si>
  <si>
    <t>2024</t>
  </si>
  <si>
    <t>un camion en 2024</t>
  </si>
  <si>
    <t>Rojo en "Camiones esta semana / proxima": se pidio mas de la capacidad semanal observada. La capacidad es editable (columna amarilla). Los nombres de la columna "Nombre en cargas dictadas" tienen que coincidir con los que se usan en la hoja Cargas.</t>
  </si>
  <si>
    <t>Calendario S&amp;OP semanal de Almar</t>
  </si>
  <si>
    <t>Rutina fija: que se mira, quien decide y con que hoja, cada dia. Es lo que hacen las multinacionales de fruta (Dole: metricas diarias y semanales de volumen, precio, flete, merma, servicio y capital de trabajo), a escala de 16-17 mil cajas por semana.</t>
  </si>
  <si>
    <t>Momento</t>
  </si>
  <si>
    <t>Que se hace</t>
  </si>
  <si>
    <t>Decide / carga</t>
  </si>
  <si>
    <t>Hoja / herramienta</t>
  </si>
  <si>
    <t>Lunes</t>
  </si>
  <si>
    <t>manana</t>
  </si>
  <si>
    <t>Venta real de la semana pasada (ERP) y desvio contra el plan. Si hubo conteo por camara el sabado, actualizar el conteo. Revisar que descargo el fin de semana y el lunes (Aloha).</t>
  </si>
  <si>
    <t>Gonzalo / administracion</t>
  </si>
  <si>
    <t>Demanda (col. Venta real ERP), Parametros (conteo), Cargas (descarga real)</t>
  </si>
  <si>
    <t>Martes</t>
  </si>
  <si>
    <t>Abastecimiento: bajar el Plan de Cargas de Aloha, marcar camiones en frontera o atrasados, cargar en Cargas lo nuevo, mirar la calidad de lo que llego.</t>
  </si>
  <si>
    <t>Gonzalo / recepcion</t>
  </si>
  <si>
    <t>Cargas, Proveedores (lead time real), index_calidad</t>
  </si>
  <si>
    <t>Miercoles</t>
  </si>
  <si>
    <t>12:00</t>
  </si>
  <si>
    <t>Llega el WhatsApp del servidor (Cepea, clima, plan de compras). Decision de la semana: cuantos camiones faltan para el sabado siguiente y de que origen. CIERRE DE PEDIDOS PARAGUAY.</t>
  </si>
  <si>
    <t>Gonzalo</t>
  </si>
  <si>
    <t>QueCargar, Semaforo, Proveedores (cupos PY)</t>
  </si>
  <si>
    <t>Jueves</t>
  </si>
  <si>
    <t>CIERRE DE PEDIDOS BRASIL: confirmar productores, transportistas y dias de carga; dictar las cargas (plan_compras.xlsx) para que entren al plan.</t>
  </si>
  <si>
    <t>QueCargar, Proveedores (cupos BR), plan_compras.xlsx hoja cargas_programadas</t>
  </si>
  <si>
    <t>Viernes</t>
  </si>
  <si>
    <t>19:00</t>
  </si>
  <si>
    <t>WhatsApp de cierre. Riesgos de la semana que viene: frontera lenta (escenario P90), calidad, Bolivia sin carga, venta distinta a la esperada. Ajustar venta manual si cambio.</t>
  </si>
  <si>
    <t>Escenarios, Semaforo, Demanda (venta manual)</t>
  </si>
  <si>
    <t>cierre</t>
  </si>
  <si>
    <t>Cierre semanal: el stock del sabado es la referencia. Comparar stock real contra el proyectado y anotar la diferencia (merma, conteo, camiones que no llegaron).</t>
  </si>
  <si>
    <t>Deposito</t>
  </si>
  <si>
    <t>Parametros (conteo), KPIs</t>
  </si>
  <si>
    <t>Mensual</t>
  </si>
  <si>
    <t>primer lunes</t>
  </si>
  <si>
    <t>Revisar factores de estacionalidad por semana del mes, desvio estandar de la venta, precios de compra por origen, capacidad de camaras, concentracion de proveedores.</t>
  </si>
  <si>
    <t>Parametros, Demanda, KPIs, MercadoPY</t>
  </si>
  <si>
    <t>Reglas fijas: el sabado cierra la semana; lo que descarga el lunes suma a la siguiente; Paraguay carga domingo-lunes-martes (entra en la semana); Brasil cierra pedidos jueves y Paraguay miercoles; minimo 22.500 cajas al sabado, Bolivia incluida.</t>
  </si>
  <si>
    <t>Semaforo semanal</t>
  </si>
  <si>
    <t>Una pantalla: stock al sabado y dias de cobertura por origen para esta semana y la proxima, con el estado y la accion. Los camiones que faltan todavia no tienen origen: van al que este mas justo.</t>
  </si>
  <si>
    <t>Stock al sabado</t>
  </si>
  <si>
    <t>Accion</t>
  </si>
  <si>
    <t>Brasil</t>
  </si>
  <si>
    <t>Paraguay</t>
  </si>
  <si>
    <t>TOTAL</t>
  </si>
  <si>
    <t>RIESGOS ABIERTOS</t>
  </si>
  <si>
    <t>Capacidad de maduracion y camaras</t>
  </si>
  <si>
    <t>Cajas a madurar por semana (= la venta de la semana siguiente) contra lo que las camaras de gas pueden madurar, y stock al sabado contra la capacidad fisica. Completar Parametros (camaras, cajas por camara, ciclo, capacidad fisica).</t>
  </si>
  <si>
    <t>Cajas a madurar (venta sem. siguiente)</t>
  </si>
  <si>
    <t>Capacidad de maduracion (cajas/sem)</t>
  </si>
  <si>
    <t>Utilizacion</t>
  </si>
  <si>
    <t>Cuello de botella</t>
  </si>
  <si>
    <t>Capacidad fisica (cajas)</t>
  </si>
  <si>
    <t>Ocupacion camaras</t>
  </si>
  <si>
    <t>"Cajas a madurar" es un PROXY: se toma la venta de la semana siguiente (lo que hay que tener maduro para vender). Referencias (multinacionales): ciclo de maduracion de 4 a 6 dias (5 el mas usado); etileno 100-150 ppm las primeras 24 h; minimo 4 camaras para escalonar entrada, gaseo y despacho; una camara de 20 pallets por cada 20 pallets extra por semana hasta ~140 pallets/semana. Un pallet = 48 cajas de 22 kg aprox.</t>
  </si>
  <si>
    <t>Mercado exportador de Paraguay (Penta, ene-ago 2026)</t>
  </si>
  <si>
    <t>Quien mas tiene volumen si falla un proveedor habitual. Cupo semanal aprox = kg brutos / 34 semanas / 22 kg. OJO: 47% del valor 2026 figura como "No disponible" en Penta, asi que los cupos estan subestimados. USD CIF entre identificados.</t>
  </si>
  <si>
    <t>Exportador (razon social en aduana)</t>
  </si>
  <si>
    <t>Grupo (mismo productor, mas de una empresa)</t>
  </si>
  <si>
    <t>% del valor 2026</t>
  </si>
  <si>
    <t>Millones de kg</t>
  </si>
  <si>
    <t>Cajas/semana aprox</t>
  </si>
  <si>
    <t>Relacion con Almar / nota</t>
  </si>
  <si>
    <t>Misionero SRL</t>
  </si>
  <si>
    <t>Misionero + Ecotierra</t>
  </si>
  <si>
    <t>marcas TROPICAL y CIRO</t>
  </si>
  <si>
    <t>Hugo Alberto Franco</t>
  </si>
  <si>
    <t>Franco + San Jose Obrero</t>
  </si>
  <si>
    <t>Tembiapora, Menicob: proveedor HF de Almar (54% de los camiones PY 2026)</t>
  </si>
  <si>
    <t>Ruben Dario Aguero</t>
  </si>
  <si>
    <t>Emprendimientos Karen</t>
  </si>
  <si>
    <t>Saldivar &amp; Hijos</t>
  </si>
  <si>
    <t>Agro Climatizadora San Jose</t>
  </si>
  <si>
    <t>no es San Jose Obrero</t>
  </si>
  <si>
    <t>Melgarejo Lopez</t>
  </si>
  <si>
    <t>Melgarejo + Servi-Fel</t>
  </si>
  <si>
    <t>proveedor de Nalia</t>
  </si>
  <si>
    <t>Ecotierra SRL</t>
  </si>
  <si>
    <t>principal proveedor de Almar, marca PEPE</t>
  </si>
  <si>
    <t>Elvio Valdez</t>
  </si>
  <si>
    <t>Velazquez Gimenez</t>
  </si>
  <si>
    <t>Frutas Carolina</t>
  </si>
  <si>
    <t>Samuel Riveros</t>
  </si>
  <si>
    <t>Grupo Campo Flor</t>
  </si>
  <si>
    <t>Servi-Fel</t>
  </si>
  <si>
    <t>Guido (GM): proveedor de Almar sin cargas desde julio 2026</t>
  </si>
  <si>
    <t>Agroganadera San Jose Obrero</t>
  </si>
  <si>
    <t>Silvia Castillo</t>
  </si>
  <si>
    <t>proveedora de Nalia</t>
  </si>
  <si>
    <t>Graciela Nunez</t>
  </si>
  <si>
    <t>Gaspar Saldivar &amp; Nietos</t>
  </si>
  <si>
    <t>El Productor</t>
  </si>
  <si>
    <t>Fernandez Andes Schaerer Diego Fernando (persona fisica)</t>
  </si>
  <si>
    <t>Paraguay DF de Almar (Diego). Puesto 23 de 2026; 61% de su fruta 2026 sale con marca PEPE. Mejor ano 2024 (~1.800 cajas/sem, puesto 14); 2025 casi nada; 2026 vuelve. Cupo observado ~1 camion/sem.</t>
  </si>
  <si>
    <t>RANKING AGRUPADO (3 grupos confirmados por Gonzalo + individuales)</t>
  </si>
  <si>
    <t>Empresas</t>
  </si>
  <si>
    <t>Misionero SRL + Ecotierra SRL</t>
  </si>
  <si>
    <t>el grupo del principal proveedor de Almar (Ecotierra, marca PEPE); Misionero 8.600 + Ecotierra 1.750 cajas/sem</t>
  </si>
  <si>
    <t>Hugo Alberto Franco + Agroganadera San Jose Obrero</t>
  </si>
  <si>
    <t>HF de Almar; cajas/sem solo de Franco</t>
  </si>
  <si>
    <t>Melgarejo Lopez + Servi-Fel</t>
  </si>
  <si>
    <t>Guido (GM) de Almar; cajas/sem solo de Melgarejo</t>
  </si>
  <si>
    <t>Uso: si HF (Franco) o MS no pueden cargar, los cupos de Misionero, Aguero, Karen o Saldivar cubren 2-8 camiones por semana cada uno. Los grupos son SOLO los tres que confirmo Gonzalo (19/09/2026); las demas empresas se cuentan por separado aunque se parezcan de nombre. Fuente: extractos Penta (aduana UY) trabajados en el Excel de exportadores de Paraguay (otra sesion, 28/09/2026).</t>
  </si>
  <si>
    <t>Glosario y fuentes</t>
  </si>
  <si>
    <t>Termino</t>
  </si>
  <si>
    <t>Que es</t>
  </si>
  <si>
    <t>S&amp;OP (Sales &amp; Operations Planning)</t>
  </si>
  <si>
    <t>Proceso semanal/mensual donde ventas, compras y logistica acuerdan UN plan de demanda y de abastecimiento y revisan riesgos con KPIs.</t>
  </si>
  <si>
    <t>Dias de cobertura (DOS, days on hand)</t>
  </si>
  <si>
    <t>Stock dividido la venta diaria. Cuantos dias aguanta el stock sin que entre nada.</t>
  </si>
  <si>
    <t>Stock de seguridad / minimo</t>
  </si>
  <si>
    <t>Stock que se quiere tener al cierre para absorber atrasos y picos de venta. Aca: 22.500 cajas al sabado (o 7 dias de venta).</t>
  </si>
  <si>
    <t>Lead time</t>
  </si>
  <si>
    <t>Dias entre cargar el camion y descargarlo en Almar. BR/PY 3, BO 6 (reales por productor en Proveedores).</t>
  </si>
  <si>
    <t>Punto de pedido / fecha limite</t>
  </si>
  <si>
    <t>Ultimo dia para cargar de modo que el camion sume a esa semana: sabado menos el lead time (miercoles para BR/PY).</t>
  </si>
  <si>
    <t>Corte de pedido</t>
  </si>
  <si>
    <t>Dia en que el proveedor cierra los pedidos de la semana siguiente: Paraguay miercoles, Brasil jueves.</t>
  </si>
  <si>
    <t>Prorrateo de la semana del conteo</t>
  </si>
  <si>
    <t>La venta de la semana en que se hizo el conteo se cuenta solo por los dias que quedan hasta el sabado.</t>
  </si>
  <si>
    <t>Arrastre de pedidos</t>
  </si>
  <si>
    <t>Los camiones que faltan en una semana se suman al stock de las siguientes (se supone que se cargan).</t>
  </si>
  <si>
    <t>Camion que todavia no se dicto pero que se asume por costumbre (5 PY por semana).</t>
  </si>
  <si>
    <t>Forecast accuracy / MAPE</t>
  </si>
  <si>
    <t>Promedio del desvio absoluto entre venta real y venta planificada, en %.</t>
  </si>
  <si>
    <t>OTIF</t>
  </si>
  <si>
    <t>On time in full: % de cargas que llegan el dia previsto y completas. Se puede medir con el lead time real por productor.</t>
  </si>
  <si>
    <t>Shrink / merma</t>
  </si>
  <si>
    <t>Cajas que se pierden por calidad, madurez o frio. En multinacionales 2-10% del costo puesto en destino.</t>
  </si>
  <si>
    <t>Total landed cost</t>
  </si>
  <si>
    <t>Costo total puesto en destino: origen + empaque + flete + aduana + maduracion + merma.</t>
  </si>
  <si>
    <t>TT mediana / P90</t>
  </si>
  <si>
    <t>Tiempo de transito carga a descarga: la mediana es lo normal, el P90 es lo que tarda el peor 10% (frontera lenta). Se usa en la descarga pesimista y en el escenario "frontera a P90".</t>
  </si>
  <si>
    <t>EXCESO</t>
  </si>
  <si>
    <t>Mas dias de cobertura que la vida util en verde (16): la fruta va a madurar antes de venderse. Senal de frenar cargas, no de seguridad.</t>
  </si>
  <si>
    <t>Pipeline / verde en transito</t>
  </si>
  <si>
    <t>Cajas ya cargadas que todavia no descargaron. Es lo que viene en camino sin depender de un pedido nuevo.</t>
  </si>
  <si>
    <t>Concentracion de proveedores</t>
  </si>
  <si>
    <t>% de los camiones que aporta el mayor productor de un origen. Alta = si falla, no hay reemplazo rapido (HF fue 54% de Paraguay en 2026).</t>
  </si>
  <si>
    <t>Fill rate proveedor / faltante</t>
  </si>
  <si>
    <t>Cajas descargadas sobre cajas declaradas (MIC). En el Plan de Cargas de Aloha esta como faltante %.</t>
  </si>
  <si>
    <t>FUENTES CONSULTADAS (28/09/2026)</t>
  </si>
  <si>
    <t>Blue Ridge: 11-point checklist for perishable inventory management</t>
  </si>
  <si>
    <t>https://blueridgeglobal.com/blog/11-point-checklist-for-perishable-inventory-management/</t>
  </si>
  <si>
    <t>RELEX: fresh food inventory management (safety stock dinamico, perfiles diarios de demanda)</t>
  </si>
  <si>
    <t>https://www.relexsolutions.com/resources/fresh-food-inventory-management/</t>
  </si>
  <si>
    <t>RELEX: 4 strategies for managing fresh produce in grocery retail</t>
  </si>
  <si>
    <t>https://www.relexsolutions.com/resources/4-strategies-for-managing-fresh-fruits-and-vegetables-in-grocery-retail/</t>
  </si>
  <si>
    <t>SmartSense: S&amp;OP decisions and food waste (cadencia semanal, KPIs de merma y forecast accuracy)</t>
  </si>
  <si>
    <t>https://blog.smartsense.co/sop-food-waste-supply-chain</t>
  </si>
  <si>
    <t>Tridge: banana sourcing intelligence, total landed cost and risk</t>
  </si>
  <si>
    <t>https://blog.tridge.com/blog-posts/banana-sourcing-intelligence-us-import-programs-where-total-landed-cost-and-risk-really-sit</t>
  </si>
  <si>
    <t>Thermal Technologies: ripening room FAQs (capacidad de camaras por volumen semanal)</t>
  </si>
  <si>
    <t>https://thermaltechnologies.com/ripening-room-faqs/</t>
  </si>
  <si>
    <t>MIT Sloan: what bananas can tell us about supply chains</t>
  </si>
  <si>
    <t>https://mitsloan.mit.edu/ideas-made-to-matter/what-bananas-can-tell-us-about-supply-chains</t>
  </si>
  <si>
    <t>LIDD: a deep dive into the banana supply chain</t>
  </si>
  <si>
    <t>https://lidd.com/banana-supply-chain/</t>
  </si>
  <si>
    <t>Vena: inventory forecasting template (safety stock = Z x desvio x raiz del lead time; punto de pedido)</t>
  </si>
  <si>
    <t>https://www.venasolutions.com/templates/plan-budget-forecast/inventory-forecasting</t>
  </si>
  <si>
    <t>Umbrex: perfil de Dole plc (metricas diarias y semanales: volumen, precio, flete, merma, servicio, capital de trabajo)</t>
  </si>
  <si>
    <t>https://umbrex.com/resources/company-profiles/dole-plc/</t>
  </si>
  <si>
    <t>Umbrex: service level optimization in fresh categories (KPIs encadenados: disponibilidad, fill rate/OTIF, frescura, merma, forecast accuracy)</t>
  </si>
  <si>
    <t>https://umbrex.com/resources/umbrex-explainers/agriculture-food-explainers/service-level-optimization-in-fresh-categories/</t>
  </si>
  <si>
    <t>Fyffes: red de 40+ centros de maduracion/distribucion</t>
  </si>
  <si>
    <t>https://en.wikipedia.org/wiki/Fyffes</t>
  </si>
  <si>
    <t>RELEX: fresh produce, maximizing freshness, availability and margins (safety stock con tope por vida util)</t>
  </si>
  <si>
    <t>https://www.relexsolutions.com/resources/fresh-produce-maximizing-freshness-availability-and-margins/</t>
  </si>
  <si>
    <t>The Produce News: choosing the right banana ripening cycle (4-6 dias)</t>
  </si>
  <si>
    <t>https://theproducenews.com/choosing-right-banana-ripening-cycle</t>
  </si>
  <si>
    <t>Catalytic Generators: banana ripening (etileno 100-150 ppm, 24 h)</t>
  </si>
  <si>
    <t>https://www.catalyticgenerators.com/banana-ripening</t>
  </si>
  <si>
    <t>fmax: banana ripening chamber FAQ (minimo 4 camaras para escalonar)</t>
  </si>
  <si>
    <t>https://www.fmax.in/banana-ripening-chamber-faq-setup-ethylene-control/</t>
  </si>
  <si>
    <t>Cloud Creations: KPI guide for grocery (rotacion en fresco 26-52 vueltas/ano)</t>
  </si>
  <si>
    <t>https://www.cloudcreations.com/resource/kpi-guide-for-grocery-supermarkets/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</si>
</sst>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d/mm/yyyy"/>
    <numFmt numFmtId="165" formatCode="0.0%"/>
    <numFmt numFmtId="166" formatCode="\+0.0%;\-0.0%"/>
    <numFmt numFmtId="167" formatCode="ddd\ dd/mm"/>
    <numFmt numFmtId="168" formatCode="0.0"/>
    <numFmt numFmtId="169" formatCode="ddd\ dd/mm/yyyy"/>
    <numFmt numFmtId="170" formatCode="\+0.00;\-0.00"/>
    <numFmt numFmtId="171" formatCode="\+0.00%;\-0.00%"/>
  </numFmts>
  <fonts count="7">
    <font>
      <sz val="11"/>
      <name val="Calibri"/>
    </font>
    <font>
      <b/>
      <sz val="16"/>
      <name val="Calibri"/>
    </font>
    <font>
      <i/>
      <sz val="11"/>
      <color rgb="FF696969"/>
      <name val="Calibri"/>
    </font>
    <font>
      <b/>
      <sz val="11"/>
      <name val="Calibri"/>
    </font>
    <font>
      <b/>
      <sz val="11"/>
      <color rgb="FFFFFFFF"/>
      <name val="Calibri"/>
    </font>
    <font>
      <sz val="11"/>
      <color rgb="FF696969"/>
      <name val="Calibri"/>
    </font>
    <font>
      <u/>
      <sz val="11"/>
      <color rgb="FF000080"/>
      <name val="Calibri"/>
    </font>
  </fonts>
  <fills count="5">
    <fill>
      <patternFill patternType="none"/>
    </fill>
    <fill>
      <patternFill patternType="gray125"/>
    </fill>
    <fill>
      <patternFill patternType="solid">
        <fgColor rgb="FFFFF2CC"/>
      </patternFill>
    </fill>
    <fill>
      <patternFill patternType="solid">
        <fgColor rgb="FF1F3864"/>
      </patternFill>
    </fill>
    <fill>
      <patternFill patternType="solid">
        <fgColor rgb="FFF2F2F2"/>
      </patternFill>
    </fill>
  </fills>
  <borders count="2">
    <border>
      <left/>
      <right/>
      <top/>
      <bottom/>
      <diagonal/>
    </border>
    <border>
      <left/>
      <right/>
      <top style="thin">
        <color auto="1"/>
      </top>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wrapText="1"/>
    </xf>
    <xf numFmtId="164" fontId="0" fillId="0" borderId="0" xfId="0" applyNumberFormat="1"/>
    <xf numFmtId="164" fontId="0" fillId="2" borderId="0" xfId="0" applyNumberFormat="1" applyFill="1"/>
    <xf numFmtId="3" fontId="0" fillId="0" borderId="0" xfId="0" applyNumberFormat="1"/>
    <xf numFmtId="3" fontId="0" fillId="2" borderId="0" xfId="0" applyNumberFormat="1" applyFill="1"/>
    <xf numFmtId="0" fontId="0" fillId="2" borderId="0" xfId="0" applyFill="1"/>
    <xf numFmtId="2" fontId="0" fillId="0" borderId="0" xfId="0" applyNumberFormat="1"/>
    <xf numFmtId="0" fontId="4" fillId="3" borderId="0" xfId="0" applyFont="1" applyFill="1" applyAlignment="1">
      <alignment vertical="center" wrapText="1"/>
    </xf>
    <xf numFmtId="3" fontId="3" fillId="0" borderId="0" xfId="0" applyNumberFormat="1" applyFont="1"/>
    <xf numFmtId="2" fontId="0" fillId="2" borderId="0" xfId="0" applyNumberFormat="1" applyFill="1"/>
    <xf numFmtId="2" fontId="3" fillId="0" borderId="0" xfId="0" applyNumberFormat="1" applyFont="1"/>
    <xf numFmtId="0" fontId="0" fillId="0" borderId="0" xfId="0" applyAlignment="1">
      <alignment vertical="top" wrapText="1"/>
    </xf>
    <xf numFmtId="9" fontId="0" fillId="0" borderId="0" xfId="0" applyNumberFormat="1"/>
    <xf numFmtId="9" fontId="0" fillId="2" borderId="0" xfId="0" applyNumberFormat="1" applyFill="1"/>
    <xf numFmtId="165" fontId="0" fillId="0" borderId="0" xfId="0" applyNumberFormat="1"/>
    <xf numFmtId="165" fontId="0" fillId="2" borderId="0" xfId="0" applyNumberFormat="1" applyFill="1"/>
    <xf numFmtId="166" fontId="0" fillId="0" borderId="0" xfId="0" applyNumberFormat="1"/>
    <xf numFmtId="167" fontId="0" fillId="0" borderId="0" xfId="0" applyNumberFormat="1"/>
    <xf numFmtId="168" fontId="0" fillId="0" borderId="0" xfId="0" applyNumberFormat="1"/>
    <xf numFmtId="169" fontId="0" fillId="0" borderId="0" xfId="0" applyNumberFormat="1"/>
    <xf numFmtId="168" fontId="3" fillId="0" borderId="0" xfId="0" applyNumberFormat="1" applyFont="1"/>
    <xf numFmtId="1" fontId="3" fillId="0" borderId="0" xfId="0" applyNumberFormat="1" applyFont="1"/>
    <xf numFmtId="170" fontId="3" fillId="0" borderId="0" xfId="0" applyNumberFormat="1" applyFont="1"/>
    <xf numFmtId="9" fontId="3" fillId="0" borderId="0" xfId="0" applyNumberFormat="1" applyFont="1"/>
    <xf numFmtId="171" fontId="3" fillId="0" borderId="0" xfId="0" applyNumberFormat="1" applyFont="1"/>
    <xf numFmtId="165" fontId="3" fillId="0" borderId="0" xfId="0" applyNumberFormat="1" applyFont="1"/>
    <xf numFmtId="0" fontId="3" fillId="0" borderId="0" xfId="0" applyFont="1" applyAlignment="1">
      <alignment vertical="top"/>
    </xf>
    <xf numFmtId="168" fontId="0" fillId="2" borderId="0" xfId="0" applyNumberFormat="1" applyFill="1"/>
    <xf numFmtId="10" fontId="0" fillId="0" borderId="0" xfId="0" applyNumberFormat="1"/>
    <xf numFmtId="0" fontId="5" fillId="0" borderId="0" xfId="0" applyFont="1"/>
    <xf numFmtId="0" fontId="5" fillId="2" borderId="0" xfId="0" applyFont="1" applyFill="1"/>
    <xf numFmtId="2" fontId="5" fillId="0" borderId="0" xfId="0" applyNumberFormat="1" applyFont="1"/>
    <xf numFmtId="10" fontId="5" fillId="0" borderId="0" xfId="0" applyNumberFormat="1" applyFont="1"/>
    <xf numFmtId="0" fontId="3" fillId="0" borderId="0" xfId="0" applyFont="1" applyAlignment="1">
      <alignment vertical="top" wrapText="1"/>
    </xf>
    <xf numFmtId="0" fontId="3" fillId="4" borderId="0" xfId="0" applyFont="1" applyFill="1"/>
    <xf numFmtId="0" fontId="3" fillId="0" borderId="1" xfId="0" applyFont="1" applyBorder="1"/>
    <xf numFmtId="3" fontId="3" fillId="0" borderId="1" xfId="0" applyNumberFormat="1" applyFont="1" applyBorder="1"/>
    <xf numFmtId="168" fontId="0" fillId="0" borderId="1" xfId="0" applyNumberFormat="1" applyBorder="1"/>
    <xf numFmtId="0" fontId="0" fillId="0" borderId="1" xfId="0" applyBorder="1"/>
    <xf numFmtId="0" fontId="6" fillId="0" borderId="0" xfId="0" applyFont="1"/>
    <xf numFmtId="0" fontId="0" fillId="0" borderId="0" xfId="0" applyAlignment="1">
      <alignment vertical="top" wrapText="1"/>
    </xf>
    <xf numFmtId="0" fontId="0" fillId="0" borderId="0" xfId="0" applyAlignment="1">
      <alignment wrapText="1"/>
    </xf>
    <xf numFmtId="0" fontId="0" fillId="0" borderId="0" xfId="0"/>
  </cellXfs>
  <cellStyles count="1">
    <cellStyle name="Normal" xfId="0" builtinId="0"/>
  </cellStyles>
  <dxfs count="126">
    <dxf>
      <font>
        <b/>
      </font>
      <fill>
        <patternFill patternType="solid">
          <bgColor rgb="FFFFC7CE"/>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ill>
        <patternFill patternType="solid">
          <bgColor rgb="FFFFEB9C"/>
        </patternFill>
      </fill>
    </dxf>
    <dxf>
      <fill>
        <patternFill patternType="solid">
          <bgColor rgb="FFFFEB9C"/>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ill>
        <patternFill patternType="solid">
          <bgColor rgb="FFFFEB9C"/>
        </patternFill>
      </fill>
    </dxf>
    <dxf>
      <fill>
        <patternFill patternType="solid">
          <bgColor rgb="FFFFEB9C"/>
        </patternFill>
      </fill>
    </dxf>
    <dxf>
      <fill>
        <patternFill patternType="solid">
          <bgColor rgb="FFFFEB9C"/>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ill>
        <patternFill patternType="solid">
          <bgColor rgb="FFFFEB9C"/>
        </patternFill>
      </fill>
    </dxf>
    <dxf>
      <font>
        <b/>
      </font>
      <fill>
        <patternFill patternType="solid">
          <bgColor rgb="FFFFC7CE"/>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ill>
        <patternFill patternType="solid">
          <bgColor rgb="FFFFEB9C"/>
        </patternFill>
      </fill>
    </dxf>
    <dxf>
      <fill>
        <patternFill patternType="solid">
          <bgColor rgb="FFFFEB9C"/>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ill>
        <patternFill patternType="solid">
          <bgColor rgb="FFFFEB9C"/>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ill>
        <patternFill patternType="solid">
          <bgColor rgb="FFFFEB9C"/>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ill>
        <patternFill patternType="solid">
          <bgColor rgb="FFFFEB9C"/>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ill>
        <patternFill patternType="solid">
          <bgColor rgb="FFFFEB9C"/>
        </patternFill>
      </fill>
    </dxf>
    <dxf>
      <fill>
        <patternFill patternType="solid">
          <bgColor rgb="FFFFEB9C"/>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ill>
        <patternFill patternType="solid">
          <bgColor rgb="FFFFEB9C"/>
        </patternFill>
      </fill>
    </dxf>
    <dxf>
      <font>
        <b/>
      </font>
      <fill>
        <patternFill patternType="solid">
          <bgColor rgb="FFFFC7CE"/>
        </patternFill>
      </fill>
    </dxf>
    <dxf>
      <fill>
        <patternFill patternType="solid">
          <bgColor rgb="FFFFEB9C"/>
        </patternFill>
      </fill>
    </dxf>
    <dxf>
      <font>
        <b/>
      </font>
      <fill>
        <patternFill patternType="solid">
          <bgColor rgb="FFFFC7CE"/>
        </patternFill>
      </fill>
    </dxf>
    <dxf>
      <fill>
        <patternFill patternType="solid">
          <bgColor rgb="FFFFEB9C"/>
        </patternFill>
      </fill>
    </dxf>
    <dxf>
      <fill>
        <patternFill patternType="solid">
          <bgColor rgb="FFE2EFDA"/>
        </patternFill>
      </fill>
    </dxf>
    <dxf>
      <font>
        <b/>
      </font>
      <fill>
        <patternFill patternType="solid">
          <bgColor rgb="FFFCE4D6"/>
        </patternFill>
      </fill>
    </dxf>
    <dxf>
      <font>
        <b/>
      </font>
      <fill>
        <patternFill patternType="solid">
          <bgColor rgb="FFFFEB9C"/>
        </patternFill>
      </fill>
    </dxf>
    <dxf>
      <font>
        <b/>
      </font>
      <fill>
        <patternFill patternType="solid">
          <bgColor rgb="FFFFC7CE"/>
        </patternFill>
      </fill>
    </dxf>
    <dxf>
      <fill>
        <patternFill patternType="solid">
          <bgColor rgb="FFE2EFDA"/>
        </patternFill>
      </fill>
    </dxf>
    <dxf>
      <font>
        <b/>
      </font>
      <fill>
        <patternFill patternType="solid">
          <bgColor rgb="FFFCE4D6"/>
        </patternFill>
      </fill>
    </dxf>
    <dxf>
      <font>
        <b/>
      </font>
      <fill>
        <patternFill patternType="solid">
          <bgColor rgb="FFFFEB9C"/>
        </patternFill>
      </fill>
    </dxf>
    <dxf>
      <font>
        <b/>
      </font>
      <fill>
        <patternFill patternType="solid">
          <bgColor rgb="FFFFC7CE"/>
        </patternFill>
      </fill>
    </dxf>
    <dxf>
      <fill>
        <patternFill patternType="solid">
          <bgColor rgb="FFE2EFDA"/>
        </patternFill>
      </fill>
    </dxf>
    <dxf>
      <font>
        <b/>
      </font>
      <fill>
        <patternFill patternType="solid">
          <bgColor rgb="FFFCE4D6"/>
        </patternFill>
      </fill>
    </dxf>
    <dxf>
      <font>
        <b/>
      </font>
      <fill>
        <patternFill patternType="solid">
          <bgColor rgb="FFFFEB9C"/>
        </patternFill>
      </fill>
    </dxf>
    <dxf>
      <font>
        <b/>
      </font>
      <fill>
        <patternFill patternType="solid">
          <bgColor rgb="FFFFC7CE"/>
        </patternFill>
      </fill>
    </dxf>
    <dxf>
      <fill>
        <patternFill patternType="solid">
          <bgColor rgb="FFE2EFDA"/>
        </patternFill>
      </fill>
    </dxf>
    <dxf>
      <font>
        <b/>
      </font>
      <fill>
        <patternFill patternType="solid">
          <bgColor rgb="FFFFEB9C"/>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ill>
        <patternFill patternType="solid">
          <bgColor rgb="FFFFC7CE"/>
        </patternFill>
      </fill>
    </dxf>
    <dxf>
      <fill>
        <patternFill patternType="solid">
          <bgColor rgb="FFFFEB9C"/>
        </patternFill>
      </fill>
    </dxf>
    <dxf>
      <fill>
        <patternFill patternType="solid">
          <bgColor rgb="FFFFC7CE"/>
        </patternFill>
      </fill>
    </dxf>
    <dxf>
      <fill>
        <patternFill patternType="solid">
          <bgColor rgb="FFFFEB9C"/>
        </patternFill>
      </fill>
    </dxf>
    <dxf>
      <fill>
        <patternFill patternType="solid">
          <bgColor rgb="FFFFC7CE"/>
        </patternFill>
      </fill>
    </dxf>
    <dxf>
      <fill>
        <patternFill patternType="solid">
          <bgColor rgb="FFE2EFDA"/>
        </patternFill>
      </fill>
    </dxf>
    <dxf>
      <font>
        <b/>
      </font>
      <fill>
        <patternFill patternType="solid">
          <bgColor rgb="FFFCE4D6"/>
        </patternFill>
      </fill>
    </dxf>
    <dxf>
      <font>
        <b/>
      </font>
      <fill>
        <patternFill patternType="solid">
          <bgColor rgb="FFFFEB9C"/>
        </patternFill>
      </fill>
    </dxf>
    <dxf>
      <font>
        <b/>
      </font>
      <fill>
        <patternFill patternType="solid">
          <bgColor rgb="FFFFC7CE"/>
        </patternFill>
      </fill>
    </dxf>
    <dxf>
      <font>
        <b/>
      </font>
      <fill>
        <patternFill patternType="solid">
          <bgColor rgb="FFFFC7CE"/>
        </patternFill>
      </fill>
    </dxf>
    <dxf>
      <fill>
        <patternFill patternType="solid">
          <bgColor rgb="FFFFEB9C"/>
        </patternFill>
      </fill>
    </dxf>
    <dxf>
      <fill>
        <patternFill patternType="solid">
          <bgColor rgb="FFFFC7CE"/>
        </patternFill>
      </fill>
    </dxf>
    <dxf>
      <font>
        <b/>
      </font>
      <fill>
        <patternFill patternType="solid">
          <bgColor rgb="FFFFC7CE"/>
        </patternFill>
      </fill>
    </dxf>
    <dxf>
      <fill>
        <patternFill patternType="solid">
          <bgColor rgb="FFFFFBEB"/>
        </patternFill>
      </fill>
    </dxf>
    <dxf>
      <fill>
        <patternFill patternType="solid">
          <bgColor rgb="FFFFC7CE"/>
        </patternFill>
      </fill>
    </dxf>
    <dxf>
      <fill>
        <patternFill patternType="solid">
          <bgColor rgb="FFFFEB9C"/>
        </patternFill>
      </fill>
    </dxf>
    <dxf>
      <fill>
        <patternFill patternType="solid">
          <bgColor rgb="FFF2F2F2"/>
        </patternFill>
      </fill>
    </dxf>
    <dxf>
      <fill>
        <patternFill patternType="solid">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4.xml.rels><?xml version="1.0" encoding="UTF-8" standalone="yes"?>
<Relationships xmlns="http://schemas.openxmlformats.org/package/2006/relationships"><Relationship Id="rId8" Type="http://schemas.openxmlformats.org/officeDocument/2006/relationships/hyperlink" Target="https://lidd.com/banana-supply-chain/" TargetMode="External"/><Relationship Id="rId13" Type="http://schemas.openxmlformats.org/officeDocument/2006/relationships/hyperlink" Target="https://www.relexsolutions.com/resources/fresh-produce-maximizing-freshness-availability-and-margins/" TargetMode="External"/><Relationship Id="rId3" Type="http://schemas.openxmlformats.org/officeDocument/2006/relationships/hyperlink" Target="https://www.relexsolutions.com/resources/4-strategies-for-managing-fresh-fruits-and-vegetables-in-grocery-retail/" TargetMode="External"/><Relationship Id="rId7" Type="http://schemas.openxmlformats.org/officeDocument/2006/relationships/hyperlink" Target="https://mitsloan.mit.edu/ideas-made-to-matter/what-bananas-can-tell-us-about-supply-chains" TargetMode="External"/><Relationship Id="rId12" Type="http://schemas.openxmlformats.org/officeDocument/2006/relationships/hyperlink" Target="https://en.wikipedia.org/wiki/Fyffes" TargetMode="External"/><Relationship Id="rId17" Type="http://schemas.openxmlformats.org/officeDocument/2006/relationships/hyperlink" Target="https://www.cloudcreations.com/resource/kpi-guide-for-grocery-supermarkets/" TargetMode="External"/><Relationship Id="rId2" Type="http://schemas.openxmlformats.org/officeDocument/2006/relationships/hyperlink" Target="https://www.relexsolutions.com/resources/fresh-food-inventory-management/" TargetMode="External"/><Relationship Id="rId16" Type="http://schemas.openxmlformats.org/officeDocument/2006/relationships/hyperlink" Target="https://www.fmax.in/banana-ripening-chamber-faq-setup-ethylene-control/" TargetMode="External"/><Relationship Id="rId1" Type="http://schemas.openxmlformats.org/officeDocument/2006/relationships/hyperlink" Target="https://blueridgeglobal.com/blog/11-point-checklist-for-perishable-inventory-management/" TargetMode="External"/><Relationship Id="rId6" Type="http://schemas.openxmlformats.org/officeDocument/2006/relationships/hyperlink" Target="https://thermaltechnologies.com/ripening-room-faqs/" TargetMode="External"/><Relationship Id="rId11" Type="http://schemas.openxmlformats.org/officeDocument/2006/relationships/hyperlink" Target="https://umbrex.com/resources/umbrex-explainers/agriculture-food-explainers/service-level-optimization-in-fresh-categories/" TargetMode="External"/><Relationship Id="rId5" Type="http://schemas.openxmlformats.org/officeDocument/2006/relationships/hyperlink" Target="https://blog.tridge.com/blog-posts/banana-sourcing-intelligence-us-import-programs-where-total-landed-cost-and-risk-really-sit" TargetMode="External"/><Relationship Id="rId15" Type="http://schemas.openxmlformats.org/officeDocument/2006/relationships/hyperlink" Target="https://www.catalyticgenerators.com/banana-ripening" TargetMode="External"/><Relationship Id="rId10" Type="http://schemas.openxmlformats.org/officeDocument/2006/relationships/hyperlink" Target="https://umbrex.com/resources/company-profiles/dole-plc/" TargetMode="External"/><Relationship Id="rId4" Type="http://schemas.openxmlformats.org/officeDocument/2006/relationships/hyperlink" Target="https://blog.smartsense.co/sop-food-waste-supply-chain" TargetMode="External"/><Relationship Id="rId9" Type="http://schemas.openxmlformats.org/officeDocument/2006/relationships/hyperlink" Target="https://www.venasolutions.com/templates/plan-budget-forecast/inventory-forecasting" TargetMode="External"/><Relationship Id="rId14" Type="http://schemas.openxmlformats.org/officeDocument/2006/relationships/hyperlink" Target="https://theproducenews.com/choosing-right-banana-ripening-cyc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tabSelected="1" workbookViewId="0"/>
  </sheetViews>
  <sheetFormatPr baseColWidth="10" defaultColWidth="9.140625" defaultRowHeight="15"/>
  <cols>
    <col min="1" max="1" width="22" customWidth="1"/>
    <col min="2" max="2" width="120" customWidth="1"/>
  </cols>
  <sheetData>
    <row r="1" spans="1:2" ht="21">
      <c r="A1" s="1" t="s">
        <v>0</v>
      </c>
    </row>
    <row r="2" spans="1:2">
      <c r="A2" s="2" t="s">
        <v>1</v>
      </c>
    </row>
    <row r="4" spans="1:2">
      <c r="A4" s="3" t="s">
        <v>2</v>
      </c>
      <c r="B4" s="4" t="s">
        <v>3</v>
      </c>
    </row>
    <row r="5" spans="1:2" ht="30">
      <c r="A5" t="s">
        <v>3</v>
      </c>
      <c r="B5" s="4" t="s">
        <v>4</v>
      </c>
    </row>
    <row r="6" spans="1:2" ht="45">
      <c r="A6" t="s">
        <v>3</v>
      </c>
      <c r="B6" s="4" t="s">
        <v>5</v>
      </c>
    </row>
    <row r="7" spans="1:2" ht="45">
      <c r="A7" t="s">
        <v>3</v>
      </c>
      <c r="B7" s="4" t="s">
        <v>6</v>
      </c>
    </row>
    <row r="8" spans="1:2">
      <c r="A8" s="3" t="s">
        <v>7</v>
      </c>
      <c r="B8" s="4" t="s">
        <v>3</v>
      </c>
    </row>
    <row r="9" spans="1:2" ht="30">
      <c r="A9" t="s">
        <v>8</v>
      </c>
      <c r="B9" s="4" t="s">
        <v>9</v>
      </c>
    </row>
    <row r="10" spans="1:2" ht="30">
      <c r="A10" t="s">
        <v>10</v>
      </c>
      <c r="B10" s="4" t="s">
        <v>11</v>
      </c>
    </row>
    <row r="11" spans="1:2" ht="30">
      <c r="A11" t="s">
        <v>12</v>
      </c>
      <c r="B11" s="4" t="s">
        <v>13</v>
      </c>
    </row>
    <row r="12" spans="1:2" ht="30">
      <c r="A12" t="s">
        <v>14</v>
      </c>
      <c r="B12" s="4" t="s">
        <v>15</v>
      </c>
    </row>
    <row r="13" spans="1:2">
      <c r="A13" t="s">
        <v>16</v>
      </c>
      <c r="B13" s="4" t="s">
        <v>17</v>
      </c>
    </row>
    <row r="14" spans="1:2">
      <c r="A14" t="s">
        <v>18</v>
      </c>
      <c r="B14" s="4" t="s">
        <v>19</v>
      </c>
    </row>
    <row r="15" spans="1:2" ht="30">
      <c r="A15" t="s">
        <v>20</v>
      </c>
      <c r="B15" s="4" t="s">
        <v>21</v>
      </c>
    </row>
    <row r="16" spans="1:2" ht="30">
      <c r="A16" t="s">
        <v>22</v>
      </c>
      <c r="B16" s="4" t="s">
        <v>23</v>
      </c>
    </row>
    <row r="17" spans="1:2">
      <c r="A17" t="s">
        <v>24</v>
      </c>
      <c r="B17" s="4" t="s">
        <v>25</v>
      </c>
    </row>
    <row r="18" spans="1:2" ht="30">
      <c r="A18" s="3" t="s">
        <v>26</v>
      </c>
      <c r="B18" s="4" t="s">
        <v>27</v>
      </c>
    </row>
    <row r="19" spans="1:2" ht="45">
      <c r="A19" s="3" t="s">
        <v>28</v>
      </c>
      <c r="B19" s="4" t="s">
        <v>29</v>
      </c>
    </row>
    <row r="20" spans="1:2">
      <c r="A20" s="3" t="s">
        <v>30</v>
      </c>
      <c r="B20" s="4" t="s">
        <v>31</v>
      </c>
    </row>
    <row r="21" spans="1:2" ht="30">
      <c r="A21" s="3" t="s">
        <v>32</v>
      </c>
      <c r="B21" s="4" t="s">
        <v>33</v>
      </c>
    </row>
    <row r="22" spans="1:2" ht="30">
      <c r="A22" t="s">
        <v>3</v>
      </c>
      <c r="B22" s="4" t="s">
        <v>34</v>
      </c>
    </row>
    <row r="23" spans="1:2" ht="60">
      <c r="A23" s="3" t="s">
        <v>35</v>
      </c>
      <c r="B23" s="4" t="s">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workbookViewId="0"/>
  </sheetViews>
  <sheetFormatPr baseColWidth="10" defaultColWidth="9.140625" defaultRowHeight="15"/>
  <cols>
    <col min="1" max="2" width="12" customWidth="1"/>
    <col min="3" max="3" width="80" customWidth="1"/>
    <col min="4" max="4" width="24" customWidth="1"/>
    <col min="5" max="5" width="50" customWidth="1"/>
    <col min="6" max="12" width="9.140625" customWidth="1"/>
  </cols>
  <sheetData>
    <row r="1" spans="1:12" ht="21">
      <c r="A1" s="1" t="s">
        <v>494</v>
      </c>
    </row>
    <row r="2" spans="1:12">
      <c r="A2" s="2" t="s">
        <v>495</v>
      </c>
    </row>
    <row r="4" spans="1:12">
      <c r="A4" s="11" t="s">
        <v>172</v>
      </c>
      <c r="B4" s="11" t="s">
        <v>496</v>
      </c>
      <c r="C4" s="11" t="s">
        <v>497</v>
      </c>
      <c r="D4" s="11" t="s">
        <v>498</v>
      </c>
      <c r="E4" s="11" t="s">
        <v>499</v>
      </c>
    </row>
    <row r="5" spans="1:12" ht="45">
      <c r="A5" s="37" t="s">
        <v>500</v>
      </c>
      <c r="B5" s="15" t="s">
        <v>501</v>
      </c>
      <c r="C5" s="15" t="s">
        <v>502</v>
      </c>
      <c r="D5" s="15" t="s">
        <v>503</v>
      </c>
      <c r="E5" s="15" t="s">
        <v>504</v>
      </c>
    </row>
    <row r="6" spans="1:12" ht="30">
      <c r="A6" s="37" t="s">
        <v>505</v>
      </c>
      <c r="B6" s="15" t="s">
        <v>501</v>
      </c>
      <c r="C6" s="15" t="s">
        <v>506</v>
      </c>
      <c r="D6" s="15" t="s">
        <v>507</v>
      </c>
      <c r="E6" s="15" t="s">
        <v>508</v>
      </c>
    </row>
    <row r="7" spans="1:12" ht="45">
      <c r="A7" s="37" t="s">
        <v>509</v>
      </c>
      <c r="B7" s="15" t="s">
        <v>510</v>
      </c>
      <c r="C7" s="15" t="s">
        <v>511</v>
      </c>
      <c r="D7" s="15" t="s">
        <v>512</v>
      </c>
      <c r="E7" s="15" t="s">
        <v>513</v>
      </c>
    </row>
    <row r="8" spans="1:12" ht="30">
      <c r="A8" s="37" t="s">
        <v>514</v>
      </c>
      <c r="B8" s="15" t="s">
        <v>501</v>
      </c>
      <c r="C8" s="15" t="s">
        <v>515</v>
      </c>
      <c r="D8" s="15" t="s">
        <v>512</v>
      </c>
      <c r="E8" s="15" t="s">
        <v>516</v>
      </c>
    </row>
    <row r="9" spans="1:12" ht="30">
      <c r="A9" s="37" t="s">
        <v>517</v>
      </c>
      <c r="B9" s="15" t="s">
        <v>518</v>
      </c>
      <c r="C9" s="15" t="s">
        <v>519</v>
      </c>
      <c r="D9" s="15" t="s">
        <v>512</v>
      </c>
      <c r="E9" s="15" t="s">
        <v>520</v>
      </c>
    </row>
    <row r="10" spans="1:12" ht="30">
      <c r="A10" s="37" t="s">
        <v>160</v>
      </c>
      <c r="B10" s="15" t="s">
        <v>521</v>
      </c>
      <c r="C10" s="15" t="s">
        <v>522</v>
      </c>
      <c r="D10" s="15" t="s">
        <v>523</v>
      </c>
      <c r="E10" s="15" t="s">
        <v>524</v>
      </c>
    </row>
    <row r="11" spans="1:12" ht="30">
      <c r="A11" s="37" t="s">
        <v>525</v>
      </c>
      <c r="B11" s="15" t="s">
        <v>526</v>
      </c>
      <c r="C11" s="15" t="s">
        <v>527</v>
      </c>
      <c r="D11" s="15" t="s">
        <v>512</v>
      </c>
      <c r="E11" s="15" t="s">
        <v>528</v>
      </c>
    </row>
    <row r="13" spans="1:12" ht="48.95" customHeight="1">
      <c r="A13" s="44" t="s">
        <v>529</v>
      </c>
      <c r="B13" s="44"/>
      <c r="C13" s="44"/>
      <c r="D13" s="44"/>
      <c r="E13" s="44"/>
      <c r="F13" s="44"/>
      <c r="G13" s="44"/>
      <c r="H13" s="44"/>
      <c r="I13" s="44"/>
      <c r="J13" s="44"/>
      <c r="K13" s="44"/>
      <c r="L13" s="44"/>
    </row>
  </sheetData>
  <mergeCells count="1">
    <mergeCell ref="A13:L1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3"/>
  <sheetViews>
    <sheetView workbookViewId="0"/>
  </sheetViews>
  <sheetFormatPr baseColWidth="10" defaultColWidth="9.140625" defaultRowHeight="15"/>
  <cols>
    <col min="1" max="1" width="58" customWidth="1"/>
    <col min="2" max="3" width="14" customWidth="1"/>
    <col min="4" max="4" width="18" customWidth="1"/>
    <col min="5" max="5" width="90" customWidth="1"/>
    <col min="6" max="12" width="9.140625" customWidth="1"/>
  </cols>
  <sheetData>
    <row r="1" spans="1:5" ht="21">
      <c r="A1" s="1" t="s">
        <v>37</v>
      </c>
    </row>
    <row r="2" spans="1:5">
      <c r="A2" s="2" t="s">
        <v>38</v>
      </c>
    </row>
    <row r="3" spans="1:5">
      <c r="A3" t="s">
        <v>39</v>
      </c>
      <c r="B3" s="6">
        <v>46291</v>
      </c>
      <c r="C3" t="s">
        <v>40</v>
      </c>
    </row>
    <row r="4" spans="1:5">
      <c r="A4" t="s">
        <v>41</v>
      </c>
      <c r="B4" s="5">
        <f ca="1">TODAY()</f>
        <v>46294</v>
      </c>
      <c r="C4" t="s">
        <v>42</v>
      </c>
    </row>
    <row r="5" spans="1:5">
      <c r="A5" t="s">
        <v>43</v>
      </c>
      <c r="B5" s="8">
        <v>22500</v>
      </c>
      <c r="C5" t="s">
        <v>44</v>
      </c>
    </row>
    <row r="6" spans="1:5">
      <c r="A6" t="s">
        <v>45</v>
      </c>
      <c r="B6" s="9">
        <v>7</v>
      </c>
      <c r="C6" t="s">
        <v>46</v>
      </c>
    </row>
    <row r="7" spans="1:5">
      <c r="A7" t="s">
        <v>47</v>
      </c>
      <c r="B7" s="9">
        <v>6</v>
      </c>
      <c r="C7" t="s">
        <v>48</v>
      </c>
    </row>
    <row r="8" spans="1:5">
      <c r="A8" t="s">
        <v>49</v>
      </c>
      <c r="B8" s="9" t="s">
        <v>50</v>
      </c>
      <c r="C8" t="s">
        <v>51</v>
      </c>
    </row>
    <row r="9" spans="1:5">
      <c r="A9" t="s">
        <v>52</v>
      </c>
      <c r="B9" s="10">
        <f>IF(B8="Venta +10%",1.1,IF(B8="Venta -10%",0.9,IF(B8="Venta +20%",1.2,IF(B8="Venta -20%",0.8,1))))</f>
        <v>1</v>
      </c>
    </row>
    <row r="10" spans="1:5">
      <c r="A10" t="s">
        <v>53</v>
      </c>
      <c r="B10" s="9">
        <v>0</v>
      </c>
      <c r="C10" t="s">
        <v>54</v>
      </c>
    </row>
    <row r="11" spans="1:5">
      <c r="A11" t="s">
        <v>55</v>
      </c>
      <c r="B11" s="8">
        <v>1000</v>
      </c>
      <c r="C11" t="s">
        <v>56</v>
      </c>
    </row>
    <row r="13" spans="1:5">
      <c r="A13" s="11" t="s">
        <v>57</v>
      </c>
      <c r="B13" s="11" t="s">
        <v>58</v>
      </c>
      <c r="C13" s="11" t="s">
        <v>59</v>
      </c>
      <c r="D13" s="11" t="s">
        <v>60</v>
      </c>
      <c r="E13" s="11" t="s">
        <v>61</v>
      </c>
    </row>
    <row r="14" spans="1:5">
      <c r="A14" t="s">
        <v>62</v>
      </c>
      <c r="B14" s="9">
        <v>3</v>
      </c>
      <c r="C14" s="9">
        <v>4</v>
      </c>
      <c r="D14" s="9">
        <v>6</v>
      </c>
      <c r="E14" t="s">
        <v>63</v>
      </c>
    </row>
    <row r="15" spans="1:5">
      <c r="A15" t="s">
        <v>64</v>
      </c>
      <c r="B15" s="8">
        <v>1008</v>
      </c>
      <c r="C15" s="8">
        <v>980</v>
      </c>
      <c r="D15" s="8">
        <v>1050</v>
      </c>
      <c r="E15" t="s">
        <v>65</v>
      </c>
    </row>
    <row r="16" spans="1:5">
      <c r="A16" t="s">
        <v>66</v>
      </c>
      <c r="B16" s="8">
        <v>11653</v>
      </c>
      <c r="C16" s="8">
        <v>13673</v>
      </c>
      <c r="D16" s="8">
        <v>1646</v>
      </c>
      <c r="E16" s="12">
        <f>SUM(B16:D16)</f>
        <v>26972</v>
      </c>
    </row>
    <row r="17" spans="1:5">
      <c r="A17" t="s">
        <v>67</v>
      </c>
      <c r="B17" s="9" t="s">
        <v>68</v>
      </c>
      <c r="C17" s="9" t="s">
        <v>69</v>
      </c>
      <c r="D17" s="9" t="s">
        <v>70</v>
      </c>
      <c r="E17" t="s">
        <v>71</v>
      </c>
    </row>
    <row r="18" spans="1:5">
      <c r="A18" t="s">
        <v>72</v>
      </c>
      <c r="B18" t="s">
        <v>73</v>
      </c>
      <c r="C18" t="s">
        <v>74</v>
      </c>
      <c r="D18" t="s">
        <v>73</v>
      </c>
      <c r="E18" t="s">
        <v>75</v>
      </c>
    </row>
    <row r="20" spans="1:5">
      <c r="A20" s="11" t="s">
        <v>76</v>
      </c>
      <c r="B20" s="11"/>
      <c r="C20" s="11"/>
      <c r="D20" s="11"/>
      <c r="E20" s="11"/>
    </row>
    <row r="21" spans="1:5">
      <c r="A21" t="s">
        <v>77</v>
      </c>
      <c r="B21" s="13">
        <v>1.18</v>
      </c>
      <c r="C21" t="s">
        <v>78</v>
      </c>
    </row>
    <row r="22" spans="1:5">
      <c r="A22" t="s">
        <v>79</v>
      </c>
      <c r="B22" s="9">
        <v>22</v>
      </c>
    </row>
    <row r="23" spans="1:5">
      <c r="A23" t="s">
        <v>80</v>
      </c>
      <c r="B23" s="9">
        <v>18</v>
      </c>
      <c r="C23" t="s">
        <v>81</v>
      </c>
    </row>
    <row r="24" spans="1:5">
      <c r="A24" t="s">
        <v>82</v>
      </c>
      <c r="B24" s="10">
        <f>CepeaKg*KgCaja+ServiciosCaja</f>
        <v>43.959999999999994</v>
      </c>
    </row>
    <row r="25" spans="1:5">
      <c r="A25" t="s">
        <v>83</v>
      </c>
      <c r="B25" s="13">
        <v>36.869999999999997</v>
      </c>
      <c r="C25" t="s">
        <v>84</v>
      </c>
    </row>
    <row r="26" spans="1:5">
      <c r="A26" t="s">
        <v>85</v>
      </c>
      <c r="B26" s="13">
        <v>5.2</v>
      </c>
    </row>
    <row r="27" spans="1:5">
      <c r="A27" t="s">
        <v>86</v>
      </c>
      <c r="B27" s="8">
        <v>60000</v>
      </c>
      <c r="C27" t="s">
        <v>87</v>
      </c>
    </row>
    <row r="28" spans="1:5">
      <c r="A28" t="s">
        <v>88</v>
      </c>
      <c r="B28" s="8">
        <v>7500</v>
      </c>
    </row>
    <row r="29" spans="1:5">
      <c r="A29" t="s">
        <v>89</v>
      </c>
      <c r="B29" t="s">
        <v>90</v>
      </c>
      <c r="C29" t="s">
        <v>91</v>
      </c>
    </row>
    <row r="30" spans="1:5" ht="30">
      <c r="A30" s="11" t="s">
        <v>92</v>
      </c>
      <c r="B30" s="11" t="s">
        <v>58</v>
      </c>
      <c r="C30" s="11" t="s">
        <v>59</v>
      </c>
      <c r="D30" s="11" t="s">
        <v>60</v>
      </c>
      <c r="E30" s="11" t="s">
        <v>61</v>
      </c>
    </row>
    <row r="31" spans="1:5">
      <c r="A31" t="s">
        <v>93</v>
      </c>
      <c r="B31" s="10">
        <v>11.6</v>
      </c>
      <c r="C31" s="10">
        <v>11.5</v>
      </c>
      <c r="D31" s="10">
        <v>10.8</v>
      </c>
      <c r="E31" t="s">
        <v>94</v>
      </c>
    </row>
    <row r="32" spans="1:5">
      <c r="A32" t="s">
        <v>95</v>
      </c>
      <c r="B32" s="13">
        <f>ROUND(PrecioBR_BRL/TC_BRL,2)</f>
        <v>7.09</v>
      </c>
      <c r="C32" s="13">
        <v>7</v>
      </c>
      <c r="D32" s="13"/>
      <c r="E32" t="str">
        <f>"Gonzalo 28/09/2026: Paraguay USD 7 por caja; Brasil = promedio ponderado pagado ("&amp;FIXED(PrecioBR_BRL,2)&amp;" R$) / TC "&amp;FIXED(TC_BRL,2)&amp;" (sin los R$ "&amp;ServiciosCaja&amp;" de servicios: puesto en Uruguay serian "&amp;FIXED((PrecioBR_BRL+ServiciosCaja)/TC_BRL,2)&amp;" USD); Bolivia pendiente (queda la referencia de aduana). Carape "&amp;FIXED(PYG_Caja/TC_PYG,2)&amp;" USD es mercado local, no compra."</f>
        <v>Gonzalo 28/09/2026: Paraguay USD 7 por caja; Brasil = promedio ponderado pagado (36,87 R$) / TC 5,20 (sin los R$ 18 de servicios: puesto en Uruguay serian 10,55 USD); Bolivia pendiente (queda la referencia de aduana). Carape 8,00 USD es mercado local, no compra.</v>
      </c>
    </row>
    <row r="33" spans="1:12">
      <c r="A33" t="s">
        <v>96</v>
      </c>
      <c r="B33" s="14">
        <f>IF(B32&lt;&gt;"",B32,B31)</f>
        <v>7.09</v>
      </c>
      <c r="C33" s="14">
        <f>IF(C32&lt;&gt;"",C32,C31)</f>
        <v>7</v>
      </c>
      <c r="D33" s="14">
        <f>IF(D32&lt;&gt;"",D32,D31)</f>
        <v>10.8</v>
      </c>
    </row>
    <row r="34" spans="1:12">
      <c r="A34" s="11" t="s">
        <v>97</v>
      </c>
      <c r="B34" s="11"/>
      <c r="C34" s="11"/>
    </row>
    <row r="35" spans="1:12">
      <c r="A35" s="3" t="s">
        <v>98</v>
      </c>
      <c r="B35" s="3" t="s">
        <v>99</v>
      </c>
      <c r="C35" s="3" t="s">
        <v>61</v>
      </c>
    </row>
    <row r="36" spans="1:12">
      <c r="A36">
        <v>1</v>
      </c>
      <c r="B36" s="13">
        <v>1</v>
      </c>
      <c r="C36" t="s">
        <v>100</v>
      </c>
    </row>
    <row r="37" spans="1:12">
      <c r="A37">
        <v>2</v>
      </c>
      <c r="B37" s="13">
        <v>1</v>
      </c>
      <c r="C37" t="s">
        <v>101</v>
      </c>
    </row>
    <row r="38" spans="1:12">
      <c r="A38">
        <v>3</v>
      </c>
      <c r="B38" s="13">
        <v>1</v>
      </c>
      <c r="C38" t="s">
        <v>102</v>
      </c>
    </row>
    <row r="39" spans="1:12">
      <c r="A39">
        <v>4</v>
      </c>
      <c r="B39" s="13">
        <v>1</v>
      </c>
      <c r="C39" t="s">
        <v>103</v>
      </c>
    </row>
    <row r="40" spans="1:12">
      <c r="A40">
        <v>5</v>
      </c>
      <c r="B40" s="13">
        <v>1</v>
      </c>
      <c r="C40" t="s">
        <v>104</v>
      </c>
    </row>
    <row r="41" spans="1:12" ht="33.950000000000003" customHeight="1">
      <c r="A41" s="44" t="s">
        <v>105</v>
      </c>
      <c r="B41" s="44"/>
      <c r="C41" s="44"/>
      <c r="D41" s="44"/>
      <c r="E41" s="44"/>
      <c r="F41" s="44"/>
      <c r="G41" s="44"/>
      <c r="H41" s="44"/>
      <c r="I41" s="44"/>
      <c r="J41" s="44"/>
      <c r="K41" s="44"/>
      <c r="L41" s="44"/>
    </row>
    <row r="43" spans="1:12">
      <c r="A43" s="11" t="s">
        <v>106</v>
      </c>
      <c r="B43" s="11" t="s">
        <v>58</v>
      </c>
      <c r="C43" s="11" t="s">
        <v>59</v>
      </c>
      <c r="D43" s="11" t="s">
        <v>60</v>
      </c>
      <c r="E43" s="11" t="s">
        <v>61</v>
      </c>
    </row>
    <row r="44" spans="1:12">
      <c r="A44" t="s">
        <v>107</v>
      </c>
      <c r="B44" s="9">
        <v>3</v>
      </c>
      <c r="C44" s="9">
        <v>4</v>
      </c>
      <c r="D44" s="9">
        <v>6</v>
      </c>
      <c r="E44" t="s">
        <v>108</v>
      </c>
    </row>
    <row r="45" spans="1:12">
      <c r="A45" t="s">
        <v>109</v>
      </c>
      <c r="B45" s="9">
        <v>6</v>
      </c>
      <c r="C45" s="9">
        <v>5</v>
      </c>
      <c r="D45" s="9">
        <v>8</v>
      </c>
      <c r="E45" t="s">
        <v>110</v>
      </c>
    </row>
    <row r="46" spans="1:12">
      <c r="A46" t="s">
        <v>111</v>
      </c>
      <c r="B46" s="9">
        <v>7</v>
      </c>
      <c r="E46" t="s">
        <v>112</v>
      </c>
    </row>
    <row r="47" spans="1:12">
      <c r="A47" t="s">
        <v>113</v>
      </c>
      <c r="B47" s="9">
        <v>16</v>
      </c>
      <c r="E47" t="s">
        <v>114</v>
      </c>
    </row>
    <row r="48" spans="1:12">
      <c r="A48" t="s">
        <v>115</v>
      </c>
      <c r="B48" s="17">
        <v>0.95</v>
      </c>
    </row>
    <row r="49" spans="1:5">
      <c r="A49" t="s">
        <v>116</v>
      </c>
      <c r="B49" s="10">
        <f>NORMSINV(B48)</f>
        <v>1.6448536269514715</v>
      </c>
    </row>
    <row r="50" spans="1:5">
      <c r="A50" t="s">
        <v>117</v>
      </c>
      <c r="B50" s="8">
        <f>IFERROR(ROUND(STDEV(HistTotal),0),1700)</f>
        <v>1282</v>
      </c>
      <c r="E50" t="s">
        <v>118</v>
      </c>
    </row>
    <row r="51" spans="1:5">
      <c r="A51" t="s">
        <v>119</v>
      </c>
      <c r="B51" s="7">
        <f>ROUND(Zserv*SigmaVenta*SQRT((LagBR+DiasMadurar)/7+1),0)</f>
        <v>3286</v>
      </c>
      <c r="E51" t="s">
        <v>120</v>
      </c>
    </row>
    <row r="52" spans="1:5">
      <c r="A52" t="s">
        <v>121</v>
      </c>
      <c r="B52" s="7">
        <f ca="1">SSsugerido+ROUND(INDEX(DemVenta,MATCH(FechaHoy-WEEKDAY(FechaHoy,2)+1+7,DemSemana,0))/DiasVenta*DiasMadurar,0)</f>
        <v>23119</v>
      </c>
      <c r="E52" t="str">
        <f ca="1">"Contra el minimo de Gonzalo ("&amp;FIXED(MinimoSabado,0)&amp;"): "&amp;IF(MinSugerido&gt;MinimoSabado,"la formula pide "&amp;FIXED(MinSugerido-MinimoSabado,0)&amp;" cajas mas","la formula pide "&amp;FIXED(MinimoSabado-MinSugerido,0)&amp;" cajas menos")&amp;". El que manda en la planilla es el de la fila 5."</f>
        <v>Contra el minimo de Gonzalo (22.500): la formula pide 619 cajas mas. El que manda en la planilla es el de la fila 5.</v>
      </c>
    </row>
    <row r="54" spans="1:5" ht="30">
      <c r="A54" s="11" t="s">
        <v>122</v>
      </c>
      <c r="B54" s="11"/>
      <c r="C54" s="11"/>
      <c r="D54" s="11"/>
      <c r="E54" s="11"/>
    </row>
    <row r="55" spans="1:5">
      <c r="A55" t="s">
        <v>123</v>
      </c>
      <c r="B55" s="9"/>
      <c r="E55" t="s">
        <v>124</v>
      </c>
    </row>
    <row r="56" spans="1:5">
      <c r="A56" t="s">
        <v>125</v>
      </c>
      <c r="B56" s="8"/>
    </row>
    <row r="57" spans="1:5">
      <c r="A57" t="s">
        <v>126</v>
      </c>
      <c r="B57" s="9">
        <v>5</v>
      </c>
      <c r="E57" t="s">
        <v>127</v>
      </c>
    </row>
    <row r="58" spans="1:5">
      <c r="A58" t="s">
        <v>128</v>
      </c>
      <c r="B58" s="7" t="str">
        <f>IF(OR(B55="",B56=""),"",B55*B56/B57*7)</f>
        <v/>
      </c>
      <c r="E58" t="s">
        <v>129</v>
      </c>
    </row>
    <row r="59" spans="1:5">
      <c r="A59" t="s">
        <v>130</v>
      </c>
      <c r="B59" s="8"/>
      <c r="E59" t="s">
        <v>131</v>
      </c>
    </row>
    <row r="61" spans="1:5">
      <c r="A61" s="11" t="s">
        <v>132</v>
      </c>
      <c r="B61" s="11"/>
      <c r="C61" s="11"/>
      <c r="D61" s="11"/>
      <c r="E61" s="11"/>
    </row>
    <row r="62" spans="1:5">
      <c r="A62" t="s">
        <v>133</v>
      </c>
      <c r="B62" s="9">
        <v>1</v>
      </c>
      <c r="E62" t="s">
        <v>134</v>
      </c>
    </row>
    <row r="63" spans="1:5">
      <c r="A63" t="s">
        <v>135</v>
      </c>
      <c r="B63" s="9">
        <v>1</v>
      </c>
      <c r="E63" t="s">
        <v>136</v>
      </c>
    </row>
  </sheetData>
  <mergeCells count="1">
    <mergeCell ref="A41:L41"/>
  </mergeCells>
  <dataValidations count="1">
    <dataValidation type="list" showErrorMessage="1" errorTitle="Valor no valido" error="Elegi un valor de la lista" sqref="B8" xr:uid="{00000000-0002-0000-0200-000000000000}">
      <formula1>"Base,Venta +10%,Venta -10%,Venta +20%,Venta -20%"</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9"/>
  <sheetViews>
    <sheetView workbookViewId="0">
      <pane xSplit="1" ySplit="5" topLeftCell="B6" activePane="bottomRight" state="frozen"/>
      <selection pane="topRight" activeCell="B1" sqref="B1"/>
      <selection pane="bottomLeft" activeCell="A6" sqref="A6"/>
      <selection pane="bottomRight"/>
    </sheetView>
  </sheetViews>
  <sheetFormatPr baseColWidth="10" defaultColWidth="9.140625" defaultRowHeight="15"/>
  <cols>
    <col min="1" max="2" width="14" customWidth="1"/>
    <col min="3" max="3" width="7" customWidth="1"/>
    <col min="4" max="4" width="9" customWidth="1"/>
    <col min="5" max="5" width="12" customWidth="1"/>
    <col min="6" max="6" width="10" customWidth="1"/>
    <col min="7" max="7" width="14" customWidth="1"/>
    <col min="8" max="8" width="13" customWidth="1"/>
    <col min="9" max="11" width="9" customWidth="1"/>
    <col min="12" max="14" width="10" customWidth="1"/>
    <col min="15" max="15" width="13" customWidth="1"/>
    <col min="16" max="16" width="11" customWidth="1"/>
    <col min="17" max="17" width="70" customWidth="1"/>
  </cols>
  <sheetData>
    <row r="1" spans="1:17" ht="21">
      <c r="A1" s="1" t="s">
        <v>137</v>
      </c>
    </row>
    <row r="2" spans="1:17">
      <c r="A2" s="2" t="s">
        <v>138</v>
      </c>
    </row>
    <row r="5" spans="1:17" ht="45">
      <c r="A5" s="11" t="s">
        <v>139</v>
      </c>
      <c r="B5" s="11" t="s">
        <v>140</v>
      </c>
      <c r="C5" s="11" t="s">
        <v>141</v>
      </c>
      <c r="D5" s="11" t="s">
        <v>98</v>
      </c>
      <c r="E5" s="11" t="s">
        <v>142</v>
      </c>
      <c r="F5" s="11" t="s">
        <v>143</v>
      </c>
      <c r="G5" s="11" t="s">
        <v>144</v>
      </c>
      <c r="H5" s="11" t="s">
        <v>145</v>
      </c>
      <c r="I5" s="11" t="s">
        <v>146</v>
      </c>
      <c r="J5" s="11" t="s">
        <v>147</v>
      </c>
      <c r="K5" s="11" t="s">
        <v>148</v>
      </c>
      <c r="L5" s="11" t="s">
        <v>149</v>
      </c>
      <c r="M5" s="11" t="s">
        <v>150</v>
      </c>
      <c r="N5" s="11" t="s">
        <v>151</v>
      </c>
      <c r="O5" s="11" t="s">
        <v>152</v>
      </c>
      <c r="P5" s="11" t="s">
        <v>153</v>
      </c>
      <c r="Q5" s="11" t="s">
        <v>154</v>
      </c>
    </row>
    <row r="6" spans="1:17">
      <c r="A6" s="5">
        <v>46286</v>
      </c>
      <c r="B6" s="5">
        <f t="shared" ref="B6:B18" si="0">A6+5</f>
        <v>46291</v>
      </c>
      <c r="C6" t="str">
        <f t="shared" ref="C6:C18" si="1">TEXT(A6,"mmm")</f>
        <v>set</v>
      </c>
      <c r="D6">
        <f t="shared" ref="D6:D18" si="2">INT((DAY(A6)-1)/7)+1</f>
        <v>3</v>
      </c>
      <c r="E6" s="8">
        <v>14845</v>
      </c>
      <c r="F6" s="10">
        <f t="shared" ref="F6:F18" si="3">IFERROR(VLOOKUP(D6,EstacTabla,2,FALSE),1)</f>
        <v>1</v>
      </c>
      <c r="G6" s="8"/>
      <c r="H6" s="12">
        <f t="shared" ref="H6:H18" si="4">IF(G6&lt;&gt;"",G6,ROUND(E6*F6*FactorEscenario,0))</f>
        <v>14845</v>
      </c>
      <c r="I6" s="19">
        <v>0.53300000000000003</v>
      </c>
      <c r="J6" s="19">
        <v>0.41899999999999998</v>
      </c>
      <c r="K6" s="18">
        <f t="shared" ref="K6:K18" si="5">1-I6-J6</f>
        <v>4.7999999999999987E-2</v>
      </c>
      <c r="L6" s="7">
        <f t="shared" ref="L6:L18" si="6">ROUND(H6*I6,0)</f>
        <v>7912</v>
      </c>
      <c r="M6" s="7">
        <f t="shared" ref="M6:M18" si="7">ROUND(H6*J6,0)</f>
        <v>6220</v>
      </c>
      <c r="N6" s="7">
        <f t="shared" ref="N6:N18" si="8">H6-L6-M6</f>
        <v>713</v>
      </c>
      <c r="O6" s="8">
        <v>14845</v>
      </c>
      <c r="P6" s="20">
        <f t="shared" ref="P6:P18" si="9">IF(O6="","",O6/H6-1)</f>
        <v>0</v>
      </c>
      <c r="Q6" t="s">
        <v>155</v>
      </c>
    </row>
    <row r="7" spans="1:17">
      <c r="A7" s="5">
        <v>46293</v>
      </c>
      <c r="B7" s="5">
        <f t="shared" si="0"/>
        <v>46298</v>
      </c>
      <c r="C7" t="str">
        <f t="shared" si="1"/>
        <v>set</v>
      </c>
      <c r="D7">
        <f t="shared" si="2"/>
        <v>4</v>
      </c>
      <c r="E7" s="8">
        <v>16000</v>
      </c>
      <c r="F7" s="10">
        <f t="shared" si="3"/>
        <v>1</v>
      </c>
      <c r="G7" s="8"/>
      <c r="H7" s="12">
        <f t="shared" si="4"/>
        <v>16000</v>
      </c>
      <c r="I7" s="19">
        <v>0.54</v>
      </c>
      <c r="J7" s="19">
        <v>0.39400000000000002</v>
      </c>
      <c r="K7" s="18">
        <f t="shared" si="5"/>
        <v>6.5999999999999948E-2</v>
      </c>
      <c r="L7" s="7">
        <f t="shared" si="6"/>
        <v>8640</v>
      </c>
      <c r="M7" s="7">
        <f t="shared" si="7"/>
        <v>6304</v>
      </c>
      <c r="N7" s="7">
        <f t="shared" si="8"/>
        <v>1056</v>
      </c>
      <c r="O7" s="8"/>
      <c r="P7" s="20" t="str">
        <f t="shared" si="9"/>
        <v/>
      </c>
      <c r="Q7" t="s">
        <v>156</v>
      </c>
    </row>
    <row r="8" spans="1:17">
      <c r="A8" s="5">
        <v>46300</v>
      </c>
      <c r="B8" s="5">
        <f t="shared" si="0"/>
        <v>46305</v>
      </c>
      <c r="C8" t="str">
        <f t="shared" si="1"/>
        <v>Oct</v>
      </c>
      <c r="D8">
        <f t="shared" si="2"/>
        <v>1</v>
      </c>
      <c r="E8" s="8">
        <v>17000</v>
      </c>
      <c r="F8" s="10">
        <f t="shared" si="3"/>
        <v>1</v>
      </c>
      <c r="G8" s="8"/>
      <c r="H8" s="12">
        <f t="shared" si="4"/>
        <v>17000</v>
      </c>
      <c r="I8" s="19">
        <v>0.61699999999999999</v>
      </c>
      <c r="J8" s="19">
        <v>0.312</v>
      </c>
      <c r="K8" s="18">
        <f t="shared" si="5"/>
        <v>7.1000000000000008E-2</v>
      </c>
      <c r="L8" s="7">
        <f t="shared" si="6"/>
        <v>10489</v>
      </c>
      <c r="M8" s="7">
        <f t="shared" si="7"/>
        <v>5304</v>
      </c>
      <c r="N8" s="7">
        <f t="shared" si="8"/>
        <v>1207</v>
      </c>
      <c r="O8" s="8"/>
      <c r="P8" s="20" t="str">
        <f t="shared" si="9"/>
        <v/>
      </c>
      <c r="Q8" t="s">
        <v>157</v>
      </c>
    </row>
    <row r="9" spans="1:17">
      <c r="A9" s="5">
        <v>46307</v>
      </c>
      <c r="B9" s="5">
        <f t="shared" si="0"/>
        <v>46312</v>
      </c>
      <c r="C9" t="str">
        <f t="shared" si="1"/>
        <v>Oct</v>
      </c>
      <c r="D9">
        <f t="shared" si="2"/>
        <v>2</v>
      </c>
      <c r="E9" s="8">
        <v>17000</v>
      </c>
      <c r="F9" s="10">
        <f t="shared" si="3"/>
        <v>1</v>
      </c>
      <c r="G9" s="8"/>
      <c r="H9" s="12">
        <f t="shared" si="4"/>
        <v>17000</v>
      </c>
      <c r="I9" s="19">
        <v>0.61699999999999999</v>
      </c>
      <c r="J9" s="19">
        <v>0.312</v>
      </c>
      <c r="K9" s="18">
        <f t="shared" si="5"/>
        <v>7.1000000000000008E-2</v>
      </c>
      <c r="L9" s="7">
        <f t="shared" si="6"/>
        <v>10489</v>
      </c>
      <c r="M9" s="7">
        <f t="shared" si="7"/>
        <v>5304</v>
      </c>
      <c r="N9" s="7">
        <f t="shared" si="8"/>
        <v>1207</v>
      </c>
      <c r="O9" s="8"/>
      <c r="P9" s="20" t="str">
        <f t="shared" si="9"/>
        <v/>
      </c>
      <c r="Q9" t="s">
        <v>157</v>
      </c>
    </row>
    <row r="10" spans="1:17">
      <c r="A10" s="5">
        <v>46314</v>
      </c>
      <c r="B10" s="5">
        <f t="shared" si="0"/>
        <v>46319</v>
      </c>
      <c r="C10" t="str">
        <f t="shared" si="1"/>
        <v>Oct</v>
      </c>
      <c r="D10">
        <f t="shared" si="2"/>
        <v>3</v>
      </c>
      <c r="E10" s="8">
        <v>17000</v>
      </c>
      <c r="F10" s="10">
        <f t="shared" si="3"/>
        <v>1</v>
      </c>
      <c r="G10" s="8"/>
      <c r="H10" s="12">
        <f t="shared" si="4"/>
        <v>17000</v>
      </c>
      <c r="I10" s="19">
        <v>0.61699999999999999</v>
      </c>
      <c r="J10" s="19">
        <v>0.312</v>
      </c>
      <c r="K10" s="18">
        <f t="shared" si="5"/>
        <v>7.1000000000000008E-2</v>
      </c>
      <c r="L10" s="7">
        <f t="shared" si="6"/>
        <v>10489</v>
      </c>
      <c r="M10" s="7">
        <f t="shared" si="7"/>
        <v>5304</v>
      </c>
      <c r="N10" s="7">
        <f t="shared" si="8"/>
        <v>1207</v>
      </c>
      <c r="O10" s="8"/>
      <c r="P10" s="20" t="str">
        <f t="shared" si="9"/>
        <v/>
      </c>
      <c r="Q10" t="s">
        <v>157</v>
      </c>
    </row>
    <row r="11" spans="1:17">
      <c r="A11" s="5">
        <v>46321</v>
      </c>
      <c r="B11" s="5">
        <f t="shared" si="0"/>
        <v>46326</v>
      </c>
      <c r="C11" t="str">
        <f t="shared" si="1"/>
        <v>Oct</v>
      </c>
      <c r="D11">
        <f t="shared" si="2"/>
        <v>4</v>
      </c>
      <c r="E11" s="8">
        <v>17000</v>
      </c>
      <c r="F11" s="10">
        <f t="shared" si="3"/>
        <v>1</v>
      </c>
      <c r="G11" s="8"/>
      <c r="H11" s="12">
        <f t="shared" si="4"/>
        <v>17000</v>
      </c>
      <c r="I11" s="19">
        <v>0.61699999999999999</v>
      </c>
      <c r="J11" s="19">
        <v>0.312</v>
      </c>
      <c r="K11" s="18">
        <f t="shared" si="5"/>
        <v>7.1000000000000008E-2</v>
      </c>
      <c r="L11" s="7">
        <f t="shared" si="6"/>
        <v>10489</v>
      </c>
      <c r="M11" s="7">
        <f t="shared" si="7"/>
        <v>5304</v>
      </c>
      <c r="N11" s="7">
        <f t="shared" si="8"/>
        <v>1207</v>
      </c>
      <c r="O11" s="8"/>
      <c r="P11" s="20" t="str">
        <f t="shared" si="9"/>
        <v/>
      </c>
      <c r="Q11" t="s">
        <v>158</v>
      </c>
    </row>
    <row r="12" spans="1:17">
      <c r="A12" s="5">
        <v>46328</v>
      </c>
      <c r="B12" s="5">
        <f t="shared" si="0"/>
        <v>46333</v>
      </c>
      <c r="C12" t="str">
        <f t="shared" si="1"/>
        <v>Nov</v>
      </c>
      <c r="D12">
        <f t="shared" si="2"/>
        <v>1</v>
      </c>
      <c r="E12" s="8">
        <v>17000</v>
      </c>
      <c r="F12" s="10">
        <f t="shared" si="3"/>
        <v>1</v>
      </c>
      <c r="G12" s="8"/>
      <c r="H12" s="12">
        <f t="shared" si="4"/>
        <v>17000</v>
      </c>
      <c r="I12" s="19">
        <v>0.61699999999999999</v>
      </c>
      <c r="J12" s="19">
        <v>0.312</v>
      </c>
      <c r="K12" s="18">
        <f t="shared" si="5"/>
        <v>7.1000000000000008E-2</v>
      </c>
      <c r="L12" s="7">
        <f t="shared" si="6"/>
        <v>10489</v>
      </c>
      <c r="M12" s="7">
        <f t="shared" si="7"/>
        <v>5304</v>
      </c>
      <c r="N12" s="7">
        <f t="shared" si="8"/>
        <v>1207</v>
      </c>
      <c r="O12" s="8"/>
      <c r="P12" s="20" t="str">
        <f t="shared" si="9"/>
        <v/>
      </c>
      <c r="Q12" t="s">
        <v>158</v>
      </c>
    </row>
    <row r="13" spans="1:17">
      <c r="A13" s="5">
        <v>46335</v>
      </c>
      <c r="B13" s="5">
        <f t="shared" si="0"/>
        <v>46340</v>
      </c>
      <c r="C13" t="str">
        <f t="shared" si="1"/>
        <v>Nov</v>
      </c>
      <c r="D13">
        <f t="shared" si="2"/>
        <v>2</v>
      </c>
      <c r="E13" s="8">
        <v>17000</v>
      </c>
      <c r="F13" s="10">
        <f t="shared" si="3"/>
        <v>1</v>
      </c>
      <c r="G13" s="8"/>
      <c r="H13" s="12">
        <f t="shared" si="4"/>
        <v>17000</v>
      </c>
      <c r="I13" s="19">
        <v>0.61699999999999999</v>
      </c>
      <c r="J13" s="19">
        <v>0.312</v>
      </c>
      <c r="K13" s="18">
        <f t="shared" si="5"/>
        <v>7.1000000000000008E-2</v>
      </c>
      <c r="L13" s="7">
        <f t="shared" si="6"/>
        <v>10489</v>
      </c>
      <c r="M13" s="7">
        <f t="shared" si="7"/>
        <v>5304</v>
      </c>
      <c r="N13" s="7">
        <f t="shared" si="8"/>
        <v>1207</v>
      </c>
      <c r="O13" s="8"/>
      <c r="P13" s="20" t="str">
        <f t="shared" si="9"/>
        <v/>
      </c>
      <c r="Q13" t="s">
        <v>158</v>
      </c>
    </row>
    <row r="14" spans="1:17">
      <c r="A14" s="5">
        <v>46342</v>
      </c>
      <c r="B14" s="5">
        <f t="shared" si="0"/>
        <v>46347</v>
      </c>
      <c r="C14" t="str">
        <f t="shared" si="1"/>
        <v>Nov</v>
      </c>
      <c r="D14">
        <f t="shared" si="2"/>
        <v>3</v>
      </c>
      <c r="E14" s="8">
        <v>17000</v>
      </c>
      <c r="F14" s="10">
        <f t="shared" si="3"/>
        <v>1</v>
      </c>
      <c r="G14" s="8"/>
      <c r="H14" s="12">
        <f t="shared" si="4"/>
        <v>17000</v>
      </c>
      <c r="I14" s="19">
        <v>0.61699999999999999</v>
      </c>
      <c r="J14" s="19">
        <v>0.312</v>
      </c>
      <c r="K14" s="18">
        <f t="shared" si="5"/>
        <v>7.1000000000000008E-2</v>
      </c>
      <c r="L14" s="7">
        <f t="shared" si="6"/>
        <v>10489</v>
      </c>
      <c r="M14" s="7">
        <f t="shared" si="7"/>
        <v>5304</v>
      </c>
      <c r="N14" s="7">
        <f t="shared" si="8"/>
        <v>1207</v>
      </c>
      <c r="O14" s="8"/>
      <c r="P14" s="20" t="str">
        <f t="shared" si="9"/>
        <v/>
      </c>
      <c r="Q14" t="s">
        <v>158</v>
      </c>
    </row>
    <row r="15" spans="1:17">
      <c r="A15" s="5">
        <v>46349</v>
      </c>
      <c r="B15" s="5">
        <f t="shared" si="0"/>
        <v>46354</v>
      </c>
      <c r="C15" t="str">
        <f t="shared" si="1"/>
        <v>Nov</v>
      </c>
      <c r="D15">
        <f t="shared" si="2"/>
        <v>4</v>
      </c>
      <c r="E15" s="8">
        <v>17000</v>
      </c>
      <c r="F15" s="10">
        <f t="shared" si="3"/>
        <v>1</v>
      </c>
      <c r="G15" s="8"/>
      <c r="H15" s="12">
        <f t="shared" si="4"/>
        <v>17000</v>
      </c>
      <c r="I15" s="19">
        <v>0.61699999999999999</v>
      </c>
      <c r="J15" s="19">
        <v>0.312</v>
      </c>
      <c r="K15" s="18">
        <f t="shared" si="5"/>
        <v>7.1000000000000008E-2</v>
      </c>
      <c r="L15" s="7">
        <f t="shared" si="6"/>
        <v>10489</v>
      </c>
      <c r="M15" s="7">
        <f t="shared" si="7"/>
        <v>5304</v>
      </c>
      <c r="N15" s="7">
        <f t="shared" si="8"/>
        <v>1207</v>
      </c>
      <c r="O15" s="8"/>
      <c r="P15" s="20" t="str">
        <f t="shared" si="9"/>
        <v/>
      </c>
      <c r="Q15" t="s">
        <v>158</v>
      </c>
    </row>
    <row r="16" spans="1:17">
      <c r="A16" s="5">
        <v>46356</v>
      </c>
      <c r="B16" s="5">
        <f t="shared" si="0"/>
        <v>46361</v>
      </c>
      <c r="C16" t="str">
        <f t="shared" si="1"/>
        <v>Nov</v>
      </c>
      <c r="D16">
        <f t="shared" si="2"/>
        <v>5</v>
      </c>
      <c r="E16" s="8">
        <v>17000</v>
      </c>
      <c r="F16" s="10">
        <f t="shared" si="3"/>
        <v>1</v>
      </c>
      <c r="G16" s="8"/>
      <c r="H16" s="12">
        <f t="shared" si="4"/>
        <v>17000</v>
      </c>
      <c r="I16" s="19">
        <v>0.61699999999999999</v>
      </c>
      <c r="J16" s="19">
        <v>0.312</v>
      </c>
      <c r="K16" s="18">
        <f t="shared" si="5"/>
        <v>7.1000000000000008E-2</v>
      </c>
      <c r="L16" s="7">
        <f t="shared" si="6"/>
        <v>10489</v>
      </c>
      <c r="M16" s="7">
        <f t="shared" si="7"/>
        <v>5304</v>
      </c>
      <c r="N16" s="7">
        <f t="shared" si="8"/>
        <v>1207</v>
      </c>
      <c r="O16" s="8"/>
      <c r="P16" s="20" t="str">
        <f t="shared" si="9"/>
        <v/>
      </c>
      <c r="Q16" t="s">
        <v>158</v>
      </c>
    </row>
    <row r="17" spans="1:17">
      <c r="A17" s="5">
        <v>46363</v>
      </c>
      <c r="B17" s="5">
        <f t="shared" si="0"/>
        <v>46368</v>
      </c>
      <c r="C17" t="str">
        <f t="shared" si="1"/>
        <v>Dic</v>
      </c>
      <c r="D17">
        <f t="shared" si="2"/>
        <v>1</v>
      </c>
      <c r="E17" s="8">
        <v>17000</v>
      </c>
      <c r="F17" s="10">
        <f t="shared" si="3"/>
        <v>1</v>
      </c>
      <c r="G17" s="8"/>
      <c r="H17" s="12">
        <f t="shared" si="4"/>
        <v>17000</v>
      </c>
      <c r="I17" s="19">
        <v>0.61699999999999999</v>
      </c>
      <c r="J17" s="19">
        <v>0.312</v>
      </c>
      <c r="K17" s="18">
        <f t="shared" si="5"/>
        <v>7.1000000000000008E-2</v>
      </c>
      <c r="L17" s="7">
        <f t="shared" si="6"/>
        <v>10489</v>
      </c>
      <c r="M17" s="7">
        <f t="shared" si="7"/>
        <v>5304</v>
      </c>
      <c r="N17" s="7">
        <f t="shared" si="8"/>
        <v>1207</v>
      </c>
      <c r="O17" s="8"/>
      <c r="P17" s="20" t="str">
        <f t="shared" si="9"/>
        <v/>
      </c>
      <c r="Q17" t="s">
        <v>158</v>
      </c>
    </row>
    <row r="18" spans="1:17">
      <c r="A18" s="5">
        <v>46370</v>
      </c>
      <c r="B18" s="5">
        <f t="shared" si="0"/>
        <v>46375</v>
      </c>
      <c r="C18" t="str">
        <f t="shared" si="1"/>
        <v>Dic</v>
      </c>
      <c r="D18">
        <f t="shared" si="2"/>
        <v>2</v>
      </c>
      <c r="E18" s="8">
        <v>17000</v>
      </c>
      <c r="F18" s="10">
        <f t="shared" si="3"/>
        <v>1</v>
      </c>
      <c r="G18" s="8"/>
      <c r="H18" s="12">
        <f t="shared" si="4"/>
        <v>17000</v>
      </c>
      <c r="I18" s="19">
        <v>0.61699999999999999</v>
      </c>
      <c r="J18" s="19">
        <v>0.312</v>
      </c>
      <c r="K18" s="18">
        <f t="shared" si="5"/>
        <v>7.1000000000000008E-2</v>
      </c>
      <c r="L18" s="7">
        <f t="shared" si="6"/>
        <v>10489</v>
      </c>
      <c r="M18" s="7">
        <f t="shared" si="7"/>
        <v>5304</v>
      </c>
      <c r="N18" s="7">
        <f t="shared" si="8"/>
        <v>1207</v>
      </c>
      <c r="O18" s="8"/>
      <c r="P18" s="20" t="str">
        <f t="shared" si="9"/>
        <v/>
      </c>
      <c r="Q18" t="s">
        <v>158</v>
      </c>
    </row>
    <row r="20" spans="1:17">
      <c r="A20" s="3" t="s">
        <v>159</v>
      </c>
    </row>
    <row r="21" spans="1:17" ht="45">
      <c r="A21" s="11" t="s">
        <v>139</v>
      </c>
      <c r="B21" s="11" t="s">
        <v>160</v>
      </c>
      <c r="C21" s="11" t="s">
        <v>58</v>
      </c>
      <c r="D21" s="11" t="s">
        <v>59</v>
      </c>
      <c r="E21" s="11" t="s">
        <v>60</v>
      </c>
      <c r="F21" s="11" t="s">
        <v>161</v>
      </c>
      <c r="G21" s="11" t="s">
        <v>162</v>
      </c>
      <c r="H21" s="11" t="s">
        <v>98</v>
      </c>
    </row>
    <row r="22" spans="1:17">
      <c r="A22" s="5">
        <v>46209</v>
      </c>
      <c r="B22" s="5">
        <v>46214</v>
      </c>
      <c r="C22" s="7">
        <v>8884</v>
      </c>
      <c r="D22" s="7">
        <v>4896</v>
      </c>
      <c r="E22" s="7">
        <v>713</v>
      </c>
      <c r="F22" s="7">
        <v>7277</v>
      </c>
      <c r="G22" s="7">
        <f t="shared" ref="G22:G33" si="10">C22+D22+E22</f>
        <v>14493</v>
      </c>
      <c r="H22">
        <f t="shared" ref="H22:H33" si="11">INT((DAY(A22)-1)/7)+1</f>
        <v>1</v>
      </c>
    </row>
    <row r="23" spans="1:17">
      <c r="A23" s="5">
        <v>46216</v>
      </c>
      <c r="B23" s="5">
        <v>46221</v>
      </c>
      <c r="C23" s="7">
        <v>8547</v>
      </c>
      <c r="D23" s="7">
        <v>3607</v>
      </c>
      <c r="E23" s="7">
        <v>344</v>
      </c>
      <c r="F23" s="7">
        <v>6900</v>
      </c>
      <c r="G23" s="7">
        <f t="shared" si="10"/>
        <v>12498</v>
      </c>
      <c r="H23">
        <f t="shared" si="11"/>
        <v>2</v>
      </c>
    </row>
    <row r="24" spans="1:17">
      <c r="A24" s="5">
        <v>46223</v>
      </c>
      <c r="B24" s="5">
        <v>46228</v>
      </c>
      <c r="C24" s="7">
        <v>11589</v>
      </c>
      <c r="D24" s="7">
        <v>2140</v>
      </c>
      <c r="E24" s="7">
        <v>1025</v>
      </c>
      <c r="F24" s="7">
        <v>7601</v>
      </c>
      <c r="G24" s="7">
        <f t="shared" si="10"/>
        <v>14754</v>
      </c>
      <c r="H24">
        <f t="shared" si="11"/>
        <v>3</v>
      </c>
    </row>
    <row r="25" spans="1:17">
      <c r="A25" s="5">
        <v>46230</v>
      </c>
      <c r="B25" s="5">
        <v>46235</v>
      </c>
      <c r="C25" s="7">
        <v>9196</v>
      </c>
      <c r="D25" s="7">
        <v>4748</v>
      </c>
      <c r="E25" s="7">
        <v>0</v>
      </c>
      <c r="F25" s="7">
        <v>7884</v>
      </c>
      <c r="G25" s="7">
        <f t="shared" si="10"/>
        <v>13944</v>
      </c>
      <c r="H25">
        <f t="shared" si="11"/>
        <v>4</v>
      </c>
    </row>
    <row r="26" spans="1:17">
      <c r="A26" s="5">
        <v>46237</v>
      </c>
      <c r="B26" s="5">
        <v>46242</v>
      </c>
      <c r="C26" s="7">
        <v>9880</v>
      </c>
      <c r="D26" s="7">
        <v>5192</v>
      </c>
      <c r="E26" s="7">
        <v>866</v>
      </c>
      <c r="F26" s="7">
        <v>7601</v>
      </c>
      <c r="G26" s="7">
        <f t="shared" si="10"/>
        <v>15938</v>
      </c>
      <c r="H26">
        <f t="shared" si="11"/>
        <v>1</v>
      </c>
    </row>
    <row r="27" spans="1:17">
      <c r="A27" s="5">
        <v>46244</v>
      </c>
      <c r="B27" s="5">
        <v>46249</v>
      </c>
      <c r="C27" s="7">
        <v>6972</v>
      </c>
      <c r="D27" s="7">
        <v>6201</v>
      </c>
      <c r="E27" s="7">
        <v>1816</v>
      </c>
      <c r="F27" s="7">
        <v>6647</v>
      </c>
      <c r="G27" s="7">
        <f t="shared" si="10"/>
        <v>14989</v>
      </c>
      <c r="H27">
        <f t="shared" si="11"/>
        <v>2</v>
      </c>
    </row>
    <row r="28" spans="1:17">
      <c r="A28" s="5">
        <v>46251</v>
      </c>
      <c r="B28" s="5">
        <v>46256</v>
      </c>
      <c r="C28" s="7">
        <v>8041</v>
      </c>
      <c r="D28" s="7">
        <v>5861</v>
      </c>
      <c r="E28" s="7">
        <v>34</v>
      </c>
      <c r="F28" s="7">
        <v>6290</v>
      </c>
      <c r="G28" s="7">
        <f t="shared" si="10"/>
        <v>13936</v>
      </c>
      <c r="H28">
        <f t="shared" si="11"/>
        <v>3</v>
      </c>
    </row>
    <row r="29" spans="1:17">
      <c r="A29" s="5">
        <v>46258</v>
      </c>
      <c r="B29" s="5">
        <v>46263</v>
      </c>
      <c r="C29" s="7">
        <v>6633</v>
      </c>
      <c r="D29" s="7">
        <v>7058</v>
      </c>
      <c r="E29" s="7">
        <v>1051</v>
      </c>
      <c r="F29" s="7">
        <v>4669</v>
      </c>
      <c r="G29" s="7">
        <f t="shared" si="10"/>
        <v>14742</v>
      </c>
      <c r="H29">
        <f t="shared" si="11"/>
        <v>4</v>
      </c>
    </row>
    <row r="30" spans="1:17">
      <c r="A30" s="5">
        <v>46265</v>
      </c>
      <c r="B30" s="5">
        <v>46270</v>
      </c>
      <c r="C30" s="7">
        <v>11032</v>
      </c>
      <c r="D30" s="7">
        <v>5369</v>
      </c>
      <c r="E30" s="7">
        <v>873</v>
      </c>
      <c r="F30" s="7">
        <v>7102</v>
      </c>
      <c r="G30" s="7">
        <f t="shared" si="10"/>
        <v>17274</v>
      </c>
      <c r="H30">
        <f t="shared" si="11"/>
        <v>5</v>
      </c>
    </row>
    <row r="31" spans="1:17">
      <c r="A31" s="5">
        <v>46272</v>
      </c>
      <c r="B31" s="5">
        <v>46277</v>
      </c>
      <c r="C31" s="7">
        <v>12293</v>
      </c>
      <c r="D31" s="7">
        <v>2770</v>
      </c>
      <c r="E31" s="7">
        <v>1486</v>
      </c>
      <c r="F31" s="7">
        <v>6924</v>
      </c>
      <c r="G31" s="7">
        <f t="shared" si="10"/>
        <v>16549</v>
      </c>
      <c r="H31">
        <f t="shared" si="11"/>
        <v>1</v>
      </c>
    </row>
    <row r="32" spans="1:17">
      <c r="A32" s="5">
        <v>46279</v>
      </c>
      <c r="B32" s="5">
        <v>46284</v>
      </c>
      <c r="C32" s="7">
        <v>8590</v>
      </c>
      <c r="D32" s="7">
        <v>5769</v>
      </c>
      <c r="E32" s="7">
        <v>1492</v>
      </c>
      <c r="F32" s="7">
        <v>6673</v>
      </c>
      <c r="G32" s="7">
        <f t="shared" si="10"/>
        <v>15851</v>
      </c>
      <c r="H32">
        <f t="shared" si="11"/>
        <v>2</v>
      </c>
    </row>
    <row r="33" spans="1:8">
      <c r="A33" s="5">
        <v>46286</v>
      </c>
      <c r="B33" s="5">
        <v>46291</v>
      </c>
      <c r="C33" s="7">
        <v>7919</v>
      </c>
      <c r="D33" s="7">
        <v>6221</v>
      </c>
      <c r="E33" s="7">
        <v>705</v>
      </c>
      <c r="F33" s="7">
        <v>6718</v>
      </c>
      <c r="G33" s="7">
        <f t="shared" si="10"/>
        <v>14845</v>
      </c>
      <c r="H33">
        <f t="shared" si="11"/>
        <v>3</v>
      </c>
    </row>
    <row r="35" spans="1:8">
      <c r="A35" s="3" t="s">
        <v>163</v>
      </c>
      <c r="C35" s="7">
        <f>ROUND(AVERAGE(C22:C33),0)</f>
        <v>9131</v>
      </c>
      <c r="D35" s="7">
        <f>ROUND(AVERAGE(D22:D33),0)</f>
        <v>4986</v>
      </c>
      <c r="E35" s="7">
        <f>ROUND(AVERAGE(E22:E33),0)</f>
        <v>867</v>
      </c>
      <c r="F35" s="7">
        <f>ROUND(AVERAGE(F22:F33),0)</f>
        <v>6857</v>
      </c>
      <c r="G35" s="7">
        <f>ROUND(AVERAGE(G22:G33),0)</f>
        <v>14984</v>
      </c>
    </row>
    <row r="36" spans="1:8">
      <c r="A36" s="3" t="s">
        <v>164</v>
      </c>
      <c r="C36" s="7">
        <f>ROUND(AVERAGE(C30:C33),0)</f>
        <v>9959</v>
      </c>
      <c r="D36" s="7">
        <f>ROUND(AVERAGE(D30:D33),0)</f>
        <v>5032</v>
      </c>
      <c r="E36" s="7">
        <f>ROUND(AVERAGE(E30:E33),0)</f>
        <v>1139</v>
      </c>
      <c r="F36" s="7">
        <f>ROUND(AVERAGE(F30:F33),0)</f>
        <v>6854</v>
      </c>
      <c r="G36" s="7">
        <f>ROUND(AVERAGE(G30:G33),0)</f>
        <v>16130</v>
      </c>
    </row>
    <row r="37" spans="1:8">
      <c r="A37" s="3" t="s">
        <v>165</v>
      </c>
      <c r="C37" s="7">
        <f>ROUND(STDEV(C22:C33),0)</f>
        <v>1770</v>
      </c>
      <c r="D37" s="7">
        <f>ROUND(STDEV(D22:D33),0)</f>
        <v>1472</v>
      </c>
      <c r="E37" s="7">
        <f>ROUND(STDEV(E22:E33),0)</f>
        <v>564</v>
      </c>
      <c r="F37" s="7">
        <f>ROUND(STDEV(F22:F33),0)</f>
        <v>832</v>
      </c>
      <c r="G37" s="7">
        <f>ROUND(STDEV(G22:G33),0)</f>
        <v>1282</v>
      </c>
    </row>
    <row r="38" spans="1:8">
      <c r="A38" s="3" t="s">
        <v>166</v>
      </c>
      <c r="C38" s="18">
        <f>SUM(C30:C33)/SUM(G30:G33)</f>
        <v>0.61739952572110546</v>
      </c>
      <c r="D38" s="18">
        <f>SUM(D30:D33)/SUM(G30:G33)</f>
        <v>0.31198561664005953</v>
      </c>
      <c r="E38" s="18">
        <f>SUM(E30:E33)/SUM(G30:G33)</f>
        <v>7.0614857638835071E-2</v>
      </c>
      <c r="F38" s="18" t="str">
        <f>""</f>
        <v/>
      </c>
      <c r="G38" s="18">
        <f>1</f>
        <v>1</v>
      </c>
    </row>
    <row r="39" spans="1:8">
      <c r="A39" t="s">
        <v>167</v>
      </c>
    </row>
  </sheetData>
  <conditionalFormatting sqref="P6:P18">
    <cfRule type="expression" dxfId="125" priority="1">
      <formula>ABS(P6)&gt;0.1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00"/>
  <sheetViews>
    <sheetView workbookViewId="0">
      <pane xSplit="2" ySplit="4" topLeftCell="C5" activePane="bottomRight" state="frozen"/>
      <selection pane="topRight" activeCell="C1" sqref="C1"/>
      <selection pane="bottomLeft" activeCell="A5" sqref="A5"/>
      <selection pane="bottomRight"/>
    </sheetView>
  </sheetViews>
  <sheetFormatPr baseColWidth="10" defaultColWidth="9.140625" defaultRowHeight="15"/>
  <cols>
    <col min="1" max="1" width="5" customWidth="1"/>
    <col min="2" max="2" width="12" customWidth="1"/>
    <col min="3" max="3" width="6" customWidth="1"/>
    <col min="4" max="4" width="8" customWidth="1"/>
    <col min="5" max="6" width="22" customWidth="1"/>
    <col min="7" max="7" width="12" customWidth="1"/>
    <col min="8" max="8" width="11" customWidth="1"/>
    <col min="9" max="10" width="12" customWidth="1"/>
    <col min="11" max="11" width="10" customWidth="1"/>
    <col min="12" max="12" width="13" customWidth="1"/>
    <col min="13" max="13" width="14" customWidth="1"/>
    <col min="14" max="14" width="8" customWidth="1"/>
    <col min="15" max="15" width="9" customWidth="1"/>
    <col min="16" max="16" width="11" customWidth="1"/>
    <col min="17" max="17" width="60" customWidth="1"/>
    <col min="18" max="19" width="13" customWidth="1"/>
    <col min="20" max="20" width="12" customWidth="1"/>
    <col min="21" max="21" width="10" customWidth="1"/>
  </cols>
  <sheetData>
    <row r="1" spans="1:21" ht="21">
      <c r="A1" s="1" t="s">
        <v>168</v>
      </c>
    </row>
    <row r="2" spans="1:21">
      <c r="A2" s="2" t="s">
        <v>169</v>
      </c>
    </row>
    <row r="4" spans="1:21" ht="60">
      <c r="A4" s="11" t="s">
        <v>170</v>
      </c>
      <c r="B4" s="11" t="s">
        <v>171</v>
      </c>
      <c r="C4" s="11" t="s">
        <v>172</v>
      </c>
      <c r="D4" s="11" t="s">
        <v>173</v>
      </c>
      <c r="E4" s="11" t="s">
        <v>174</v>
      </c>
      <c r="F4" s="11" t="s">
        <v>175</v>
      </c>
      <c r="G4" s="11" t="s">
        <v>176</v>
      </c>
      <c r="H4" s="11" t="s">
        <v>177</v>
      </c>
      <c r="I4" s="11" t="s">
        <v>178</v>
      </c>
      <c r="J4" s="11" t="s">
        <v>179</v>
      </c>
      <c r="K4" s="11" t="s">
        <v>180</v>
      </c>
      <c r="L4" s="11" t="s">
        <v>181</v>
      </c>
      <c r="M4" s="11" t="s">
        <v>182</v>
      </c>
      <c r="N4" s="11" t="s">
        <v>183</v>
      </c>
      <c r="O4" s="11" t="s">
        <v>184</v>
      </c>
      <c r="P4" s="11" t="s">
        <v>185</v>
      </c>
      <c r="Q4" s="11" t="s">
        <v>61</v>
      </c>
      <c r="R4" s="11" t="s">
        <v>186</v>
      </c>
      <c r="S4" s="11" t="s">
        <v>187</v>
      </c>
      <c r="T4" s="11" t="s">
        <v>188</v>
      </c>
      <c r="U4" s="11" t="s">
        <v>189</v>
      </c>
    </row>
    <row r="5" spans="1:21">
      <c r="A5">
        <f t="shared" ref="A5:A68" si="0">IF(B5="","",ROW()-4)</f>
        <v>1</v>
      </c>
      <c r="B5" s="6">
        <v>46288</v>
      </c>
      <c r="C5" t="str">
        <f t="shared" ref="C5:C68" si="1">IF(B5="","",TEXT(B5,"ddd"))</f>
        <v>mié</v>
      </c>
      <c r="D5" s="9" t="s">
        <v>59</v>
      </c>
      <c r="E5" s="9" t="s">
        <v>190</v>
      </c>
      <c r="F5" s="9" t="s">
        <v>191</v>
      </c>
      <c r="G5" s="8">
        <v>980</v>
      </c>
      <c r="H5" s="7">
        <f t="shared" ref="H5:H68" si="2">IF(B5="","",IF(G5&lt;&gt;"",G5,IFERROR(INDEX(CajasOrigen,MATCH(D5,Origenes,0)),CajasProm)))</f>
        <v>980</v>
      </c>
      <c r="I5" s="9" t="s">
        <v>192</v>
      </c>
      <c r="J5" s="6">
        <v>46292</v>
      </c>
      <c r="K5">
        <f t="shared" ref="K5:K68" si="3">IF(B5="","",IFERROR(INDEX(Lags,MATCH(D5,Origenes,0)),LagBR)+IF(J5&lt;&gt;"",0,AtrasoDias))</f>
        <v>4</v>
      </c>
      <c r="L5" s="5">
        <f t="shared" ref="L5:L68" si="4">IF(B5="","",IF(J5&lt;&gt;"",J5,B5+K5))</f>
        <v>46292</v>
      </c>
      <c r="M5" s="5">
        <f t="shared" ref="M5:M68" si="5">IF(L5="","",L5-WEEKDAY(L5,2)+1)</f>
        <v>46286</v>
      </c>
      <c r="N5">
        <f t="shared" ref="N5:N68" si="6">IF(L5="","",IF(L5&gt;FechaConteo,1,0)*IF(I5="Supuesto",SupPY,IF(I5="Supuesto BR",SupBR,1)))</f>
        <v>1</v>
      </c>
      <c r="O5" s="10">
        <f t="shared" ref="O5:O68" si="7">IF(D5="","",IFERROR(INDEX(CostoOrigen,MATCH(D5,Origenes,0)),0))</f>
        <v>7</v>
      </c>
      <c r="P5" s="7">
        <f t="shared" ref="P5:P68" si="8">IF(H5="","",H5*O5)</f>
        <v>6860</v>
      </c>
      <c r="Q5" s="9" t="s">
        <v>193</v>
      </c>
      <c r="R5" s="5">
        <f t="shared" ref="R5:R68" si="9">IF(B5="","",IF(J5&lt;&gt;"",J5,B5+IFERROR(INDEX(LagsP90,MATCH(D5,Origenes,0)),K5)))</f>
        <v>46292</v>
      </c>
      <c r="S5" s="5">
        <f t="shared" ref="S5:S68" si="10">IF(R5="","",R5-WEEKDAY(R5,2)+1)</f>
        <v>46286</v>
      </c>
      <c r="T5" s="7">
        <f t="shared" ref="T5:T68" ca="1" si="11">IF(B5="","",IF(AND(B5&lt;=FechaHoy,J5="",I5&lt;&gt;"Supuesto",I5&lt;&gt;"Simulado"),H5,0))</f>
        <v>0</v>
      </c>
      <c r="U5">
        <f t="shared" ref="U5:U68" si="12">IF(J5="","",IF(J5-B5&lt;=K5+1,1,0))</f>
        <v>1</v>
      </c>
    </row>
    <row r="6" spans="1:21">
      <c r="A6">
        <f t="shared" si="0"/>
        <v>2</v>
      </c>
      <c r="B6" s="6">
        <v>46290</v>
      </c>
      <c r="C6" t="str">
        <f t="shared" si="1"/>
        <v>vie</v>
      </c>
      <c r="D6" s="9" t="s">
        <v>60</v>
      </c>
      <c r="E6" s="9" t="s">
        <v>194</v>
      </c>
      <c r="F6" s="9" t="s">
        <v>3</v>
      </c>
      <c r="G6" s="8">
        <v>1050</v>
      </c>
      <c r="H6" s="7">
        <f t="shared" si="2"/>
        <v>1050</v>
      </c>
      <c r="I6" s="9" t="s">
        <v>192</v>
      </c>
      <c r="J6" s="6"/>
      <c r="K6">
        <f t="shared" si="3"/>
        <v>6</v>
      </c>
      <c r="L6" s="5">
        <f t="shared" si="4"/>
        <v>46296</v>
      </c>
      <c r="M6" s="5">
        <f t="shared" si="5"/>
        <v>46293</v>
      </c>
      <c r="N6">
        <f t="shared" si="6"/>
        <v>1</v>
      </c>
      <c r="O6" s="10">
        <f t="shared" si="7"/>
        <v>10.8</v>
      </c>
      <c r="P6" s="7">
        <f t="shared" si="8"/>
        <v>11340</v>
      </c>
      <c r="Q6" s="9" t="s">
        <v>195</v>
      </c>
      <c r="R6" s="5">
        <f t="shared" si="9"/>
        <v>46298</v>
      </c>
      <c r="S6" s="5">
        <f t="shared" si="10"/>
        <v>46293</v>
      </c>
      <c r="T6" s="7">
        <f t="shared" ca="1" si="11"/>
        <v>1050</v>
      </c>
      <c r="U6" t="str">
        <f t="shared" si="12"/>
        <v/>
      </c>
    </row>
    <row r="7" spans="1:21">
      <c r="A7">
        <f t="shared" si="0"/>
        <v>3</v>
      </c>
      <c r="B7" s="6">
        <v>46290</v>
      </c>
      <c r="C7" t="str">
        <f t="shared" si="1"/>
        <v>vie</v>
      </c>
      <c r="D7" s="9" t="s">
        <v>58</v>
      </c>
      <c r="E7" s="9" t="s">
        <v>196</v>
      </c>
      <c r="F7" s="9" t="s">
        <v>3</v>
      </c>
      <c r="G7" s="8">
        <v>936</v>
      </c>
      <c r="H7" s="7">
        <f t="shared" si="2"/>
        <v>936</v>
      </c>
      <c r="I7" s="9" t="s">
        <v>192</v>
      </c>
      <c r="J7" s="6"/>
      <c r="K7">
        <f t="shared" si="3"/>
        <v>3</v>
      </c>
      <c r="L7" s="5">
        <f t="shared" si="4"/>
        <v>46293</v>
      </c>
      <c r="M7" s="5">
        <f t="shared" si="5"/>
        <v>46293</v>
      </c>
      <c r="N7">
        <f t="shared" si="6"/>
        <v>1</v>
      </c>
      <c r="O7" s="10">
        <f t="shared" si="7"/>
        <v>7.09</v>
      </c>
      <c r="P7" s="7">
        <f t="shared" si="8"/>
        <v>6636.24</v>
      </c>
      <c r="Q7" s="9" t="s">
        <v>195</v>
      </c>
      <c r="R7" s="5">
        <f t="shared" si="9"/>
        <v>46296</v>
      </c>
      <c r="S7" s="5">
        <f t="shared" si="10"/>
        <v>46293</v>
      </c>
      <c r="T7" s="7">
        <f t="shared" ca="1" si="11"/>
        <v>936</v>
      </c>
      <c r="U7" t="str">
        <f t="shared" si="12"/>
        <v/>
      </c>
    </row>
    <row r="8" spans="1:21">
      <c r="A8">
        <f t="shared" si="0"/>
        <v>4</v>
      </c>
      <c r="B8" s="6">
        <v>46290</v>
      </c>
      <c r="C8" t="str">
        <f t="shared" si="1"/>
        <v>vie</v>
      </c>
      <c r="D8" s="9" t="s">
        <v>58</v>
      </c>
      <c r="E8" s="9" t="s">
        <v>197</v>
      </c>
      <c r="F8" s="9" t="s">
        <v>198</v>
      </c>
      <c r="G8" s="8">
        <v>1008</v>
      </c>
      <c r="H8" s="7">
        <f t="shared" si="2"/>
        <v>1008</v>
      </c>
      <c r="I8" s="9" t="s">
        <v>192</v>
      </c>
      <c r="J8" s="6"/>
      <c r="K8">
        <f t="shared" si="3"/>
        <v>3</v>
      </c>
      <c r="L8" s="5">
        <f t="shared" si="4"/>
        <v>46293</v>
      </c>
      <c r="M8" s="5">
        <f t="shared" si="5"/>
        <v>46293</v>
      </c>
      <c r="N8">
        <f t="shared" si="6"/>
        <v>1</v>
      </c>
      <c r="O8" s="10">
        <f t="shared" si="7"/>
        <v>7.09</v>
      </c>
      <c r="P8" s="7">
        <f t="shared" si="8"/>
        <v>7146.72</v>
      </c>
      <c r="Q8" s="9" t="s">
        <v>195</v>
      </c>
      <c r="R8" s="5">
        <f t="shared" si="9"/>
        <v>46296</v>
      </c>
      <c r="S8" s="5">
        <f t="shared" si="10"/>
        <v>46293</v>
      </c>
      <c r="T8" s="7">
        <f t="shared" ca="1" si="11"/>
        <v>1008</v>
      </c>
      <c r="U8" t="str">
        <f t="shared" si="12"/>
        <v/>
      </c>
    </row>
    <row r="9" spans="1:21">
      <c r="A9">
        <f t="shared" si="0"/>
        <v>5</v>
      </c>
      <c r="B9" s="6">
        <v>46293</v>
      </c>
      <c r="C9" t="str">
        <f t="shared" si="1"/>
        <v>lun</v>
      </c>
      <c r="D9" s="9" t="s">
        <v>59</v>
      </c>
      <c r="E9" s="9" t="s">
        <v>190</v>
      </c>
      <c r="F9" s="9" t="s">
        <v>3</v>
      </c>
      <c r="G9" s="8">
        <v>980</v>
      </c>
      <c r="H9" s="7">
        <f t="shared" si="2"/>
        <v>980</v>
      </c>
      <c r="I9" s="9" t="s">
        <v>199</v>
      </c>
      <c r="J9" s="6"/>
      <c r="K9">
        <f t="shared" si="3"/>
        <v>4</v>
      </c>
      <c r="L9" s="5">
        <f t="shared" si="4"/>
        <v>46297</v>
      </c>
      <c r="M9" s="5">
        <f t="shared" si="5"/>
        <v>46293</v>
      </c>
      <c r="N9">
        <f t="shared" si="6"/>
        <v>1</v>
      </c>
      <c r="O9" s="10">
        <f t="shared" si="7"/>
        <v>7</v>
      </c>
      <c r="P9" s="7">
        <f t="shared" si="8"/>
        <v>6860</v>
      </c>
      <c r="Q9" s="9" t="s">
        <v>200</v>
      </c>
      <c r="R9" s="5">
        <f t="shared" si="9"/>
        <v>46298</v>
      </c>
      <c r="S9" s="5">
        <f t="shared" si="10"/>
        <v>46293</v>
      </c>
      <c r="T9" s="7">
        <f t="shared" ca="1" si="11"/>
        <v>980</v>
      </c>
      <c r="U9" t="str">
        <f t="shared" si="12"/>
        <v/>
      </c>
    </row>
    <row r="10" spans="1:21">
      <c r="A10">
        <f t="shared" si="0"/>
        <v>6</v>
      </c>
      <c r="B10" s="6">
        <v>46293</v>
      </c>
      <c r="C10" t="str">
        <f t="shared" si="1"/>
        <v>lun</v>
      </c>
      <c r="D10" s="9" t="s">
        <v>59</v>
      </c>
      <c r="E10" s="9" t="s">
        <v>201</v>
      </c>
      <c r="F10" s="9" t="s">
        <v>3</v>
      </c>
      <c r="G10" s="8">
        <v>980</v>
      </c>
      <c r="H10" s="7">
        <f t="shared" si="2"/>
        <v>980</v>
      </c>
      <c r="I10" s="9" t="s">
        <v>199</v>
      </c>
      <c r="J10" s="6"/>
      <c r="K10">
        <f t="shared" si="3"/>
        <v>4</v>
      </c>
      <c r="L10" s="5">
        <f t="shared" si="4"/>
        <v>46297</v>
      </c>
      <c r="M10" s="5">
        <f t="shared" si="5"/>
        <v>46293</v>
      </c>
      <c r="N10">
        <f t="shared" si="6"/>
        <v>1</v>
      </c>
      <c r="O10" s="10">
        <f t="shared" si="7"/>
        <v>7</v>
      </c>
      <c r="P10" s="7">
        <f t="shared" si="8"/>
        <v>6860</v>
      </c>
      <c r="Q10" s="9" t="s">
        <v>202</v>
      </c>
      <c r="R10" s="5">
        <f t="shared" si="9"/>
        <v>46298</v>
      </c>
      <c r="S10" s="5">
        <f t="shared" si="10"/>
        <v>46293</v>
      </c>
      <c r="T10" s="7">
        <f t="shared" ca="1" si="11"/>
        <v>980</v>
      </c>
      <c r="U10" t="str">
        <f t="shared" si="12"/>
        <v/>
      </c>
    </row>
    <row r="11" spans="1:21">
      <c r="A11">
        <f t="shared" si="0"/>
        <v>7</v>
      </c>
      <c r="B11" s="6">
        <v>46293</v>
      </c>
      <c r="C11" t="str">
        <f t="shared" si="1"/>
        <v>lun</v>
      </c>
      <c r="D11" s="9" t="s">
        <v>59</v>
      </c>
      <c r="E11" s="9" t="s">
        <v>203</v>
      </c>
      <c r="F11" s="9" t="s">
        <v>3</v>
      </c>
      <c r="G11" s="8">
        <v>980</v>
      </c>
      <c r="H11" s="7">
        <f t="shared" si="2"/>
        <v>980</v>
      </c>
      <c r="I11" s="9" t="s">
        <v>199</v>
      </c>
      <c r="J11" s="6"/>
      <c r="K11">
        <f t="shared" si="3"/>
        <v>4</v>
      </c>
      <c r="L11" s="5">
        <f t="shared" si="4"/>
        <v>46297</v>
      </c>
      <c r="M11" s="5">
        <f t="shared" si="5"/>
        <v>46293</v>
      </c>
      <c r="N11">
        <f t="shared" si="6"/>
        <v>1</v>
      </c>
      <c r="O11" s="10">
        <f t="shared" si="7"/>
        <v>7</v>
      </c>
      <c r="P11" s="7">
        <f t="shared" si="8"/>
        <v>6860</v>
      </c>
      <c r="Q11" s="9" t="s">
        <v>204</v>
      </c>
      <c r="R11" s="5">
        <f t="shared" si="9"/>
        <v>46298</v>
      </c>
      <c r="S11" s="5">
        <f t="shared" si="10"/>
        <v>46293</v>
      </c>
      <c r="T11" s="7">
        <f t="shared" ca="1" si="11"/>
        <v>980</v>
      </c>
      <c r="U11" t="str">
        <f t="shared" si="12"/>
        <v/>
      </c>
    </row>
    <row r="12" spans="1:21">
      <c r="A12">
        <f t="shared" si="0"/>
        <v>8</v>
      </c>
      <c r="B12" s="6">
        <v>46294</v>
      </c>
      <c r="C12" t="str">
        <f t="shared" si="1"/>
        <v>mar</v>
      </c>
      <c r="D12" s="9" t="s">
        <v>58</v>
      </c>
      <c r="E12" s="9" t="s">
        <v>205</v>
      </c>
      <c r="F12" s="9" t="s">
        <v>206</v>
      </c>
      <c r="G12" s="8">
        <v>1008</v>
      </c>
      <c r="H12" s="7">
        <f t="shared" si="2"/>
        <v>1008</v>
      </c>
      <c r="I12" s="9" t="s">
        <v>199</v>
      </c>
      <c r="J12" s="6"/>
      <c r="K12">
        <f t="shared" si="3"/>
        <v>3</v>
      </c>
      <c r="L12" s="5">
        <f t="shared" si="4"/>
        <v>46297</v>
      </c>
      <c r="M12" s="5">
        <f t="shared" si="5"/>
        <v>46293</v>
      </c>
      <c r="N12">
        <f t="shared" si="6"/>
        <v>1</v>
      </c>
      <c r="O12" s="10">
        <f t="shared" si="7"/>
        <v>7.09</v>
      </c>
      <c r="P12" s="7">
        <f t="shared" si="8"/>
        <v>7146.72</v>
      </c>
      <c r="Q12" s="9" t="s">
        <v>207</v>
      </c>
      <c r="R12" s="5">
        <f t="shared" si="9"/>
        <v>46300</v>
      </c>
      <c r="S12" s="5">
        <f t="shared" si="10"/>
        <v>46300</v>
      </c>
      <c r="T12" s="7">
        <f t="shared" ca="1" si="11"/>
        <v>1008</v>
      </c>
      <c r="U12" t="str">
        <f t="shared" si="12"/>
        <v/>
      </c>
    </row>
    <row r="13" spans="1:21">
      <c r="A13">
        <f t="shared" si="0"/>
        <v>9</v>
      </c>
      <c r="B13" s="6">
        <v>46294</v>
      </c>
      <c r="C13" t="str">
        <f t="shared" si="1"/>
        <v>mar</v>
      </c>
      <c r="D13" s="9" t="s">
        <v>59</v>
      </c>
      <c r="E13" s="9" t="s">
        <v>201</v>
      </c>
      <c r="F13" s="9" t="s">
        <v>3</v>
      </c>
      <c r="G13" s="8">
        <v>980</v>
      </c>
      <c r="H13" s="7">
        <f t="shared" si="2"/>
        <v>980</v>
      </c>
      <c r="I13" s="9" t="s">
        <v>199</v>
      </c>
      <c r="J13" s="6"/>
      <c r="K13">
        <f t="shared" si="3"/>
        <v>4</v>
      </c>
      <c r="L13" s="5">
        <f t="shared" si="4"/>
        <v>46298</v>
      </c>
      <c r="M13" s="5">
        <f t="shared" si="5"/>
        <v>46293</v>
      </c>
      <c r="N13">
        <f t="shared" si="6"/>
        <v>1</v>
      </c>
      <c r="O13" s="10">
        <f t="shared" si="7"/>
        <v>7</v>
      </c>
      <c r="P13" s="7">
        <f t="shared" si="8"/>
        <v>6860</v>
      </c>
      <c r="Q13" s="9" t="s">
        <v>208</v>
      </c>
      <c r="R13" s="5">
        <f t="shared" si="9"/>
        <v>46299</v>
      </c>
      <c r="S13" s="5">
        <f t="shared" si="10"/>
        <v>46293</v>
      </c>
      <c r="T13" s="7">
        <f t="shared" ca="1" si="11"/>
        <v>980</v>
      </c>
      <c r="U13" t="str">
        <f t="shared" si="12"/>
        <v/>
      </c>
    </row>
    <row r="14" spans="1:21">
      <c r="A14">
        <f t="shared" si="0"/>
        <v>10</v>
      </c>
      <c r="B14" s="6">
        <v>46295</v>
      </c>
      <c r="C14" t="str">
        <f t="shared" si="1"/>
        <v>mié</v>
      </c>
      <c r="D14" s="9" t="s">
        <v>58</v>
      </c>
      <c r="E14" s="9" t="s">
        <v>209</v>
      </c>
      <c r="F14" s="9" t="s">
        <v>210</v>
      </c>
      <c r="G14" s="8">
        <v>1008</v>
      </c>
      <c r="H14" s="7">
        <f t="shared" si="2"/>
        <v>1008</v>
      </c>
      <c r="I14" s="9" t="s">
        <v>199</v>
      </c>
      <c r="J14" s="6"/>
      <c r="K14">
        <f t="shared" si="3"/>
        <v>3</v>
      </c>
      <c r="L14" s="5">
        <f t="shared" si="4"/>
        <v>46298</v>
      </c>
      <c r="M14" s="5">
        <f t="shared" si="5"/>
        <v>46293</v>
      </c>
      <c r="N14">
        <f t="shared" si="6"/>
        <v>1</v>
      </c>
      <c r="O14" s="10">
        <f t="shared" si="7"/>
        <v>7.09</v>
      </c>
      <c r="P14" s="7">
        <f t="shared" si="8"/>
        <v>7146.72</v>
      </c>
      <c r="Q14" s="9" t="s">
        <v>211</v>
      </c>
      <c r="R14" s="5">
        <f t="shared" si="9"/>
        <v>46301</v>
      </c>
      <c r="S14" s="5">
        <f t="shared" si="10"/>
        <v>46300</v>
      </c>
      <c r="T14" s="7">
        <f t="shared" ca="1" si="11"/>
        <v>0</v>
      </c>
      <c r="U14" t="str">
        <f t="shared" si="12"/>
        <v/>
      </c>
    </row>
    <row r="15" spans="1:21">
      <c r="A15">
        <f t="shared" si="0"/>
        <v>11</v>
      </c>
      <c r="B15" s="6">
        <v>46295</v>
      </c>
      <c r="C15" t="str">
        <f t="shared" si="1"/>
        <v>mié</v>
      </c>
      <c r="D15" s="9" t="s">
        <v>58</v>
      </c>
      <c r="E15" s="9" t="s">
        <v>212</v>
      </c>
      <c r="F15" s="9" t="s">
        <v>213</v>
      </c>
      <c r="G15" s="8">
        <v>1008</v>
      </c>
      <c r="H15" s="7">
        <f t="shared" si="2"/>
        <v>1008</v>
      </c>
      <c r="I15" s="9" t="s">
        <v>199</v>
      </c>
      <c r="J15" s="6"/>
      <c r="K15">
        <f t="shared" si="3"/>
        <v>3</v>
      </c>
      <c r="L15" s="5">
        <f t="shared" si="4"/>
        <v>46298</v>
      </c>
      <c r="M15" s="5">
        <f t="shared" si="5"/>
        <v>46293</v>
      </c>
      <c r="N15">
        <f t="shared" si="6"/>
        <v>1</v>
      </c>
      <c r="O15" s="10">
        <f t="shared" si="7"/>
        <v>7.09</v>
      </c>
      <c r="P15" s="7">
        <f t="shared" si="8"/>
        <v>7146.72</v>
      </c>
      <c r="Q15" s="9" t="s">
        <v>211</v>
      </c>
      <c r="R15" s="5">
        <f t="shared" si="9"/>
        <v>46301</v>
      </c>
      <c r="S15" s="5">
        <f t="shared" si="10"/>
        <v>46300</v>
      </c>
      <c r="T15" s="7">
        <f t="shared" ca="1" si="11"/>
        <v>0</v>
      </c>
      <c r="U15" t="str">
        <f t="shared" si="12"/>
        <v/>
      </c>
    </row>
    <row r="16" spans="1:21">
      <c r="A16">
        <f t="shared" si="0"/>
        <v>12</v>
      </c>
      <c r="B16" s="6">
        <v>46295</v>
      </c>
      <c r="C16" t="str">
        <f t="shared" si="1"/>
        <v>mié</v>
      </c>
      <c r="D16" s="9" t="s">
        <v>58</v>
      </c>
      <c r="E16" s="9" t="s">
        <v>214</v>
      </c>
      <c r="F16" s="9" t="s">
        <v>210</v>
      </c>
      <c r="G16" s="8">
        <v>1008</v>
      </c>
      <c r="H16" s="7">
        <f t="shared" si="2"/>
        <v>1008</v>
      </c>
      <c r="I16" s="9" t="s">
        <v>199</v>
      </c>
      <c r="J16" s="6"/>
      <c r="K16">
        <f t="shared" si="3"/>
        <v>3</v>
      </c>
      <c r="L16" s="5">
        <f t="shared" si="4"/>
        <v>46298</v>
      </c>
      <c r="M16" s="5">
        <f t="shared" si="5"/>
        <v>46293</v>
      </c>
      <c r="N16">
        <f t="shared" si="6"/>
        <v>1</v>
      </c>
      <c r="O16" s="10">
        <f t="shared" si="7"/>
        <v>7.09</v>
      </c>
      <c r="P16" s="7">
        <f t="shared" si="8"/>
        <v>7146.72</v>
      </c>
      <c r="Q16" s="9" t="s">
        <v>215</v>
      </c>
      <c r="R16" s="5">
        <f t="shared" si="9"/>
        <v>46301</v>
      </c>
      <c r="S16" s="5">
        <f t="shared" si="10"/>
        <v>46300</v>
      </c>
      <c r="T16" s="7">
        <f t="shared" ca="1" si="11"/>
        <v>0</v>
      </c>
      <c r="U16" t="str">
        <f t="shared" si="12"/>
        <v/>
      </c>
    </row>
    <row r="17" spans="1:21">
      <c r="A17">
        <f t="shared" si="0"/>
        <v>13</v>
      </c>
      <c r="B17" s="6">
        <v>46297</v>
      </c>
      <c r="C17" t="str">
        <f t="shared" si="1"/>
        <v>vie</v>
      </c>
      <c r="D17" s="9" t="s">
        <v>58</v>
      </c>
      <c r="E17" s="9" t="s">
        <v>209</v>
      </c>
      <c r="F17" s="9" t="s">
        <v>210</v>
      </c>
      <c r="G17" s="8">
        <v>1008</v>
      </c>
      <c r="H17" s="7">
        <f t="shared" si="2"/>
        <v>1008</v>
      </c>
      <c r="I17" s="9" t="s">
        <v>199</v>
      </c>
      <c r="J17" s="6"/>
      <c r="K17">
        <f t="shared" si="3"/>
        <v>3</v>
      </c>
      <c r="L17" s="5">
        <f t="shared" si="4"/>
        <v>46300</v>
      </c>
      <c r="M17" s="5">
        <f t="shared" si="5"/>
        <v>46300</v>
      </c>
      <c r="N17">
        <f t="shared" si="6"/>
        <v>1</v>
      </c>
      <c r="O17" s="10">
        <f t="shared" si="7"/>
        <v>7.09</v>
      </c>
      <c r="P17" s="7">
        <f t="shared" si="8"/>
        <v>7146.72</v>
      </c>
      <c r="Q17" s="9" t="s">
        <v>216</v>
      </c>
      <c r="R17" s="5">
        <f t="shared" si="9"/>
        <v>46303</v>
      </c>
      <c r="S17" s="5">
        <f t="shared" si="10"/>
        <v>46300</v>
      </c>
      <c r="T17" s="7">
        <f t="shared" ca="1" si="11"/>
        <v>0</v>
      </c>
      <c r="U17" t="str">
        <f t="shared" si="12"/>
        <v/>
      </c>
    </row>
    <row r="18" spans="1:21">
      <c r="A18">
        <f t="shared" si="0"/>
        <v>14</v>
      </c>
      <c r="B18" s="6">
        <v>46297</v>
      </c>
      <c r="C18" t="str">
        <f t="shared" si="1"/>
        <v>vie</v>
      </c>
      <c r="D18" s="9" t="s">
        <v>58</v>
      </c>
      <c r="E18" s="9" t="s">
        <v>217</v>
      </c>
      <c r="F18" s="9" t="s">
        <v>218</v>
      </c>
      <c r="G18" s="8">
        <v>936</v>
      </c>
      <c r="H18" s="7">
        <f t="shared" si="2"/>
        <v>936</v>
      </c>
      <c r="I18" s="9" t="s">
        <v>199</v>
      </c>
      <c r="J18" s="6"/>
      <c r="K18">
        <f t="shared" si="3"/>
        <v>3</v>
      </c>
      <c r="L18" s="5">
        <f t="shared" si="4"/>
        <v>46300</v>
      </c>
      <c r="M18" s="5">
        <f t="shared" si="5"/>
        <v>46300</v>
      </c>
      <c r="N18">
        <f t="shared" si="6"/>
        <v>1</v>
      </c>
      <c r="O18" s="10">
        <f t="shared" si="7"/>
        <v>7.09</v>
      </c>
      <c r="P18" s="7">
        <f t="shared" si="8"/>
        <v>6636.24</v>
      </c>
      <c r="Q18" s="9" t="s">
        <v>216</v>
      </c>
      <c r="R18" s="5">
        <f t="shared" si="9"/>
        <v>46303</v>
      </c>
      <c r="S18" s="5">
        <f t="shared" si="10"/>
        <v>46300</v>
      </c>
      <c r="T18" s="7">
        <f t="shared" ca="1" si="11"/>
        <v>0</v>
      </c>
      <c r="U18" t="str">
        <f t="shared" si="12"/>
        <v/>
      </c>
    </row>
    <row r="19" spans="1:21">
      <c r="A19">
        <f t="shared" si="0"/>
        <v>15</v>
      </c>
      <c r="B19" s="6">
        <v>46297</v>
      </c>
      <c r="C19" t="str">
        <f t="shared" si="1"/>
        <v>vie</v>
      </c>
      <c r="D19" s="9" t="s">
        <v>58</v>
      </c>
      <c r="E19" s="9" t="s">
        <v>212</v>
      </c>
      <c r="F19" s="9" t="s">
        <v>213</v>
      </c>
      <c r="G19" s="8">
        <v>1008</v>
      </c>
      <c r="H19" s="7">
        <f t="shared" si="2"/>
        <v>1008</v>
      </c>
      <c r="I19" s="9" t="s">
        <v>199</v>
      </c>
      <c r="J19" s="6"/>
      <c r="K19">
        <f t="shared" si="3"/>
        <v>3</v>
      </c>
      <c r="L19" s="5">
        <f t="shared" si="4"/>
        <v>46300</v>
      </c>
      <c r="M19" s="5">
        <f t="shared" si="5"/>
        <v>46300</v>
      </c>
      <c r="N19">
        <f t="shared" si="6"/>
        <v>1</v>
      </c>
      <c r="O19" s="10">
        <f t="shared" si="7"/>
        <v>7.09</v>
      </c>
      <c r="P19" s="7">
        <f t="shared" si="8"/>
        <v>7146.72</v>
      </c>
      <c r="Q19" s="9" t="s">
        <v>216</v>
      </c>
      <c r="R19" s="5">
        <f t="shared" si="9"/>
        <v>46303</v>
      </c>
      <c r="S19" s="5">
        <f t="shared" si="10"/>
        <v>46300</v>
      </c>
      <c r="T19" s="7">
        <f t="shared" ca="1" si="11"/>
        <v>0</v>
      </c>
      <c r="U19" t="str">
        <f t="shared" si="12"/>
        <v/>
      </c>
    </row>
    <row r="20" spans="1:21">
      <c r="A20">
        <f t="shared" si="0"/>
        <v>16</v>
      </c>
      <c r="B20" s="6">
        <v>46297</v>
      </c>
      <c r="C20" t="str">
        <f t="shared" si="1"/>
        <v>vie</v>
      </c>
      <c r="D20" s="9" t="s">
        <v>58</v>
      </c>
      <c r="E20" s="9" t="s">
        <v>219</v>
      </c>
      <c r="F20" s="9" t="s">
        <v>210</v>
      </c>
      <c r="G20" s="8">
        <v>1008</v>
      </c>
      <c r="H20" s="7">
        <f t="shared" si="2"/>
        <v>1008</v>
      </c>
      <c r="I20" s="9" t="s">
        <v>199</v>
      </c>
      <c r="J20" s="6"/>
      <c r="K20">
        <f t="shared" si="3"/>
        <v>3</v>
      </c>
      <c r="L20" s="5">
        <f t="shared" si="4"/>
        <v>46300</v>
      </c>
      <c r="M20" s="5">
        <f t="shared" si="5"/>
        <v>46300</v>
      </c>
      <c r="N20">
        <f t="shared" si="6"/>
        <v>1</v>
      </c>
      <c r="O20" s="10">
        <f t="shared" si="7"/>
        <v>7.09</v>
      </c>
      <c r="P20" s="7">
        <f t="shared" si="8"/>
        <v>7146.72</v>
      </c>
      <c r="Q20" s="9" t="s">
        <v>216</v>
      </c>
      <c r="R20" s="5">
        <f t="shared" si="9"/>
        <v>46303</v>
      </c>
      <c r="S20" s="5">
        <f t="shared" si="10"/>
        <v>46300</v>
      </c>
      <c r="T20" s="7">
        <f t="shared" ca="1" si="11"/>
        <v>0</v>
      </c>
      <c r="U20" t="str">
        <f t="shared" si="12"/>
        <v/>
      </c>
    </row>
    <row r="21" spans="1:21">
      <c r="A21">
        <f t="shared" si="0"/>
        <v>17</v>
      </c>
      <c r="B21" s="6">
        <v>46297</v>
      </c>
      <c r="C21" t="str">
        <f t="shared" si="1"/>
        <v>vie</v>
      </c>
      <c r="D21" s="9" t="s">
        <v>58</v>
      </c>
      <c r="E21" s="9" t="s">
        <v>205</v>
      </c>
      <c r="F21" s="9" t="s">
        <v>206</v>
      </c>
      <c r="G21" s="8">
        <v>1008</v>
      </c>
      <c r="H21" s="7">
        <f t="shared" si="2"/>
        <v>1008</v>
      </c>
      <c r="I21" s="9" t="s">
        <v>199</v>
      </c>
      <c r="J21" s="6"/>
      <c r="K21">
        <f t="shared" si="3"/>
        <v>3</v>
      </c>
      <c r="L21" s="5">
        <f t="shared" si="4"/>
        <v>46300</v>
      </c>
      <c r="M21" s="5">
        <f t="shared" si="5"/>
        <v>46300</v>
      </c>
      <c r="N21">
        <f t="shared" si="6"/>
        <v>1</v>
      </c>
      <c r="O21" s="10">
        <f t="shared" si="7"/>
        <v>7.09</v>
      </c>
      <c r="P21" s="7">
        <f t="shared" si="8"/>
        <v>7146.72</v>
      </c>
      <c r="Q21" s="9" t="s">
        <v>216</v>
      </c>
      <c r="R21" s="5">
        <f t="shared" si="9"/>
        <v>46303</v>
      </c>
      <c r="S21" s="5">
        <f t="shared" si="10"/>
        <v>46300</v>
      </c>
      <c r="T21" s="7">
        <f t="shared" ca="1" si="11"/>
        <v>0</v>
      </c>
      <c r="U21" t="str">
        <f t="shared" si="12"/>
        <v/>
      </c>
    </row>
    <row r="22" spans="1:21">
      <c r="A22">
        <f t="shared" si="0"/>
        <v>18</v>
      </c>
      <c r="B22" s="6">
        <v>46297</v>
      </c>
      <c r="C22" t="str">
        <f t="shared" si="1"/>
        <v>vie</v>
      </c>
      <c r="D22" s="9" t="s">
        <v>58</v>
      </c>
      <c r="E22" s="9" t="s">
        <v>220</v>
      </c>
      <c r="F22" s="9" t="s">
        <v>210</v>
      </c>
      <c r="G22" s="8">
        <v>1008</v>
      </c>
      <c r="H22" s="7">
        <f t="shared" si="2"/>
        <v>1008</v>
      </c>
      <c r="I22" s="9" t="s">
        <v>199</v>
      </c>
      <c r="J22" s="6"/>
      <c r="K22">
        <f t="shared" si="3"/>
        <v>3</v>
      </c>
      <c r="L22" s="5">
        <f t="shared" si="4"/>
        <v>46300</v>
      </c>
      <c r="M22" s="5">
        <f t="shared" si="5"/>
        <v>46300</v>
      </c>
      <c r="N22">
        <f t="shared" si="6"/>
        <v>1</v>
      </c>
      <c r="O22" s="10">
        <f t="shared" si="7"/>
        <v>7.09</v>
      </c>
      <c r="P22" s="7">
        <f t="shared" si="8"/>
        <v>7146.72</v>
      </c>
      <c r="Q22" s="9" t="s">
        <v>216</v>
      </c>
      <c r="R22" s="5">
        <f t="shared" si="9"/>
        <v>46303</v>
      </c>
      <c r="S22" s="5">
        <f t="shared" si="10"/>
        <v>46300</v>
      </c>
      <c r="T22" s="7">
        <f t="shared" ca="1" si="11"/>
        <v>0</v>
      </c>
      <c r="U22" t="str">
        <f t="shared" si="12"/>
        <v/>
      </c>
    </row>
    <row r="23" spans="1:21">
      <c r="A23">
        <f t="shared" si="0"/>
        <v>19</v>
      </c>
      <c r="B23" s="6">
        <v>46297</v>
      </c>
      <c r="C23" t="str">
        <f t="shared" si="1"/>
        <v>vie</v>
      </c>
      <c r="D23" s="9" t="s">
        <v>58</v>
      </c>
      <c r="E23" s="9" t="s">
        <v>221</v>
      </c>
      <c r="F23" s="9" t="s">
        <v>206</v>
      </c>
      <c r="G23" s="8">
        <v>1008</v>
      </c>
      <c r="H23" s="7">
        <f t="shared" si="2"/>
        <v>1008</v>
      </c>
      <c r="I23" s="9" t="s">
        <v>199</v>
      </c>
      <c r="J23" s="6"/>
      <c r="K23">
        <f t="shared" si="3"/>
        <v>3</v>
      </c>
      <c r="L23" s="5">
        <f t="shared" si="4"/>
        <v>46300</v>
      </c>
      <c r="M23" s="5">
        <f t="shared" si="5"/>
        <v>46300</v>
      </c>
      <c r="N23">
        <f t="shared" si="6"/>
        <v>1</v>
      </c>
      <c r="O23" s="10">
        <f t="shared" si="7"/>
        <v>7.09</v>
      </c>
      <c r="P23" s="7">
        <f t="shared" si="8"/>
        <v>7146.72</v>
      </c>
      <c r="Q23" s="9" t="s">
        <v>216</v>
      </c>
      <c r="R23" s="5">
        <f t="shared" si="9"/>
        <v>46303</v>
      </c>
      <c r="S23" s="5">
        <f t="shared" si="10"/>
        <v>46300</v>
      </c>
      <c r="T23" s="7">
        <f t="shared" ca="1" si="11"/>
        <v>0</v>
      </c>
      <c r="U23" t="str">
        <f t="shared" si="12"/>
        <v/>
      </c>
    </row>
    <row r="24" spans="1:21">
      <c r="A24">
        <f t="shared" si="0"/>
        <v>20</v>
      </c>
      <c r="B24" s="6">
        <v>46297</v>
      </c>
      <c r="C24" t="str">
        <f t="shared" si="1"/>
        <v>vie</v>
      </c>
      <c r="D24" s="9" t="s">
        <v>58</v>
      </c>
      <c r="E24" s="9" t="s">
        <v>214</v>
      </c>
      <c r="F24" s="9" t="s">
        <v>210</v>
      </c>
      <c r="G24" s="8">
        <v>1008</v>
      </c>
      <c r="H24" s="7">
        <f t="shared" si="2"/>
        <v>1008</v>
      </c>
      <c r="I24" s="9" t="s">
        <v>199</v>
      </c>
      <c r="J24" s="6"/>
      <c r="K24">
        <f t="shared" si="3"/>
        <v>3</v>
      </c>
      <c r="L24" s="5">
        <f t="shared" si="4"/>
        <v>46300</v>
      </c>
      <c r="M24" s="5">
        <f t="shared" si="5"/>
        <v>46300</v>
      </c>
      <c r="N24">
        <f t="shared" si="6"/>
        <v>1</v>
      </c>
      <c r="O24" s="10">
        <f t="shared" si="7"/>
        <v>7.09</v>
      </c>
      <c r="P24" s="7">
        <f t="shared" si="8"/>
        <v>7146.72</v>
      </c>
      <c r="Q24" s="9" t="s">
        <v>216</v>
      </c>
      <c r="R24" s="5">
        <f t="shared" si="9"/>
        <v>46303</v>
      </c>
      <c r="S24" s="5">
        <f t="shared" si="10"/>
        <v>46300</v>
      </c>
      <c r="T24" s="7">
        <f t="shared" ca="1" si="11"/>
        <v>0</v>
      </c>
      <c r="U24" t="str">
        <f t="shared" si="12"/>
        <v/>
      </c>
    </row>
    <row r="25" spans="1:21">
      <c r="A25">
        <f t="shared" si="0"/>
        <v>21</v>
      </c>
      <c r="B25" s="6">
        <v>46300</v>
      </c>
      <c r="C25" t="str">
        <f t="shared" si="1"/>
        <v>lun</v>
      </c>
      <c r="D25" s="9" t="s">
        <v>59</v>
      </c>
      <c r="E25" s="9" t="s">
        <v>222</v>
      </c>
      <c r="F25" s="9" t="s">
        <v>3</v>
      </c>
      <c r="G25" s="8">
        <v>980</v>
      </c>
      <c r="H25" s="7">
        <f t="shared" si="2"/>
        <v>980</v>
      </c>
      <c r="I25" s="9" t="s">
        <v>223</v>
      </c>
      <c r="J25" s="6"/>
      <c r="K25">
        <f t="shared" si="3"/>
        <v>4</v>
      </c>
      <c r="L25" s="5">
        <f t="shared" si="4"/>
        <v>46304</v>
      </c>
      <c r="M25" s="5">
        <f t="shared" si="5"/>
        <v>46300</v>
      </c>
      <c r="N25">
        <f t="shared" si="6"/>
        <v>1</v>
      </c>
      <c r="O25" s="10">
        <f t="shared" si="7"/>
        <v>7</v>
      </c>
      <c r="P25" s="7">
        <f t="shared" si="8"/>
        <v>6860</v>
      </c>
      <c r="Q25" s="9" t="s">
        <v>224</v>
      </c>
      <c r="R25" s="5">
        <f t="shared" si="9"/>
        <v>46305</v>
      </c>
      <c r="S25" s="5">
        <f t="shared" si="10"/>
        <v>46300</v>
      </c>
      <c r="T25" s="7">
        <f t="shared" ca="1" si="11"/>
        <v>0</v>
      </c>
      <c r="U25" t="str">
        <f t="shared" si="12"/>
        <v/>
      </c>
    </row>
    <row r="26" spans="1:21">
      <c r="A26">
        <f t="shared" si="0"/>
        <v>22</v>
      </c>
      <c r="B26" s="6">
        <v>46300</v>
      </c>
      <c r="C26" t="str">
        <f t="shared" si="1"/>
        <v>lun</v>
      </c>
      <c r="D26" s="9" t="s">
        <v>59</v>
      </c>
      <c r="E26" s="9" t="s">
        <v>222</v>
      </c>
      <c r="F26" s="9" t="s">
        <v>3</v>
      </c>
      <c r="G26" s="8">
        <v>980</v>
      </c>
      <c r="H26" s="7">
        <f t="shared" si="2"/>
        <v>980</v>
      </c>
      <c r="I26" s="9" t="s">
        <v>223</v>
      </c>
      <c r="J26" s="6"/>
      <c r="K26">
        <f t="shared" si="3"/>
        <v>4</v>
      </c>
      <c r="L26" s="5">
        <f t="shared" si="4"/>
        <v>46304</v>
      </c>
      <c r="M26" s="5">
        <f t="shared" si="5"/>
        <v>46300</v>
      </c>
      <c r="N26">
        <f t="shared" si="6"/>
        <v>1</v>
      </c>
      <c r="O26" s="10">
        <f t="shared" si="7"/>
        <v>7</v>
      </c>
      <c r="P26" s="7">
        <f t="shared" si="8"/>
        <v>6860</v>
      </c>
      <c r="Q26" s="9" t="s">
        <v>224</v>
      </c>
      <c r="R26" s="5">
        <f t="shared" si="9"/>
        <v>46305</v>
      </c>
      <c r="S26" s="5">
        <f t="shared" si="10"/>
        <v>46300</v>
      </c>
      <c r="T26" s="7">
        <f t="shared" ca="1" si="11"/>
        <v>0</v>
      </c>
      <c r="U26" t="str">
        <f t="shared" si="12"/>
        <v/>
      </c>
    </row>
    <row r="27" spans="1:21">
      <c r="A27">
        <f t="shared" si="0"/>
        <v>23</v>
      </c>
      <c r="B27" s="6">
        <v>46300</v>
      </c>
      <c r="C27" t="str">
        <f t="shared" si="1"/>
        <v>lun</v>
      </c>
      <c r="D27" s="9" t="s">
        <v>59</v>
      </c>
      <c r="E27" s="9" t="s">
        <v>222</v>
      </c>
      <c r="F27" s="9" t="s">
        <v>3</v>
      </c>
      <c r="G27" s="8">
        <v>980</v>
      </c>
      <c r="H27" s="7">
        <f t="shared" si="2"/>
        <v>980</v>
      </c>
      <c r="I27" s="9" t="s">
        <v>223</v>
      </c>
      <c r="J27" s="6"/>
      <c r="K27">
        <f t="shared" si="3"/>
        <v>4</v>
      </c>
      <c r="L27" s="5">
        <f t="shared" si="4"/>
        <v>46304</v>
      </c>
      <c r="M27" s="5">
        <f t="shared" si="5"/>
        <v>46300</v>
      </c>
      <c r="N27">
        <f t="shared" si="6"/>
        <v>1</v>
      </c>
      <c r="O27" s="10">
        <f t="shared" si="7"/>
        <v>7</v>
      </c>
      <c r="P27" s="7">
        <f t="shared" si="8"/>
        <v>6860</v>
      </c>
      <c r="Q27" s="9" t="s">
        <v>224</v>
      </c>
      <c r="R27" s="5">
        <f t="shared" si="9"/>
        <v>46305</v>
      </c>
      <c r="S27" s="5">
        <f t="shared" si="10"/>
        <v>46300</v>
      </c>
      <c r="T27" s="7">
        <f t="shared" ca="1" si="11"/>
        <v>0</v>
      </c>
      <c r="U27" t="str">
        <f t="shared" si="12"/>
        <v/>
      </c>
    </row>
    <row r="28" spans="1:21">
      <c r="A28">
        <f t="shared" si="0"/>
        <v>24</v>
      </c>
      <c r="B28" s="6">
        <v>46300</v>
      </c>
      <c r="C28" t="str">
        <f t="shared" si="1"/>
        <v>lun</v>
      </c>
      <c r="D28" s="9" t="s">
        <v>59</v>
      </c>
      <c r="E28" s="9" t="s">
        <v>222</v>
      </c>
      <c r="F28" s="9" t="s">
        <v>3</v>
      </c>
      <c r="G28" s="8">
        <v>980</v>
      </c>
      <c r="H28" s="7">
        <f t="shared" si="2"/>
        <v>980</v>
      </c>
      <c r="I28" s="9" t="s">
        <v>223</v>
      </c>
      <c r="J28" s="6"/>
      <c r="K28">
        <f t="shared" si="3"/>
        <v>4</v>
      </c>
      <c r="L28" s="5">
        <f t="shared" si="4"/>
        <v>46304</v>
      </c>
      <c r="M28" s="5">
        <f t="shared" si="5"/>
        <v>46300</v>
      </c>
      <c r="N28">
        <f t="shared" si="6"/>
        <v>1</v>
      </c>
      <c r="O28" s="10">
        <f t="shared" si="7"/>
        <v>7</v>
      </c>
      <c r="P28" s="7">
        <f t="shared" si="8"/>
        <v>6860</v>
      </c>
      <c r="Q28" s="9" t="s">
        <v>224</v>
      </c>
      <c r="R28" s="5">
        <f t="shared" si="9"/>
        <v>46305</v>
      </c>
      <c r="S28" s="5">
        <f t="shared" si="10"/>
        <v>46300</v>
      </c>
      <c r="T28" s="7">
        <f t="shared" ca="1" si="11"/>
        <v>0</v>
      </c>
      <c r="U28" t="str">
        <f t="shared" si="12"/>
        <v/>
      </c>
    </row>
    <row r="29" spans="1:21">
      <c r="A29">
        <f t="shared" si="0"/>
        <v>25</v>
      </c>
      <c r="B29" s="6">
        <v>46300</v>
      </c>
      <c r="C29" t="str">
        <f t="shared" si="1"/>
        <v>lun</v>
      </c>
      <c r="D29" s="9" t="s">
        <v>59</v>
      </c>
      <c r="E29" s="9" t="s">
        <v>222</v>
      </c>
      <c r="F29" s="9" t="s">
        <v>3</v>
      </c>
      <c r="G29" s="8">
        <v>980</v>
      </c>
      <c r="H29" s="7">
        <f t="shared" si="2"/>
        <v>980</v>
      </c>
      <c r="I29" s="9" t="s">
        <v>223</v>
      </c>
      <c r="J29" s="6"/>
      <c r="K29">
        <f t="shared" si="3"/>
        <v>4</v>
      </c>
      <c r="L29" s="5">
        <f t="shared" si="4"/>
        <v>46304</v>
      </c>
      <c r="M29" s="5">
        <f t="shared" si="5"/>
        <v>46300</v>
      </c>
      <c r="N29">
        <f t="shared" si="6"/>
        <v>1</v>
      </c>
      <c r="O29" s="10">
        <f t="shared" si="7"/>
        <v>7</v>
      </c>
      <c r="P29" s="7">
        <f t="shared" si="8"/>
        <v>6860</v>
      </c>
      <c r="Q29" s="9" t="s">
        <v>224</v>
      </c>
      <c r="R29" s="5">
        <f t="shared" si="9"/>
        <v>46305</v>
      </c>
      <c r="S29" s="5">
        <f t="shared" si="10"/>
        <v>46300</v>
      </c>
      <c r="T29" s="7">
        <f t="shared" ca="1" si="11"/>
        <v>0</v>
      </c>
      <c r="U29" t="str">
        <f t="shared" si="12"/>
        <v/>
      </c>
    </row>
    <row r="30" spans="1:21">
      <c r="A30">
        <f t="shared" si="0"/>
        <v>26</v>
      </c>
      <c r="B30" s="6">
        <v>46304</v>
      </c>
      <c r="C30" t="str">
        <f t="shared" si="1"/>
        <v>vie</v>
      </c>
      <c r="D30" s="9" t="s">
        <v>58</v>
      </c>
      <c r="E30" s="9" t="s">
        <v>225</v>
      </c>
      <c r="F30" s="9" t="s">
        <v>3</v>
      </c>
      <c r="G30" s="8">
        <v>1008</v>
      </c>
      <c r="H30" s="7">
        <f t="shared" si="2"/>
        <v>1008</v>
      </c>
      <c r="I30" s="9" t="s">
        <v>226</v>
      </c>
      <c r="J30" s="6"/>
      <c r="K30">
        <f t="shared" si="3"/>
        <v>3</v>
      </c>
      <c r="L30" s="5">
        <f t="shared" si="4"/>
        <v>46307</v>
      </c>
      <c r="M30" s="5">
        <f t="shared" si="5"/>
        <v>46307</v>
      </c>
      <c r="N30">
        <f t="shared" si="6"/>
        <v>1</v>
      </c>
      <c r="O30" s="10">
        <f t="shared" si="7"/>
        <v>7.09</v>
      </c>
      <c r="P30" s="7">
        <f t="shared" si="8"/>
        <v>7146.72</v>
      </c>
      <c r="Q30" s="9" t="s">
        <v>227</v>
      </c>
      <c r="R30" s="5">
        <f t="shared" si="9"/>
        <v>46310</v>
      </c>
      <c r="S30" s="5">
        <f t="shared" si="10"/>
        <v>46307</v>
      </c>
      <c r="T30" s="7">
        <f t="shared" ca="1" si="11"/>
        <v>0</v>
      </c>
      <c r="U30" t="str">
        <f t="shared" si="12"/>
        <v/>
      </c>
    </row>
    <row r="31" spans="1:21">
      <c r="A31">
        <f t="shared" si="0"/>
        <v>27</v>
      </c>
      <c r="B31" s="6">
        <v>46304</v>
      </c>
      <c r="C31" t="str">
        <f t="shared" si="1"/>
        <v>vie</v>
      </c>
      <c r="D31" s="9" t="s">
        <v>58</v>
      </c>
      <c r="E31" s="9" t="s">
        <v>225</v>
      </c>
      <c r="F31" s="9" t="s">
        <v>3</v>
      </c>
      <c r="G31" s="8">
        <v>1008</v>
      </c>
      <c r="H31" s="7">
        <f t="shared" si="2"/>
        <v>1008</v>
      </c>
      <c r="I31" s="9" t="s">
        <v>226</v>
      </c>
      <c r="J31" s="6"/>
      <c r="K31">
        <f t="shared" si="3"/>
        <v>3</v>
      </c>
      <c r="L31" s="5">
        <f t="shared" si="4"/>
        <v>46307</v>
      </c>
      <c r="M31" s="5">
        <f t="shared" si="5"/>
        <v>46307</v>
      </c>
      <c r="N31">
        <f t="shared" si="6"/>
        <v>1</v>
      </c>
      <c r="O31" s="10">
        <f t="shared" si="7"/>
        <v>7.09</v>
      </c>
      <c r="P31" s="7">
        <f t="shared" si="8"/>
        <v>7146.72</v>
      </c>
      <c r="Q31" s="9" t="s">
        <v>227</v>
      </c>
      <c r="R31" s="5">
        <f t="shared" si="9"/>
        <v>46310</v>
      </c>
      <c r="S31" s="5">
        <f t="shared" si="10"/>
        <v>46307</v>
      </c>
      <c r="T31" s="7">
        <f t="shared" ca="1" si="11"/>
        <v>0</v>
      </c>
      <c r="U31" t="str">
        <f t="shared" si="12"/>
        <v/>
      </c>
    </row>
    <row r="32" spans="1:21">
      <c r="A32">
        <f t="shared" si="0"/>
        <v>28</v>
      </c>
      <c r="B32" s="6">
        <v>46304</v>
      </c>
      <c r="C32" t="str">
        <f t="shared" si="1"/>
        <v>vie</v>
      </c>
      <c r="D32" s="9" t="s">
        <v>58</v>
      </c>
      <c r="E32" s="9" t="s">
        <v>225</v>
      </c>
      <c r="F32" s="9" t="s">
        <v>3</v>
      </c>
      <c r="G32" s="8">
        <v>1008</v>
      </c>
      <c r="H32" s="7">
        <f t="shared" si="2"/>
        <v>1008</v>
      </c>
      <c r="I32" s="9" t="s">
        <v>226</v>
      </c>
      <c r="J32" s="6"/>
      <c r="K32">
        <f t="shared" si="3"/>
        <v>3</v>
      </c>
      <c r="L32" s="5">
        <f t="shared" si="4"/>
        <v>46307</v>
      </c>
      <c r="M32" s="5">
        <f t="shared" si="5"/>
        <v>46307</v>
      </c>
      <c r="N32">
        <f t="shared" si="6"/>
        <v>1</v>
      </c>
      <c r="O32" s="10">
        <f t="shared" si="7"/>
        <v>7.09</v>
      </c>
      <c r="P32" s="7">
        <f t="shared" si="8"/>
        <v>7146.72</v>
      </c>
      <c r="Q32" s="9" t="s">
        <v>227</v>
      </c>
      <c r="R32" s="5">
        <f t="shared" si="9"/>
        <v>46310</v>
      </c>
      <c r="S32" s="5">
        <f t="shared" si="10"/>
        <v>46307</v>
      </c>
      <c r="T32" s="7">
        <f t="shared" ca="1" si="11"/>
        <v>0</v>
      </c>
      <c r="U32" t="str">
        <f t="shared" si="12"/>
        <v/>
      </c>
    </row>
    <row r="33" spans="1:21">
      <c r="A33">
        <f t="shared" si="0"/>
        <v>29</v>
      </c>
      <c r="B33" s="6">
        <v>46304</v>
      </c>
      <c r="C33" t="str">
        <f t="shared" si="1"/>
        <v>vie</v>
      </c>
      <c r="D33" s="9" t="s">
        <v>58</v>
      </c>
      <c r="E33" s="9" t="s">
        <v>225</v>
      </c>
      <c r="F33" s="9" t="s">
        <v>3</v>
      </c>
      <c r="G33" s="8">
        <v>1008</v>
      </c>
      <c r="H33" s="7">
        <f t="shared" si="2"/>
        <v>1008</v>
      </c>
      <c r="I33" s="9" t="s">
        <v>226</v>
      </c>
      <c r="J33" s="6"/>
      <c r="K33">
        <f t="shared" si="3"/>
        <v>3</v>
      </c>
      <c r="L33" s="5">
        <f t="shared" si="4"/>
        <v>46307</v>
      </c>
      <c r="M33" s="5">
        <f t="shared" si="5"/>
        <v>46307</v>
      </c>
      <c r="N33">
        <f t="shared" si="6"/>
        <v>1</v>
      </c>
      <c r="O33" s="10">
        <f t="shared" si="7"/>
        <v>7.09</v>
      </c>
      <c r="P33" s="7">
        <f t="shared" si="8"/>
        <v>7146.72</v>
      </c>
      <c r="Q33" s="9" t="s">
        <v>227</v>
      </c>
      <c r="R33" s="5">
        <f t="shared" si="9"/>
        <v>46310</v>
      </c>
      <c r="S33" s="5">
        <f t="shared" si="10"/>
        <v>46307</v>
      </c>
      <c r="T33" s="7">
        <f t="shared" ca="1" si="11"/>
        <v>0</v>
      </c>
      <c r="U33" t="str">
        <f t="shared" si="12"/>
        <v/>
      </c>
    </row>
    <row r="34" spans="1:21">
      <c r="A34">
        <f t="shared" si="0"/>
        <v>30</v>
      </c>
      <c r="B34" s="6">
        <v>46304</v>
      </c>
      <c r="C34" t="str">
        <f t="shared" si="1"/>
        <v>vie</v>
      </c>
      <c r="D34" s="9" t="s">
        <v>58</v>
      </c>
      <c r="E34" s="9" t="s">
        <v>225</v>
      </c>
      <c r="F34" s="9" t="s">
        <v>3</v>
      </c>
      <c r="G34" s="8">
        <v>1008</v>
      </c>
      <c r="H34" s="7">
        <f t="shared" si="2"/>
        <v>1008</v>
      </c>
      <c r="I34" s="9" t="s">
        <v>226</v>
      </c>
      <c r="J34" s="6"/>
      <c r="K34">
        <f t="shared" si="3"/>
        <v>3</v>
      </c>
      <c r="L34" s="5">
        <f t="shared" si="4"/>
        <v>46307</v>
      </c>
      <c r="M34" s="5">
        <f t="shared" si="5"/>
        <v>46307</v>
      </c>
      <c r="N34">
        <f t="shared" si="6"/>
        <v>1</v>
      </c>
      <c r="O34" s="10">
        <f t="shared" si="7"/>
        <v>7.09</v>
      </c>
      <c r="P34" s="7">
        <f t="shared" si="8"/>
        <v>7146.72</v>
      </c>
      <c r="Q34" s="9" t="s">
        <v>227</v>
      </c>
      <c r="R34" s="5">
        <f t="shared" si="9"/>
        <v>46310</v>
      </c>
      <c r="S34" s="5">
        <f t="shared" si="10"/>
        <v>46307</v>
      </c>
      <c r="T34" s="7">
        <f t="shared" ca="1" si="11"/>
        <v>0</v>
      </c>
      <c r="U34" t="str">
        <f t="shared" si="12"/>
        <v/>
      </c>
    </row>
    <row r="35" spans="1:21">
      <c r="A35">
        <f t="shared" si="0"/>
        <v>31</v>
      </c>
      <c r="B35" s="6">
        <v>46304</v>
      </c>
      <c r="C35" t="str">
        <f t="shared" si="1"/>
        <v>vie</v>
      </c>
      <c r="D35" s="9" t="s">
        <v>58</v>
      </c>
      <c r="E35" s="9" t="s">
        <v>225</v>
      </c>
      <c r="F35" s="9" t="s">
        <v>3</v>
      </c>
      <c r="G35" s="8">
        <v>1008</v>
      </c>
      <c r="H35" s="7">
        <f t="shared" si="2"/>
        <v>1008</v>
      </c>
      <c r="I35" s="9" t="s">
        <v>226</v>
      </c>
      <c r="J35" s="6"/>
      <c r="K35">
        <f t="shared" si="3"/>
        <v>3</v>
      </c>
      <c r="L35" s="5">
        <f t="shared" si="4"/>
        <v>46307</v>
      </c>
      <c r="M35" s="5">
        <f t="shared" si="5"/>
        <v>46307</v>
      </c>
      <c r="N35">
        <f t="shared" si="6"/>
        <v>1</v>
      </c>
      <c r="O35" s="10">
        <f t="shared" si="7"/>
        <v>7.09</v>
      </c>
      <c r="P35" s="7">
        <f t="shared" si="8"/>
        <v>7146.72</v>
      </c>
      <c r="Q35" s="9" t="s">
        <v>227</v>
      </c>
      <c r="R35" s="5">
        <f t="shared" si="9"/>
        <v>46310</v>
      </c>
      <c r="S35" s="5">
        <f t="shared" si="10"/>
        <v>46307</v>
      </c>
      <c r="T35" s="7">
        <f t="shared" ca="1" si="11"/>
        <v>0</v>
      </c>
      <c r="U35" t="str">
        <f t="shared" si="12"/>
        <v/>
      </c>
    </row>
    <row r="36" spans="1:21">
      <c r="A36">
        <f t="shared" si="0"/>
        <v>32</v>
      </c>
      <c r="B36" s="6">
        <v>46304</v>
      </c>
      <c r="C36" t="str">
        <f t="shared" si="1"/>
        <v>vie</v>
      </c>
      <c r="D36" s="9" t="s">
        <v>58</v>
      </c>
      <c r="E36" s="9" t="s">
        <v>225</v>
      </c>
      <c r="F36" s="9" t="s">
        <v>3</v>
      </c>
      <c r="G36" s="8">
        <v>1008</v>
      </c>
      <c r="H36" s="7">
        <f t="shared" si="2"/>
        <v>1008</v>
      </c>
      <c r="I36" s="9" t="s">
        <v>226</v>
      </c>
      <c r="J36" s="6"/>
      <c r="K36">
        <f t="shared" si="3"/>
        <v>3</v>
      </c>
      <c r="L36" s="5">
        <f t="shared" si="4"/>
        <v>46307</v>
      </c>
      <c r="M36" s="5">
        <f t="shared" si="5"/>
        <v>46307</v>
      </c>
      <c r="N36">
        <f t="shared" si="6"/>
        <v>1</v>
      </c>
      <c r="O36" s="10">
        <f t="shared" si="7"/>
        <v>7.09</v>
      </c>
      <c r="P36" s="7">
        <f t="shared" si="8"/>
        <v>7146.72</v>
      </c>
      <c r="Q36" s="9" t="s">
        <v>227</v>
      </c>
      <c r="R36" s="5">
        <f t="shared" si="9"/>
        <v>46310</v>
      </c>
      <c r="S36" s="5">
        <f t="shared" si="10"/>
        <v>46307</v>
      </c>
      <c r="T36" s="7">
        <f t="shared" ca="1" si="11"/>
        <v>0</v>
      </c>
      <c r="U36" t="str">
        <f t="shared" si="12"/>
        <v/>
      </c>
    </row>
    <row r="37" spans="1:21">
      <c r="A37">
        <f t="shared" si="0"/>
        <v>33</v>
      </c>
      <c r="B37" s="6">
        <v>46304</v>
      </c>
      <c r="C37" t="str">
        <f t="shared" si="1"/>
        <v>vie</v>
      </c>
      <c r="D37" s="9" t="s">
        <v>58</v>
      </c>
      <c r="E37" s="9" t="s">
        <v>225</v>
      </c>
      <c r="F37" s="9" t="s">
        <v>3</v>
      </c>
      <c r="G37" s="8">
        <v>1008</v>
      </c>
      <c r="H37" s="7">
        <f t="shared" si="2"/>
        <v>1008</v>
      </c>
      <c r="I37" s="9" t="s">
        <v>226</v>
      </c>
      <c r="J37" s="6"/>
      <c r="K37">
        <f t="shared" si="3"/>
        <v>3</v>
      </c>
      <c r="L37" s="5">
        <f t="shared" si="4"/>
        <v>46307</v>
      </c>
      <c r="M37" s="5">
        <f t="shared" si="5"/>
        <v>46307</v>
      </c>
      <c r="N37">
        <f t="shared" si="6"/>
        <v>1</v>
      </c>
      <c r="O37" s="10">
        <f t="shared" si="7"/>
        <v>7.09</v>
      </c>
      <c r="P37" s="7">
        <f t="shared" si="8"/>
        <v>7146.72</v>
      </c>
      <c r="Q37" s="9" t="s">
        <v>227</v>
      </c>
      <c r="R37" s="5">
        <f t="shared" si="9"/>
        <v>46310</v>
      </c>
      <c r="S37" s="5">
        <f t="shared" si="10"/>
        <v>46307</v>
      </c>
      <c r="T37" s="7">
        <f t="shared" ca="1" si="11"/>
        <v>0</v>
      </c>
      <c r="U37" t="str">
        <f t="shared" si="12"/>
        <v/>
      </c>
    </row>
    <row r="38" spans="1:21">
      <c r="A38">
        <f t="shared" si="0"/>
        <v>34</v>
      </c>
      <c r="B38" s="6">
        <v>46307</v>
      </c>
      <c r="C38" t="str">
        <f t="shared" si="1"/>
        <v>lun</v>
      </c>
      <c r="D38" s="9" t="s">
        <v>59</v>
      </c>
      <c r="E38" s="9" t="s">
        <v>222</v>
      </c>
      <c r="F38" s="9" t="s">
        <v>3</v>
      </c>
      <c r="G38" s="8">
        <v>980</v>
      </c>
      <c r="H38" s="7">
        <f t="shared" si="2"/>
        <v>980</v>
      </c>
      <c r="I38" s="9" t="s">
        <v>223</v>
      </c>
      <c r="J38" s="6"/>
      <c r="K38">
        <f t="shared" si="3"/>
        <v>4</v>
      </c>
      <c r="L38" s="5">
        <f t="shared" si="4"/>
        <v>46311</v>
      </c>
      <c r="M38" s="5">
        <f t="shared" si="5"/>
        <v>46307</v>
      </c>
      <c r="N38">
        <f t="shared" si="6"/>
        <v>1</v>
      </c>
      <c r="O38" s="10">
        <f t="shared" si="7"/>
        <v>7</v>
      </c>
      <c r="P38" s="7">
        <f t="shared" si="8"/>
        <v>6860</v>
      </c>
      <c r="Q38" s="9" t="s">
        <v>224</v>
      </c>
      <c r="R38" s="5">
        <f t="shared" si="9"/>
        <v>46312</v>
      </c>
      <c r="S38" s="5">
        <f t="shared" si="10"/>
        <v>46307</v>
      </c>
      <c r="T38" s="7">
        <f t="shared" ca="1" si="11"/>
        <v>0</v>
      </c>
      <c r="U38" t="str">
        <f t="shared" si="12"/>
        <v/>
      </c>
    </row>
    <row r="39" spans="1:21">
      <c r="A39">
        <f t="shared" si="0"/>
        <v>35</v>
      </c>
      <c r="B39" s="6">
        <v>46307</v>
      </c>
      <c r="C39" t="str">
        <f t="shared" si="1"/>
        <v>lun</v>
      </c>
      <c r="D39" s="9" t="s">
        <v>59</v>
      </c>
      <c r="E39" s="9" t="s">
        <v>222</v>
      </c>
      <c r="F39" s="9" t="s">
        <v>3</v>
      </c>
      <c r="G39" s="8">
        <v>980</v>
      </c>
      <c r="H39" s="7">
        <f t="shared" si="2"/>
        <v>980</v>
      </c>
      <c r="I39" s="9" t="s">
        <v>223</v>
      </c>
      <c r="J39" s="6"/>
      <c r="K39">
        <f t="shared" si="3"/>
        <v>4</v>
      </c>
      <c r="L39" s="5">
        <f t="shared" si="4"/>
        <v>46311</v>
      </c>
      <c r="M39" s="5">
        <f t="shared" si="5"/>
        <v>46307</v>
      </c>
      <c r="N39">
        <f t="shared" si="6"/>
        <v>1</v>
      </c>
      <c r="O39" s="10">
        <f t="shared" si="7"/>
        <v>7</v>
      </c>
      <c r="P39" s="7">
        <f t="shared" si="8"/>
        <v>6860</v>
      </c>
      <c r="Q39" s="9" t="s">
        <v>224</v>
      </c>
      <c r="R39" s="5">
        <f t="shared" si="9"/>
        <v>46312</v>
      </c>
      <c r="S39" s="5">
        <f t="shared" si="10"/>
        <v>46307</v>
      </c>
      <c r="T39" s="7">
        <f t="shared" ca="1" si="11"/>
        <v>0</v>
      </c>
      <c r="U39" t="str">
        <f t="shared" si="12"/>
        <v/>
      </c>
    </row>
    <row r="40" spans="1:21">
      <c r="A40">
        <f t="shared" si="0"/>
        <v>36</v>
      </c>
      <c r="B40" s="6">
        <v>46307</v>
      </c>
      <c r="C40" t="str">
        <f t="shared" si="1"/>
        <v>lun</v>
      </c>
      <c r="D40" s="9" t="s">
        <v>59</v>
      </c>
      <c r="E40" s="9" t="s">
        <v>222</v>
      </c>
      <c r="F40" s="9" t="s">
        <v>3</v>
      </c>
      <c r="G40" s="8">
        <v>980</v>
      </c>
      <c r="H40" s="7">
        <f t="shared" si="2"/>
        <v>980</v>
      </c>
      <c r="I40" s="9" t="s">
        <v>223</v>
      </c>
      <c r="J40" s="6"/>
      <c r="K40">
        <f t="shared" si="3"/>
        <v>4</v>
      </c>
      <c r="L40" s="5">
        <f t="shared" si="4"/>
        <v>46311</v>
      </c>
      <c r="M40" s="5">
        <f t="shared" si="5"/>
        <v>46307</v>
      </c>
      <c r="N40">
        <f t="shared" si="6"/>
        <v>1</v>
      </c>
      <c r="O40" s="10">
        <f t="shared" si="7"/>
        <v>7</v>
      </c>
      <c r="P40" s="7">
        <f t="shared" si="8"/>
        <v>6860</v>
      </c>
      <c r="Q40" s="9" t="s">
        <v>224</v>
      </c>
      <c r="R40" s="5">
        <f t="shared" si="9"/>
        <v>46312</v>
      </c>
      <c r="S40" s="5">
        <f t="shared" si="10"/>
        <v>46307</v>
      </c>
      <c r="T40" s="7">
        <f t="shared" ca="1" si="11"/>
        <v>0</v>
      </c>
      <c r="U40" t="str">
        <f t="shared" si="12"/>
        <v/>
      </c>
    </row>
    <row r="41" spans="1:21">
      <c r="A41">
        <f t="shared" si="0"/>
        <v>37</v>
      </c>
      <c r="B41" s="6">
        <v>46307</v>
      </c>
      <c r="C41" t="str">
        <f t="shared" si="1"/>
        <v>lun</v>
      </c>
      <c r="D41" s="9" t="s">
        <v>59</v>
      </c>
      <c r="E41" s="9" t="s">
        <v>222</v>
      </c>
      <c r="F41" s="9" t="s">
        <v>3</v>
      </c>
      <c r="G41" s="8">
        <v>980</v>
      </c>
      <c r="H41" s="7">
        <f t="shared" si="2"/>
        <v>980</v>
      </c>
      <c r="I41" s="9" t="s">
        <v>223</v>
      </c>
      <c r="J41" s="6"/>
      <c r="K41">
        <f t="shared" si="3"/>
        <v>4</v>
      </c>
      <c r="L41" s="5">
        <f t="shared" si="4"/>
        <v>46311</v>
      </c>
      <c r="M41" s="5">
        <f t="shared" si="5"/>
        <v>46307</v>
      </c>
      <c r="N41">
        <f t="shared" si="6"/>
        <v>1</v>
      </c>
      <c r="O41" s="10">
        <f t="shared" si="7"/>
        <v>7</v>
      </c>
      <c r="P41" s="7">
        <f t="shared" si="8"/>
        <v>6860</v>
      </c>
      <c r="Q41" s="9" t="s">
        <v>224</v>
      </c>
      <c r="R41" s="5">
        <f t="shared" si="9"/>
        <v>46312</v>
      </c>
      <c r="S41" s="5">
        <f t="shared" si="10"/>
        <v>46307</v>
      </c>
      <c r="T41" s="7">
        <f t="shared" ca="1" si="11"/>
        <v>0</v>
      </c>
      <c r="U41" t="str">
        <f t="shared" si="12"/>
        <v/>
      </c>
    </row>
    <row r="42" spans="1:21">
      <c r="A42">
        <f t="shared" si="0"/>
        <v>38</v>
      </c>
      <c r="B42" s="6">
        <v>46307</v>
      </c>
      <c r="C42" t="str">
        <f t="shared" si="1"/>
        <v>lun</v>
      </c>
      <c r="D42" s="9" t="s">
        <v>59</v>
      </c>
      <c r="E42" s="9" t="s">
        <v>222</v>
      </c>
      <c r="F42" s="9" t="s">
        <v>3</v>
      </c>
      <c r="G42" s="8">
        <v>980</v>
      </c>
      <c r="H42" s="7">
        <f t="shared" si="2"/>
        <v>980</v>
      </c>
      <c r="I42" s="9" t="s">
        <v>223</v>
      </c>
      <c r="J42" s="6"/>
      <c r="K42">
        <f t="shared" si="3"/>
        <v>4</v>
      </c>
      <c r="L42" s="5">
        <f t="shared" si="4"/>
        <v>46311</v>
      </c>
      <c r="M42" s="5">
        <f t="shared" si="5"/>
        <v>46307</v>
      </c>
      <c r="N42">
        <f t="shared" si="6"/>
        <v>1</v>
      </c>
      <c r="O42" s="10">
        <f t="shared" si="7"/>
        <v>7</v>
      </c>
      <c r="P42" s="7">
        <f t="shared" si="8"/>
        <v>6860</v>
      </c>
      <c r="Q42" s="9" t="s">
        <v>224</v>
      </c>
      <c r="R42" s="5">
        <f t="shared" si="9"/>
        <v>46312</v>
      </c>
      <c r="S42" s="5">
        <f t="shared" si="10"/>
        <v>46307</v>
      </c>
      <c r="T42" s="7">
        <f t="shared" ca="1" si="11"/>
        <v>0</v>
      </c>
      <c r="U42" t="str">
        <f t="shared" si="12"/>
        <v/>
      </c>
    </row>
    <row r="43" spans="1:21">
      <c r="A43">
        <f t="shared" si="0"/>
        <v>39</v>
      </c>
      <c r="B43" s="6">
        <v>46311</v>
      </c>
      <c r="C43" t="str">
        <f t="shared" si="1"/>
        <v>vie</v>
      </c>
      <c r="D43" s="9" t="s">
        <v>58</v>
      </c>
      <c r="E43" s="9" t="s">
        <v>225</v>
      </c>
      <c r="F43" s="9" t="s">
        <v>3</v>
      </c>
      <c r="G43" s="8">
        <v>1008</v>
      </c>
      <c r="H43" s="7">
        <f t="shared" si="2"/>
        <v>1008</v>
      </c>
      <c r="I43" s="9" t="s">
        <v>226</v>
      </c>
      <c r="J43" s="6"/>
      <c r="K43">
        <f t="shared" si="3"/>
        <v>3</v>
      </c>
      <c r="L43" s="5">
        <f t="shared" si="4"/>
        <v>46314</v>
      </c>
      <c r="M43" s="5">
        <f t="shared" si="5"/>
        <v>46314</v>
      </c>
      <c r="N43">
        <f t="shared" si="6"/>
        <v>1</v>
      </c>
      <c r="O43" s="10">
        <f t="shared" si="7"/>
        <v>7.09</v>
      </c>
      <c r="P43" s="7">
        <f t="shared" si="8"/>
        <v>7146.72</v>
      </c>
      <c r="Q43" s="9" t="s">
        <v>227</v>
      </c>
      <c r="R43" s="5">
        <f t="shared" si="9"/>
        <v>46317</v>
      </c>
      <c r="S43" s="5">
        <f t="shared" si="10"/>
        <v>46314</v>
      </c>
      <c r="T43" s="7">
        <f t="shared" ca="1" si="11"/>
        <v>0</v>
      </c>
      <c r="U43" t="str">
        <f t="shared" si="12"/>
        <v/>
      </c>
    </row>
    <row r="44" spans="1:21">
      <c r="A44">
        <f t="shared" si="0"/>
        <v>40</v>
      </c>
      <c r="B44" s="6">
        <v>46311</v>
      </c>
      <c r="C44" t="str">
        <f t="shared" si="1"/>
        <v>vie</v>
      </c>
      <c r="D44" s="9" t="s">
        <v>58</v>
      </c>
      <c r="E44" s="9" t="s">
        <v>225</v>
      </c>
      <c r="F44" s="9" t="s">
        <v>3</v>
      </c>
      <c r="G44" s="8">
        <v>1008</v>
      </c>
      <c r="H44" s="7">
        <f t="shared" si="2"/>
        <v>1008</v>
      </c>
      <c r="I44" s="9" t="s">
        <v>226</v>
      </c>
      <c r="J44" s="6"/>
      <c r="K44">
        <f t="shared" si="3"/>
        <v>3</v>
      </c>
      <c r="L44" s="5">
        <f t="shared" si="4"/>
        <v>46314</v>
      </c>
      <c r="M44" s="5">
        <f t="shared" si="5"/>
        <v>46314</v>
      </c>
      <c r="N44">
        <f t="shared" si="6"/>
        <v>1</v>
      </c>
      <c r="O44" s="10">
        <f t="shared" si="7"/>
        <v>7.09</v>
      </c>
      <c r="P44" s="7">
        <f t="shared" si="8"/>
        <v>7146.72</v>
      </c>
      <c r="Q44" s="9" t="s">
        <v>227</v>
      </c>
      <c r="R44" s="5">
        <f t="shared" si="9"/>
        <v>46317</v>
      </c>
      <c r="S44" s="5">
        <f t="shared" si="10"/>
        <v>46314</v>
      </c>
      <c r="T44" s="7">
        <f t="shared" ca="1" si="11"/>
        <v>0</v>
      </c>
      <c r="U44" t="str">
        <f t="shared" si="12"/>
        <v/>
      </c>
    </row>
    <row r="45" spans="1:21">
      <c r="A45">
        <f t="shared" si="0"/>
        <v>41</v>
      </c>
      <c r="B45" s="6">
        <v>46311</v>
      </c>
      <c r="C45" t="str">
        <f t="shared" si="1"/>
        <v>vie</v>
      </c>
      <c r="D45" s="9" t="s">
        <v>58</v>
      </c>
      <c r="E45" s="9" t="s">
        <v>225</v>
      </c>
      <c r="F45" s="9" t="s">
        <v>3</v>
      </c>
      <c r="G45" s="8">
        <v>1008</v>
      </c>
      <c r="H45" s="7">
        <f t="shared" si="2"/>
        <v>1008</v>
      </c>
      <c r="I45" s="9" t="s">
        <v>226</v>
      </c>
      <c r="J45" s="6"/>
      <c r="K45">
        <f t="shared" si="3"/>
        <v>3</v>
      </c>
      <c r="L45" s="5">
        <f t="shared" si="4"/>
        <v>46314</v>
      </c>
      <c r="M45" s="5">
        <f t="shared" si="5"/>
        <v>46314</v>
      </c>
      <c r="N45">
        <f t="shared" si="6"/>
        <v>1</v>
      </c>
      <c r="O45" s="10">
        <f t="shared" si="7"/>
        <v>7.09</v>
      </c>
      <c r="P45" s="7">
        <f t="shared" si="8"/>
        <v>7146.72</v>
      </c>
      <c r="Q45" s="9" t="s">
        <v>227</v>
      </c>
      <c r="R45" s="5">
        <f t="shared" si="9"/>
        <v>46317</v>
      </c>
      <c r="S45" s="5">
        <f t="shared" si="10"/>
        <v>46314</v>
      </c>
      <c r="T45" s="7">
        <f t="shared" ca="1" si="11"/>
        <v>0</v>
      </c>
      <c r="U45" t="str">
        <f t="shared" si="12"/>
        <v/>
      </c>
    </row>
    <row r="46" spans="1:21">
      <c r="A46">
        <f t="shared" si="0"/>
        <v>42</v>
      </c>
      <c r="B46" s="6">
        <v>46311</v>
      </c>
      <c r="C46" t="str">
        <f t="shared" si="1"/>
        <v>vie</v>
      </c>
      <c r="D46" s="9" t="s">
        <v>58</v>
      </c>
      <c r="E46" s="9" t="s">
        <v>225</v>
      </c>
      <c r="F46" s="9" t="s">
        <v>3</v>
      </c>
      <c r="G46" s="8">
        <v>1008</v>
      </c>
      <c r="H46" s="7">
        <f t="shared" si="2"/>
        <v>1008</v>
      </c>
      <c r="I46" s="9" t="s">
        <v>226</v>
      </c>
      <c r="J46" s="6"/>
      <c r="K46">
        <f t="shared" si="3"/>
        <v>3</v>
      </c>
      <c r="L46" s="5">
        <f t="shared" si="4"/>
        <v>46314</v>
      </c>
      <c r="M46" s="5">
        <f t="shared" si="5"/>
        <v>46314</v>
      </c>
      <c r="N46">
        <f t="shared" si="6"/>
        <v>1</v>
      </c>
      <c r="O46" s="10">
        <f t="shared" si="7"/>
        <v>7.09</v>
      </c>
      <c r="P46" s="7">
        <f t="shared" si="8"/>
        <v>7146.72</v>
      </c>
      <c r="Q46" s="9" t="s">
        <v>227</v>
      </c>
      <c r="R46" s="5">
        <f t="shared" si="9"/>
        <v>46317</v>
      </c>
      <c r="S46" s="5">
        <f t="shared" si="10"/>
        <v>46314</v>
      </c>
      <c r="T46" s="7">
        <f t="shared" ca="1" si="11"/>
        <v>0</v>
      </c>
      <c r="U46" t="str">
        <f t="shared" si="12"/>
        <v/>
      </c>
    </row>
    <row r="47" spans="1:21">
      <c r="A47">
        <f t="shared" si="0"/>
        <v>43</v>
      </c>
      <c r="B47" s="6">
        <v>46311</v>
      </c>
      <c r="C47" t="str">
        <f t="shared" si="1"/>
        <v>vie</v>
      </c>
      <c r="D47" s="9" t="s">
        <v>58</v>
      </c>
      <c r="E47" s="9" t="s">
        <v>225</v>
      </c>
      <c r="F47" s="9" t="s">
        <v>3</v>
      </c>
      <c r="G47" s="8">
        <v>1008</v>
      </c>
      <c r="H47" s="7">
        <f t="shared" si="2"/>
        <v>1008</v>
      </c>
      <c r="I47" s="9" t="s">
        <v>226</v>
      </c>
      <c r="J47" s="6"/>
      <c r="K47">
        <f t="shared" si="3"/>
        <v>3</v>
      </c>
      <c r="L47" s="5">
        <f t="shared" si="4"/>
        <v>46314</v>
      </c>
      <c r="M47" s="5">
        <f t="shared" si="5"/>
        <v>46314</v>
      </c>
      <c r="N47">
        <f t="shared" si="6"/>
        <v>1</v>
      </c>
      <c r="O47" s="10">
        <f t="shared" si="7"/>
        <v>7.09</v>
      </c>
      <c r="P47" s="7">
        <f t="shared" si="8"/>
        <v>7146.72</v>
      </c>
      <c r="Q47" s="9" t="s">
        <v>227</v>
      </c>
      <c r="R47" s="5">
        <f t="shared" si="9"/>
        <v>46317</v>
      </c>
      <c r="S47" s="5">
        <f t="shared" si="10"/>
        <v>46314</v>
      </c>
      <c r="T47" s="7">
        <f t="shared" ca="1" si="11"/>
        <v>0</v>
      </c>
      <c r="U47" t="str">
        <f t="shared" si="12"/>
        <v/>
      </c>
    </row>
    <row r="48" spans="1:21">
      <c r="A48">
        <f t="shared" si="0"/>
        <v>44</v>
      </c>
      <c r="B48" s="6">
        <v>46311</v>
      </c>
      <c r="C48" t="str">
        <f t="shared" si="1"/>
        <v>vie</v>
      </c>
      <c r="D48" s="9" t="s">
        <v>58</v>
      </c>
      <c r="E48" s="9" t="s">
        <v>225</v>
      </c>
      <c r="F48" s="9" t="s">
        <v>3</v>
      </c>
      <c r="G48" s="8">
        <v>1008</v>
      </c>
      <c r="H48" s="7">
        <f t="shared" si="2"/>
        <v>1008</v>
      </c>
      <c r="I48" s="9" t="s">
        <v>226</v>
      </c>
      <c r="J48" s="6"/>
      <c r="K48">
        <f t="shared" si="3"/>
        <v>3</v>
      </c>
      <c r="L48" s="5">
        <f t="shared" si="4"/>
        <v>46314</v>
      </c>
      <c r="M48" s="5">
        <f t="shared" si="5"/>
        <v>46314</v>
      </c>
      <c r="N48">
        <f t="shared" si="6"/>
        <v>1</v>
      </c>
      <c r="O48" s="10">
        <f t="shared" si="7"/>
        <v>7.09</v>
      </c>
      <c r="P48" s="7">
        <f t="shared" si="8"/>
        <v>7146.72</v>
      </c>
      <c r="Q48" s="9" t="s">
        <v>227</v>
      </c>
      <c r="R48" s="5">
        <f t="shared" si="9"/>
        <v>46317</v>
      </c>
      <c r="S48" s="5">
        <f t="shared" si="10"/>
        <v>46314</v>
      </c>
      <c r="T48" s="7">
        <f t="shared" ca="1" si="11"/>
        <v>0</v>
      </c>
      <c r="U48" t="str">
        <f t="shared" si="12"/>
        <v/>
      </c>
    </row>
    <row r="49" spans="1:21">
      <c r="A49">
        <f t="shared" si="0"/>
        <v>45</v>
      </c>
      <c r="B49" s="6">
        <v>46311</v>
      </c>
      <c r="C49" t="str">
        <f t="shared" si="1"/>
        <v>vie</v>
      </c>
      <c r="D49" s="9" t="s">
        <v>58</v>
      </c>
      <c r="E49" s="9" t="s">
        <v>225</v>
      </c>
      <c r="F49" s="9" t="s">
        <v>3</v>
      </c>
      <c r="G49" s="8">
        <v>1008</v>
      </c>
      <c r="H49" s="7">
        <f t="shared" si="2"/>
        <v>1008</v>
      </c>
      <c r="I49" s="9" t="s">
        <v>226</v>
      </c>
      <c r="J49" s="6"/>
      <c r="K49">
        <f t="shared" si="3"/>
        <v>3</v>
      </c>
      <c r="L49" s="5">
        <f t="shared" si="4"/>
        <v>46314</v>
      </c>
      <c r="M49" s="5">
        <f t="shared" si="5"/>
        <v>46314</v>
      </c>
      <c r="N49">
        <f t="shared" si="6"/>
        <v>1</v>
      </c>
      <c r="O49" s="10">
        <f t="shared" si="7"/>
        <v>7.09</v>
      </c>
      <c r="P49" s="7">
        <f t="shared" si="8"/>
        <v>7146.72</v>
      </c>
      <c r="Q49" s="9" t="s">
        <v>227</v>
      </c>
      <c r="R49" s="5">
        <f t="shared" si="9"/>
        <v>46317</v>
      </c>
      <c r="S49" s="5">
        <f t="shared" si="10"/>
        <v>46314</v>
      </c>
      <c r="T49" s="7">
        <f t="shared" ca="1" si="11"/>
        <v>0</v>
      </c>
      <c r="U49" t="str">
        <f t="shared" si="12"/>
        <v/>
      </c>
    </row>
    <row r="50" spans="1:21">
      <c r="A50">
        <f t="shared" si="0"/>
        <v>46</v>
      </c>
      <c r="B50" s="6">
        <v>46311</v>
      </c>
      <c r="C50" t="str">
        <f t="shared" si="1"/>
        <v>vie</v>
      </c>
      <c r="D50" s="9" t="s">
        <v>58</v>
      </c>
      <c r="E50" s="9" t="s">
        <v>225</v>
      </c>
      <c r="F50" s="9" t="s">
        <v>3</v>
      </c>
      <c r="G50" s="8">
        <v>1008</v>
      </c>
      <c r="H50" s="7">
        <f t="shared" si="2"/>
        <v>1008</v>
      </c>
      <c r="I50" s="9" t="s">
        <v>226</v>
      </c>
      <c r="J50" s="6"/>
      <c r="K50">
        <f t="shared" si="3"/>
        <v>3</v>
      </c>
      <c r="L50" s="5">
        <f t="shared" si="4"/>
        <v>46314</v>
      </c>
      <c r="M50" s="5">
        <f t="shared" si="5"/>
        <v>46314</v>
      </c>
      <c r="N50">
        <f t="shared" si="6"/>
        <v>1</v>
      </c>
      <c r="O50" s="10">
        <f t="shared" si="7"/>
        <v>7.09</v>
      </c>
      <c r="P50" s="7">
        <f t="shared" si="8"/>
        <v>7146.72</v>
      </c>
      <c r="Q50" s="9" t="s">
        <v>227</v>
      </c>
      <c r="R50" s="5">
        <f t="shared" si="9"/>
        <v>46317</v>
      </c>
      <c r="S50" s="5">
        <f t="shared" si="10"/>
        <v>46314</v>
      </c>
      <c r="T50" s="7">
        <f t="shared" ca="1" si="11"/>
        <v>0</v>
      </c>
      <c r="U50" t="str">
        <f t="shared" si="12"/>
        <v/>
      </c>
    </row>
    <row r="51" spans="1:21">
      <c r="A51">
        <f t="shared" si="0"/>
        <v>47</v>
      </c>
      <c r="B51" s="6">
        <v>46314</v>
      </c>
      <c r="C51" t="str">
        <f t="shared" si="1"/>
        <v>lun</v>
      </c>
      <c r="D51" s="9" t="s">
        <v>59</v>
      </c>
      <c r="E51" s="9" t="s">
        <v>222</v>
      </c>
      <c r="F51" s="9" t="s">
        <v>3</v>
      </c>
      <c r="G51" s="8">
        <v>980</v>
      </c>
      <c r="H51" s="7">
        <f t="shared" si="2"/>
        <v>980</v>
      </c>
      <c r="I51" s="9" t="s">
        <v>223</v>
      </c>
      <c r="J51" s="6"/>
      <c r="K51">
        <f t="shared" si="3"/>
        <v>4</v>
      </c>
      <c r="L51" s="5">
        <f t="shared" si="4"/>
        <v>46318</v>
      </c>
      <c r="M51" s="5">
        <f t="shared" si="5"/>
        <v>46314</v>
      </c>
      <c r="N51">
        <f t="shared" si="6"/>
        <v>1</v>
      </c>
      <c r="O51" s="10">
        <f t="shared" si="7"/>
        <v>7</v>
      </c>
      <c r="P51" s="7">
        <f t="shared" si="8"/>
        <v>6860</v>
      </c>
      <c r="Q51" s="9" t="s">
        <v>224</v>
      </c>
      <c r="R51" s="5">
        <f t="shared" si="9"/>
        <v>46319</v>
      </c>
      <c r="S51" s="5">
        <f t="shared" si="10"/>
        <v>46314</v>
      </c>
      <c r="T51" s="7">
        <f t="shared" ca="1" si="11"/>
        <v>0</v>
      </c>
      <c r="U51" t="str">
        <f t="shared" si="12"/>
        <v/>
      </c>
    </row>
    <row r="52" spans="1:21">
      <c r="A52">
        <f t="shared" si="0"/>
        <v>48</v>
      </c>
      <c r="B52" s="6">
        <v>46314</v>
      </c>
      <c r="C52" t="str">
        <f t="shared" si="1"/>
        <v>lun</v>
      </c>
      <c r="D52" s="9" t="s">
        <v>59</v>
      </c>
      <c r="E52" s="9" t="s">
        <v>222</v>
      </c>
      <c r="F52" s="9" t="s">
        <v>3</v>
      </c>
      <c r="G52" s="8">
        <v>980</v>
      </c>
      <c r="H52" s="7">
        <f t="shared" si="2"/>
        <v>980</v>
      </c>
      <c r="I52" s="9" t="s">
        <v>223</v>
      </c>
      <c r="J52" s="6"/>
      <c r="K52">
        <f t="shared" si="3"/>
        <v>4</v>
      </c>
      <c r="L52" s="5">
        <f t="shared" si="4"/>
        <v>46318</v>
      </c>
      <c r="M52" s="5">
        <f t="shared" si="5"/>
        <v>46314</v>
      </c>
      <c r="N52">
        <f t="shared" si="6"/>
        <v>1</v>
      </c>
      <c r="O52" s="10">
        <f t="shared" si="7"/>
        <v>7</v>
      </c>
      <c r="P52" s="7">
        <f t="shared" si="8"/>
        <v>6860</v>
      </c>
      <c r="Q52" s="9" t="s">
        <v>224</v>
      </c>
      <c r="R52" s="5">
        <f t="shared" si="9"/>
        <v>46319</v>
      </c>
      <c r="S52" s="5">
        <f t="shared" si="10"/>
        <v>46314</v>
      </c>
      <c r="T52" s="7">
        <f t="shared" ca="1" si="11"/>
        <v>0</v>
      </c>
      <c r="U52" t="str">
        <f t="shared" si="12"/>
        <v/>
      </c>
    </row>
    <row r="53" spans="1:21">
      <c r="A53">
        <f t="shared" si="0"/>
        <v>49</v>
      </c>
      <c r="B53" s="6">
        <v>46314</v>
      </c>
      <c r="C53" t="str">
        <f t="shared" si="1"/>
        <v>lun</v>
      </c>
      <c r="D53" s="9" t="s">
        <v>59</v>
      </c>
      <c r="E53" s="9" t="s">
        <v>222</v>
      </c>
      <c r="F53" s="9" t="s">
        <v>3</v>
      </c>
      <c r="G53" s="8">
        <v>980</v>
      </c>
      <c r="H53" s="7">
        <f t="shared" si="2"/>
        <v>980</v>
      </c>
      <c r="I53" s="9" t="s">
        <v>223</v>
      </c>
      <c r="J53" s="6"/>
      <c r="K53">
        <f t="shared" si="3"/>
        <v>4</v>
      </c>
      <c r="L53" s="5">
        <f t="shared" si="4"/>
        <v>46318</v>
      </c>
      <c r="M53" s="5">
        <f t="shared" si="5"/>
        <v>46314</v>
      </c>
      <c r="N53">
        <f t="shared" si="6"/>
        <v>1</v>
      </c>
      <c r="O53" s="10">
        <f t="shared" si="7"/>
        <v>7</v>
      </c>
      <c r="P53" s="7">
        <f t="shared" si="8"/>
        <v>6860</v>
      </c>
      <c r="Q53" s="9" t="s">
        <v>224</v>
      </c>
      <c r="R53" s="5">
        <f t="shared" si="9"/>
        <v>46319</v>
      </c>
      <c r="S53" s="5">
        <f t="shared" si="10"/>
        <v>46314</v>
      </c>
      <c r="T53" s="7">
        <f t="shared" ca="1" si="11"/>
        <v>0</v>
      </c>
      <c r="U53" t="str">
        <f t="shared" si="12"/>
        <v/>
      </c>
    </row>
    <row r="54" spans="1:21">
      <c r="A54">
        <f t="shared" si="0"/>
        <v>50</v>
      </c>
      <c r="B54" s="6">
        <v>46314</v>
      </c>
      <c r="C54" t="str">
        <f t="shared" si="1"/>
        <v>lun</v>
      </c>
      <c r="D54" s="9" t="s">
        <v>59</v>
      </c>
      <c r="E54" s="9" t="s">
        <v>222</v>
      </c>
      <c r="F54" s="9" t="s">
        <v>3</v>
      </c>
      <c r="G54" s="8">
        <v>980</v>
      </c>
      <c r="H54" s="7">
        <f t="shared" si="2"/>
        <v>980</v>
      </c>
      <c r="I54" s="9" t="s">
        <v>223</v>
      </c>
      <c r="J54" s="6"/>
      <c r="K54">
        <f t="shared" si="3"/>
        <v>4</v>
      </c>
      <c r="L54" s="5">
        <f t="shared" si="4"/>
        <v>46318</v>
      </c>
      <c r="M54" s="5">
        <f t="shared" si="5"/>
        <v>46314</v>
      </c>
      <c r="N54">
        <f t="shared" si="6"/>
        <v>1</v>
      </c>
      <c r="O54" s="10">
        <f t="shared" si="7"/>
        <v>7</v>
      </c>
      <c r="P54" s="7">
        <f t="shared" si="8"/>
        <v>6860</v>
      </c>
      <c r="Q54" s="9" t="s">
        <v>224</v>
      </c>
      <c r="R54" s="5">
        <f t="shared" si="9"/>
        <v>46319</v>
      </c>
      <c r="S54" s="5">
        <f t="shared" si="10"/>
        <v>46314</v>
      </c>
      <c r="T54" s="7">
        <f t="shared" ca="1" si="11"/>
        <v>0</v>
      </c>
      <c r="U54" t="str">
        <f t="shared" si="12"/>
        <v/>
      </c>
    </row>
    <row r="55" spans="1:21">
      <c r="A55">
        <f t="shared" si="0"/>
        <v>51</v>
      </c>
      <c r="B55" s="6">
        <v>46314</v>
      </c>
      <c r="C55" t="str">
        <f t="shared" si="1"/>
        <v>lun</v>
      </c>
      <c r="D55" s="9" t="s">
        <v>59</v>
      </c>
      <c r="E55" s="9" t="s">
        <v>222</v>
      </c>
      <c r="F55" s="9" t="s">
        <v>3</v>
      </c>
      <c r="G55" s="8">
        <v>980</v>
      </c>
      <c r="H55" s="7">
        <f t="shared" si="2"/>
        <v>980</v>
      </c>
      <c r="I55" s="9" t="s">
        <v>223</v>
      </c>
      <c r="J55" s="6"/>
      <c r="K55">
        <f t="shared" si="3"/>
        <v>4</v>
      </c>
      <c r="L55" s="5">
        <f t="shared" si="4"/>
        <v>46318</v>
      </c>
      <c r="M55" s="5">
        <f t="shared" si="5"/>
        <v>46314</v>
      </c>
      <c r="N55">
        <f t="shared" si="6"/>
        <v>1</v>
      </c>
      <c r="O55" s="10">
        <f t="shared" si="7"/>
        <v>7</v>
      </c>
      <c r="P55" s="7">
        <f t="shared" si="8"/>
        <v>6860</v>
      </c>
      <c r="Q55" s="9" t="s">
        <v>224</v>
      </c>
      <c r="R55" s="5">
        <f t="shared" si="9"/>
        <v>46319</v>
      </c>
      <c r="S55" s="5">
        <f t="shared" si="10"/>
        <v>46314</v>
      </c>
      <c r="T55" s="7">
        <f t="shared" ca="1" si="11"/>
        <v>0</v>
      </c>
      <c r="U55" t="str">
        <f t="shared" si="12"/>
        <v/>
      </c>
    </row>
    <row r="56" spans="1:21">
      <c r="A56">
        <f t="shared" si="0"/>
        <v>52</v>
      </c>
      <c r="B56" s="6">
        <v>46318</v>
      </c>
      <c r="C56" t="str">
        <f t="shared" si="1"/>
        <v>vie</v>
      </c>
      <c r="D56" s="9" t="s">
        <v>58</v>
      </c>
      <c r="E56" s="9" t="s">
        <v>225</v>
      </c>
      <c r="F56" s="9" t="s">
        <v>3</v>
      </c>
      <c r="G56" s="8">
        <v>1008</v>
      </c>
      <c r="H56" s="7">
        <f t="shared" si="2"/>
        <v>1008</v>
      </c>
      <c r="I56" s="9" t="s">
        <v>226</v>
      </c>
      <c r="J56" s="6"/>
      <c r="K56">
        <f t="shared" si="3"/>
        <v>3</v>
      </c>
      <c r="L56" s="5">
        <f t="shared" si="4"/>
        <v>46321</v>
      </c>
      <c r="M56" s="5">
        <f t="shared" si="5"/>
        <v>46321</v>
      </c>
      <c r="N56">
        <f t="shared" si="6"/>
        <v>1</v>
      </c>
      <c r="O56" s="10">
        <f t="shared" si="7"/>
        <v>7.09</v>
      </c>
      <c r="P56" s="7">
        <f t="shared" si="8"/>
        <v>7146.72</v>
      </c>
      <c r="Q56" s="9" t="s">
        <v>227</v>
      </c>
      <c r="R56" s="5">
        <f t="shared" si="9"/>
        <v>46324</v>
      </c>
      <c r="S56" s="5">
        <f t="shared" si="10"/>
        <v>46321</v>
      </c>
      <c r="T56" s="7">
        <f t="shared" ca="1" si="11"/>
        <v>0</v>
      </c>
      <c r="U56" t="str">
        <f t="shared" si="12"/>
        <v/>
      </c>
    </row>
    <row r="57" spans="1:21">
      <c r="A57">
        <f t="shared" si="0"/>
        <v>53</v>
      </c>
      <c r="B57" s="6">
        <v>46318</v>
      </c>
      <c r="C57" t="str">
        <f t="shared" si="1"/>
        <v>vie</v>
      </c>
      <c r="D57" s="9" t="s">
        <v>58</v>
      </c>
      <c r="E57" s="9" t="s">
        <v>225</v>
      </c>
      <c r="F57" s="9" t="s">
        <v>3</v>
      </c>
      <c r="G57" s="8">
        <v>1008</v>
      </c>
      <c r="H57" s="7">
        <f t="shared" si="2"/>
        <v>1008</v>
      </c>
      <c r="I57" s="9" t="s">
        <v>226</v>
      </c>
      <c r="J57" s="6"/>
      <c r="K57">
        <f t="shared" si="3"/>
        <v>3</v>
      </c>
      <c r="L57" s="5">
        <f t="shared" si="4"/>
        <v>46321</v>
      </c>
      <c r="M57" s="5">
        <f t="shared" si="5"/>
        <v>46321</v>
      </c>
      <c r="N57">
        <f t="shared" si="6"/>
        <v>1</v>
      </c>
      <c r="O57" s="10">
        <f t="shared" si="7"/>
        <v>7.09</v>
      </c>
      <c r="P57" s="7">
        <f t="shared" si="8"/>
        <v>7146.72</v>
      </c>
      <c r="Q57" s="9" t="s">
        <v>227</v>
      </c>
      <c r="R57" s="5">
        <f t="shared" si="9"/>
        <v>46324</v>
      </c>
      <c r="S57" s="5">
        <f t="shared" si="10"/>
        <v>46321</v>
      </c>
      <c r="T57" s="7">
        <f t="shared" ca="1" si="11"/>
        <v>0</v>
      </c>
      <c r="U57" t="str">
        <f t="shared" si="12"/>
        <v/>
      </c>
    </row>
    <row r="58" spans="1:21">
      <c r="A58">
        <f t="shared" si="0"/>
        <v>54</v>
      </c>
      <c r="B58" s="6">
        <v>46318</v>
      </c>
      <c r="C58" t="str">
        <f t="shared" si="1"/>
        <v>vie</v>
      </c>
      <c r="D58" s="9" t="s">
        <v>58</v>
      </c>
      <c r="E58" s="9" t="s">
        <v>225</v>
      </c>
      <c r="F58" s="9" t="s">
        <v>3</v>
      </c>
      <c r="G58" s="8">
        <v>1008</v>
      </c>
      <c r="H58" s="7">
        <f t="shared" si="2"/>
        <v>1008</v>
      </c>
      <c r="I58" s="9" t="s">
        <v>226</v>
      </c>
      <c r="J58" s="6"/>
      <c r="K58">
        <f t="shared" si="3"/>
        <v>3</v>
      </c>
      <c r="L58" s="5">
        <f t="shared" si="4"/>
        <v>46321</v>
      </c>
      <c r="M58" s="5">
        <f t="shared" si="5"/>
        <v>46321</v>
      </c>
      <c r="N58">
        <f t="shared" si="6"/>
        <v>1</v>
      </c>
      <c r="O58" s="10">
        <f t="shared" si="7"/>
        <v>7.09</v>
      </c>
      <c r="P58" s="7">
        <f t="shared" si="8"/>
        <v>7146.72</v>
      </c>
      <c r="Q58" s="9" t="s">
        <v>227</v>
      </c>
      <c r="R58" s="5">
        <f t="shared" si="9"/>
        <v>46324</v>
      </c>
      <c r="S58" s="5">
        <f t="shared" si="10"/>
        <v>46321</v>
      </c>
      <c r="T58" s="7">
        <f t="shared" ca="1" si="11"/>
        <v>0</v>
      </c>
      <c r="U58" t="str">
        <f t="shared" si="12"/>
        <v/>
      </c>
    </row>
    <row r="59" spans="1:21">
      <c r="A59">
        <f t="shared" si="0"/>
        <v>55</v>
      </c>
      <c r="B59" s="6">
        <v>46318</v>
      </c>
      <c r="C59" t="str">
        <f t="shared" si="1"/>
        <v>vie</v>
      </c>
      <c r="D59" s="9" t="s">
        <v>58</v>
      </c>
      <c r="E59" s="9" t="s">
        <v>225</v>
      </c>
      <c r="F59" s="9" t="s">
        <v>3</v>
      </c>
      <c r="G59" s="8">
        <v>1008</v>
      </c>
      <c r="H59" s="7">
        <f t="shared" si="2"/>
        <v>1008</v>
      </c>
      <c r="I59" s="9" t="s">
        <v>226</v>
      </c>
      <c r="J59" s="6"/>
      <c r="K59">
        <f t="shared" si="3"/>
        <v>3</v>
      </c>
      <c r="L59" s="5">
        <f t="shared" si="4"/>
        <v>46321</v>
      </c>
      <c r="M59" s="5">
        <f t="shared" si="5"/>
        <v>46321</v>
      </c>
      <c r="N59">
        <f t="shared" si="6"/>
        <v>1</v>
      </c>
      <c r="O59" s="10">
        <f t="shared" si="7"/>
        <v>7.09</v>
      </c>
      <c r="P59" s="7">
        <f t="shared" si="8"/>
        <v>7146.72</v>
      </c>
      <c r="Q59" s="9" t="s">
        <v>227</v>
      </c>
      <c r="R59" s="5">
        <f t="shared" si="9"/>
        <v>46324</v>
      </c>
      <c r="S59" s="5">
        <f t="shared" si="10"/>
        <v>46321</v>
      </c>
      <c r="T59" s="7">
        <f t="shared" ca="1" si="11"/>
        <v>0</v>
      </c>
      <c r="U59" t="str">
        <f t="shared" si="12"/>
        <v/>
      </c>
    </row>
    <row r="60" spans="1:21">
      <c r="A60">
        <f t="shared" si="0"/>
        <v>56</v>
      </c>
      <c r="B60" s="6">
        <v>46318</v>
      </c>
      <c r="C60" t="str">
        <f t="shared" si="1"/>
        <v>vie</v>
      </c>
      <c r="D60" s="9" t="s">
        <v>58</v>
      </c>
      <c r="E60" s="9" t="s">
        <v>225</v>
      </c>
      <c r="F60" s="9" t="s">
        <v>3</v>
      </c>
      <c r="G60" s="8">
        <v>1008</v>
      </c>
      <c r="H60" s="7">
        <f t="shared" si="2"/>
        <v>1008</v>
      </c>
      <c r="I60" s="9" t="s">
        <v>226</v>
      </c>
      <c r="J60" s="6"/>
      <c r="K60">
        <f t="shared" si="3"/>
        <v>3</v>
      </c>
      <c r="L60" s="5">
        <f t="shared" si="4"/>
        <v>46321</v>
      </c>
      <c r="M60" s="5">
        <f t="shared" si="5"/>
        <v>46321</v>
      </c>
      <c r="N60">
        <f t="shared" si="6"/>
        <v>1</v>
      </c>
      <c r="O60" s="10">
        <f t="shared" si="7"/>
        <v>7.09</v>
      </c>
      <c r="P60" s="7">
        <f t="shared" si="8"/>
        <v>7146.72</v>
      </c>
      <c r="Q60" s="9" t="s">
        <v>227</v>
      </c>
      <c r="R60" s="5">
        <f t="shared" si="9"/>
        <v>46324</v>
      </c>
      <c r="S60" s="5">
        <f t="shared" si="10"/>
        <v>46321</v>
      </c>
      <c r="T60" s="7">
        <f t="shared" ca="1" si="11"/>
        <v>0</v>
      </c>
      <c r="U60" t="str">
        <f t="shared" si="12"/>
        <v/>
      </c>
    </row>
    <row r="61" spans="1:21">
      <c r="A61">
        <f t="shared" si="0"/>
        <v>57</v>
      </c>
      <c r="B61" s="6">
        <v>46318</v>
      </c>
      <c r="C61" t="str">
        <f t="shared" si="1"/>
        <v>vie</v>
      </c>
      <c r="D61" s="9" t="s">
        <v>58</v>
      </c>
      <c r="E61" s="9" t="s">
        <v>225</v>
      </c>
      <c r="F61" s="9" t="s">
        <v>3</v>
      </c>
      <c r="G61" s="8">
        <v>1008</v>
      </c>
      <c r="H61" s="7">
        <f t="shared" si="2"/>
        <v>1008</v>
      </c>
      <c r="I61" s="9" t="s">
        <v>226</v>
      </c>
      <c r="J61" s="6"/>
      <c r="K61">
        <f t="shared" si="3"/>
        <v>3</v>
      </c>
      <c r="L61" s="5">
        <f t="shared" si="4"/>
        <v>46321</v>
      </c>
      <c r="M61" s="5">
        <f t="shared" si="5"/>
        <v>46321</v>
      </c>
      <c r="N61">
        <f t="shared" si="6"/>
        <v>1</v>
      </c>
      <c r="O61" s="10">
        <f t="shared" si="7"/>
        <v>7.09</v>
      </c>
      <c r="P61" s="7">
        <f t="shared" si="8"/>
        <v>7146.72</v>
      </c>
      <c r="Q61" s="9" t="s">
        <v>227</v>
      </c>
      <c r="R61" s="5">
        <f t="shared" si="9"/>
        <v>46324</v>
      </c>
      <c r="S61" s="5">
        <f t="shared" si="10"/>
        <v>46321</v>
      </c>
      <c r="T61" s="7">
        <f t="shared" ca="1" si="11"/>
        <v>0</v>
      </c>
      <c r="U61" t="str">
        <f t="shared" si="12"/>
        <v/>
      </c>
    </row>
    <row r="62" spans="1:21">
      <c r="A62">
        <f t="shared" si="0"/>
        <v>58</v>
      </c>
      <c r="B62" s="6">
        <v>46318</v>
      </c>
      <c r="C62" t="str">
        <f t="shared" si="1"/>
        <v>vie</v>
      </c>
      <c r="D62" s="9" t="s">
        <v>58</v>
      </c>
      <c r="E62" s="9" t="s">
        <v>225</v>
      </c>
      <c r="F62" s="9" t="s">
        <v>3</v>
      </c>
      <c r="G62" s="8">
        <v>1008</v>
      </c>
      <c r="H62" s="7">
        <f t="shared" si="2"/>
        <v>1008</v>
      </c>
      <c r="I62" s="9" t="s">
        <v>226</v>
      </c>
      <c r="J62" s="6"/>
      <c r="K62">
        <f t="shared" si="3"/>
        <v>3</v>
      </c>
      <c r="L62" s="5">
        <f t="shared" si="4"/>
        <v>46321</v>
      </c>
      <c r="M62" s="5">
        <f t="shared" si="5"/>
        <v>46321</v>
      </c>
      <c r="N62">
        <f t="shared" si="6"/>
        <v>1</v>
      </c>
      <c r="O62" s="10">
        <f t="shared" si="7"/>
        <v>7.09</v>
      </c>
      <c r="P62" s="7">
        <f t="shared" si="8"/>
        <v>7146.72</v>
      </c>
      <c r="Q62" s="9" t="s">
        <v>227</v>
      </c>
      <c r="R62" s="5">
        <f t="shared" si="9"/>
        <v>46324</v>
      </c>
      <c r="S62" s="5">
        <f t="shared" si="10"/>
        <v>46321</v>
      </c>
      <c r="T62" s="7">
        <f t="shared" ca="1" si="11"/>
        <v>0</v>
      </c>
      <c r="U62" t="str">
        <f t="shared" si="12"/>
        <v/>
      </c>
    </row>
    <row r="63" spans="1:21">
      <c r="A63">
        <f t="shared" si="0"/>
        <v>59</v>
      </c>
      <c r="B63" s="6">
        <v>46318</v>
      </c>
      <c r="C63" t="str">
        <f t="shared" si="1"/>
        <v>vie</v>
      </c>
      <c r="D63" s="9" t="s">
        <v>58</v>
      </c>
      <c r="E63" s="9" t="s">
        <v>225</v>
      </c>
      <c r="F63" s="9" t="s">
        <v>3</v>
      </c>
      <c r="G63" s="8">
        <v>1008</v>
      </c>
      <c r="H63" s="7">
        <f t="shared" si="2"/>
        <v>1008</v>
      </c>
      <c r="I63" s="9" t="s">
        <v>226</v>
      </c>
      <c r="J63" s="6"/>
      <c r="K63">
        <f t="shared" si="3"/>
        <v>3</v>
      </c>
      <c r="L63" s="5">
        <f t="shared" si="4"/>
        <v>46321</v>
      </c>
      <c r="M63" s="5">
        <f t="shared" si="5"/>
        <v>46321</v>
      </c>
      <c r="N63">
        <f t="shared" si="6"/>
        <v>1</v>
      </c>
      <c r="O63" s="10">
        <f t="shared" si="7"/>
        <v>7.09</v>
      </c>
      <c r="P63" s="7">
        <f t="shared" si="8"/>
        <v>7146.72</v>
      </c>
      <c r="Q63" s="9" t="s">
        <v>227</v>
      </c>
      <c r="R63" s="5">
        <f t="shared" si="9"/>
        <v>46324</v>
      </c>
      <c r="S63" s="5">
        <f t="shared" si="10"/>
        <v>46321</v>
      </c>
      <c r="T63" s="7">
        <f t="shared" ca="1" si="11"/>
        <v>0</v>
      </c>
      <c r="U63" t="str">
        <f t="shared" si="12"/>
        <v/>
      </c>
    </row>
    <row r="64" spans="1:21">
      <c r="A64">
        <f t="shared" si="0"/>
        <v>60</v>
      </c>
      <c r="B64" s="6">
        <v>46325</v>
      </c>
      <c r="C64" t="str">
        <f t="shared" si="1"/>
        <v>vie</v>
      </c>
      <c r="D64" s="9" t="s">
        <v>58</v>
      </c>
      <c r="E64" s="9" t="s">
        <v>225</v>
      </c>
      <c r="F64" s="9" t="s">
        <v>3</v>
      </c>
      <c r="G64" s="8">
        <v>1008</v>
      </c>
      <c r="H64" s="7">
        <f t="shared" si="2"/>
        <v>1008</v>
      </c>
      <c r="I64" s="9" t="s">
        <v>226</v>
      </c>
      <c r="J64" s="6"/>
      <c r="K64">
        <f t="shared" si="3"/>
        <v>3</v>
      </c>
      <c r="L64" s="5">
        <f t="shared" si="4"/>
        <v>46328</v>
      </c>
      <c r="M64" s="5">
        <f t="shared" si="5"/>
        <v>46328</v>
      </c>
      <c r="N64">
        <f t="shared" si="6"/>
        <v>1</v>
      </c>
      <c r="O64" s="10">
        <f t="shared" si="7"/>
        <v>7.09</v>
      </c>
      <c r="P64" s="7">
        <f t="shared" si="8"/>
        <v>7146.72</v>
      </c>
      <c r="Q64" s="9" t="s">
        <v>227</v>
      </c>
      <c r="R64" s="5">
        <f t="shared" si="9"/>
        <v>46331</v>
      </c>
      <c r="S64" s="5">
        <f t="shared" si="10"/>
        <v>46328</v>
      </c>
      <c r="T64" s="7">
        <f t="shared" ca="1" si="11"/>
        <v>0</v>
      </c>
      <c r="U64" t="str">
        <f t="shared" si="12"/>
        <v/>
      </c>
    </row>
    <row r="65" spans="1:21">
      <c r="A65">
        <f t="shared" si="0"/>
        <v>61</v>
      </c>
      <c r="B65" s="6">
        <v>46325</v>
      </c>
      <c r="C65" t="str">
        <f t="shared" si="1"/>
        <v>vie</v>
      </c>
      <c r="D65" s="9" t="s">
        <v>58</v>
      </c>
      <c r="E65" s="9" t="s">
        <v>225</v>
      </c>
      <c r="F65" s="9" t="s">
        <v>3</v>
      </c>
      <c r="G65" s="8">
        <v>1008</v>
      </c>
      <c r="H65" s="7">
        <f t="shared" si="2"/>
        <v>1008</v>
      </c>
      <c r="I65" s="9" t="s">
        <v>226</v>
      </c>
      <c r="J65" s="6"/>
      <c r="K65">
        <f t="shared" si="3"/>
        <v>3</v>
      </c>
      <c r="L65" s="5">
        <f t="shared" si="4"/>
        <v>46328</v>
      </c>
      <c r="M65" s="5">
        <f t="shared" si="5"/>
        <v>46328</v>
      </c>
      <c r="N65">
        <f t="shared" si="6"/>
        <v>1</v>
      </c>
      <c r="O65" s="10">
        <f t="shared" si="7"/>
        <v>7.09</v>
      </c>
      <c r="P65" s="7">
        <f t="shared" si="8"/>
        <v>7146.72</v>
      </c>
      <c r="Q65" s="9" t="s">
        <v>227</v>
      </c>
      <c r="R65" s="5">
        <f t="shared" si="9"/>
        <v>46331</v>
      </c>
      <c r="S65" s="5">
        <f t="shared" si="10"/>
        <v>46328</v>
      </c>
      <c r="T65" s="7">
        <f t="shared" ca="1" si="11"/>
        <v>0</v>
      </c>
      <c r="U65" t="str">
        <f t="shared" si="12"/>
        <v/>
      </c>
    </row>
    <row r="66" spans="1:21">
      <c r="A66">
        <f t="shared" si="0"/>
        <v>62</v>
      </c>
      <c r="B66" s="6">
        <v>46325</v>
      </c>
      <c r="C66" t="str">
        <f t="shared" si="1"/>
        <v>vie</v>
      </c>
      <c r="D66" s="9" t="s">
        <v>58</v>
      </c>
      <c r="E66" s="9" t="s">
        <v>225</v>
      </c>
      <c r="F66" s="9" t="s">
        <v>3</v>
      </c>
      <c r="G66" s="8">
        <v>1008</v>
      </c>
      <c r="H66" s="7">
        <f t="shared" si="2"/>
        <v>1008</v>
      </c>
      <c r="I66" s="9" t="s">
        <v>226</v>
      </c>
      <c r="J66" s="6"/>
      <c r="K66">
        <f t="shared" si="3"/>
        <v>3</v>
      </c>
      <c r="L66" s="5">
        <f t="shared" si="4"/>
        <v>46328</v>
      </c>
      <c r="M66" s="5">
        <f t="shared" si="5"/>
        <v>46328</v>
      </c>
      <c r="N66">
        <f t="shared" si="6"/>
        <v>1</v>
      </c>
      <c r="O66" s="10">
        <f t="shared" si="7"/>
        <v>7.09</v>
      </c>
      <c r="P66" s="7">
        <f t="shared" si="8"/>
        <v>7146.72</v>
      </c>
      <c r="Q66" s="9" t="s">
        <v>227</v>
      </c>
      <c r="R66" s="5">
        <f t="shared" si="9"/>
        <v>46331</v>
      </c>
      <c r="S66" s="5">
        <f t="shared" si="10"/>
        <v>46328</v>
      </c>
      <c r="T66" s="7">
        <f t="shared" ca="1" si="11"/>
        <v>0</v>
      </c>
      <c r="U66" t="str">
        <f t="shared" si="12"/>
        <v/>
      </c>
    </row>
    <row r="67" spans="1:21">
      <c r="A67">
        <f t="shared" si="0"/>
        <v>63</v>
      </c>
      <c r="B67" s="6">
        <v>46325</v>
      </c>
      <c r="C67" t="str">
        <f t="shared" si="1"/>
        <v>vie</v>
      </c>
      <c r="D67" s="9" t="s">
        <v>58</v>
      </c>
      <c r="E67" s="9" t="s">
        <v>225</v>
      </c>
      <c r="F67" s="9" t="s">
        <v>3</v>
      </c>
      <c r="G67" s="8">
        <v>1008</v>
      </c>
      <c r="H67" s="7">
        <f t="shared" si="2"/>
        <v>1008</v>
      </c>
      <c r="I67" s="9" t="s">
        <v>226</v>
      </c>
      <c r="J67" s="6"/>
      <c r="K67">
        <f t="shared" si="3"/>
        <v>3</v>
      </c>
      <c r="L67" s="5">
        <f t="shared" si="4"/>
        <v>46328</v>
      </c>
      <c r="M67" s="5">
        <f t="shared" si="5"/>
        <v>46328</v>
      </c>
      <c r="N67">
        <f t="shared" si="6"/>
        <v>1</v>
      </c>
      <c r="O67" s="10">
        <f t="shared" si="7"/>
        <v>7.09</v>
      </c>
      <c r="P67" s="7">
        <f t="shared" si="8"/>
        <v>7146.72</v>
      </c>
      <c r="Q67" s="9" t="s">
        <v>227</v>
      </c>
      <c r="R67" s="5">
        <f t="shared" si="9"/>
        <v>46331</v>
      </c>
      <c r="S67" s="5">
        <f t="shared" si="10"/>
        <v>46328</v>
      </c>
      <c r="T67" s="7">
        <f t="shared" ca="1" si="11"/>
        <v>0</v>
      </c>
      <c r="U67" t="str">
        <f t="shared" si="12"/>
        <v/>
      </c>
    </row>
    <row r="68" spans="1:21">
      <c r="A68">
        <f t="shared" si="0"/>
        <v>64</v>
      </c>
      <c r="B68" s="6">
        <v>46325</v>
      </c>
      <c r="C68" t="str">
        <f t="shared" si="1"/>
        <v>vie</v>
      </c>
      <c r="D68" s="9" t="s">
        <v>58</v>
      </c>
      <c r="E68" s="9" t="s">
        <v>225</v>
      </c>
      <c r="F68" s="9" t="s">
        <v>3</v>
      </c>
      <c r="G68" s="8">
        <v>1008</v>
      </c>
      <c r="H68" s="7">
        <f t="shared" si="2"/>
        <v>1008</v>
      </c>
      <c r="I68" s="9" t="s">
        <v>226</v>
      </c>
      <c r="J68" s="6"/>
      <c r="K68">
        <f t="shared" si="3"/>
        <v>3</v>
      </c>
      <c r="L68" s="5">
        <f t="shared" si="4"/>
        <v>46328</v>
      </c>
      <c r="M68" s="5">
        <f t="shared" si="5"/>
        <v>46328</v>
      </c>
      <c r="N68">
        <f t="shared" si="6"/>
        <v>1</v>
      </c>
      <c r="O68" s="10">
        <f t="shared" si="7"/>
        <v>7.09</v>
      </c>
      <c r="P68" s="7">
        <f t="shared" si="8"/>
        <v>7146.72</v>
      </c>
      <c r="Q68" s="9" t="s">
        <v>227</v>
      </c>
      <c r="R68" s="5">
        <f t="shared" si="9"/>
        <v>46331</v>
      </c>
      <c r="S68" s="5">
        <f t="shared" si="10"/>
        <v>46328</v>
      </c>
      <c r="T68" s="7">
        <f t="shared" ca="1" si="11"/>
        <v>0</v>
      </c>
      <c r="U68" t="str">
        <f t="shared" si="12"/>
        <v/>
      </c>
    </row>
    <row r="69" spans="1:21">
      <c r="A69">
        <f t="shared" ref="A69:A132" si="13">IF(B69="","",ROW()-4)</f>
        <v>65</v>
      </c>
      <c r="B69" s="6">
        <v>46325</v>
      </c>
      <c r="C69" t="str">
        <f t="shared" ref="C69:C132" si="14">IF(B69="","",TEXT(B69,"ddd"))</f>
        <v>vie</v>
      </c>
      <c r="D69" s="9" t="s">
        <v>58</v>
      </c>
      <c r="E69" s="9" t="s">
        <v>225</v>
      </c>
      <c r="F69" s="9" t="s">
        <v>3</v>
      </c>
      <c r="G69" s="8">
        <v>1008</v>
      </c>
      <c r="H69" s="7">
        <f t="shared" ref="H69:H132" si="15">IF(B69="","",IF(G69&lt;&gt;"",G69,IFERROR(INDEX(CajasOrigen,MATCH(D69,Origenes,0)),CajasProm)))</f>
        <v>1008</v>
      </c>
      <c r="I69" s="9" t="s">
        <v>226</v>
      </c>
      <c r="J69" s="6"/>
      <c r="K69">
        <f t="shared" ref="K69:K132" si="16">IF(B69="","",IFERROR(INDEX(Lags,MATCH(D69,Origenes,0)),LagBR)+IF(J69&lt;&gt;"",0,AtrasoDias))</f>
        <v>3</v>
      </c>
      <c r="L69" s="5">
        <f t="shared" ref="L69:L132" si="17">IF(B69="","",IF(J69&lt;&gt;"",J69,B69+K69))</f>
        <v>46328</v>
      </c>
      <c r="M69" s="5">
        <f t="shared" ref="M69:M132" si="18">IF(L69="","",L69-WEEKDAY(L69,2)+1)</f>
        <v>46328</v>
      </c>
      <c r="N69">
        <f t="shared" ref="N69:N132" si="19">IF(L69="","",IF(L69&gt;FechaConteo,1,0)*IF(I69="Supuesto",SupPY,IF(I69="Supuesto BR",SupBR,1)))</f>
        <v>1</v>
      </c>
      <c r="O69" s="10">
        <f t="shared" ref="O69:O132" si="20">IF(D69="","",IFERROR(INDEX(CostoOrigen,MATCH(D69,Origenes,0)),0))</f>
        <v>7.09</v>
      </c>
      <c r="P69" s="7">
        <f t="shared" ref="P69:P132" si="21">IF(H69="","",H69*O69)</f>
        <v>7146.72</v>
      </c>
      <c r="Q69" s="9" t="s">
        <v>227</v>
      </c>
      <c r="R69" s="5">
        <f t="shared" ref="R69:R132" si="22">IF(B69="","",IF(J69&lt;&gt;"",J69,B69+IFERROR(INDEX(LagsP90,MATCH(D69,Origenes,0)),K69)))</f>
        <v>46331</v>
      </c>
      <c r="S69" s="5">
        <f t="shared" ref="S69:S132" si="23">IF(R69="","",R69-WEEKDAY(R69,2)+1)</f>
        <v>46328</v>
      </c>
      <c r="T69" s="7">
        <f t="shared" ref="T69:T132" ca="1" si="24">IF(B69="","",IF(AND(B69&lt;=FechaHoy,J69="",I69&lt;&gt;"Supuesto",I69&lt;&gt;"Simulado"),H69,0))</f>
        <v>0</v>
      </c>
      <c r="U69" t="str">
        <f t="shared" ref="U69:U132" si="25">IF(J69="","",IF(J69-B69&lt;=K69+1,1,0))</f>
        <v/>
      </c>
    </row>
    <row r="70" spans="1:21">
      <c r="A70">
        <f t="shared" si="13"/>
        <v>66</v>
      </c>
      <c r="B70" s="6">
        <v>46325</v>
      </c>
      <c r="C70" t="str">
        <f t="shared" si="14"/>
        <v>vie</v>
      </c>
      <c r="D70" s="9" t="s">
        <v>58</v>
      </c>
      <c r="E70" s="9" t="s">
        <v>225</v>
      </c>
      <c r="F70" s="9" t="s">
        <v>3</v>
      </c>
      <c r="G70" s="8">
        <v>1008</v>
      </c>
      <c r="H70" s="7">
        <f t="shared" si="15"/>
        <v>1008</v>
      </c>
      <c r="I70" s="9" t="s">
        <v>226</v>
      </c>
      <c r="J70" s="6"/>
      <c r="K70">
        <f t="shared" si="16"/>
        <v>3</v>
      </c>
      <c r="L70" s="5">
        <f t="shared" si="17"/>
        <v>46328</v>
      </c>
      <c r="M70" s="5">
        <f t="shared" si="18"/>
        <v>46328</v>
      </c>
      <c r="N70">
        <f t="shared" si="19"/>
        <v>1</v>
      </c>
      <c r="O70" s="10">
        <f t="shared" si="20"/>
        <v>7.09</v>
      </c>
      <c r="P70" s="7">
        <f t="shared" si="21"/>
        <v>7146.72</v>
      </c>
      <c r="Q70" s="9" t="s">
        <v>227</v>
      </c>
      <c r="R70" s="5">
        <f t="shared" si="22"/>
        <v>46331</v>
      </c>
      <c r="S70" s="5">
        <f t="shared" si="23"/>
        <v>46328</v>
      </c>
      <c r="T70" s="7">
        <f t="shared" ca="1" si="24"/>
        <v>0</v>
      </c>
      <c r="U70" t="str">
        <f t="shared" si="25"/>
        <v/>
      </c>
    </row>
    <row r="71" spans="1:21">
      <c r="A71">
        <f t="shared" si="13"/>
        <v>67</v>
      </c>
      <c r="B71" s="6">
        <v>46325</v>
      </c>
      <c r="C71" t="str">
        <f t="shared" si="14"/>
        <v>vie</v>
      </c>
      <c r="D71" s="9" t="s">
        <v>58</v>
      </c>
      <c r="E71" s="9" t="s">
        <v>225</v>
      </c>
      <c r="F71" s="9" t="s">
        <v>3</v>
      </c>
      <c r="G71" s="8">
        <v>1008</v>
      </c>
      <c r="H71" s="7">
        <f t="shared" si="15"/>
        <v>1008</v>
      </c>
      <c r="I71" s="9" t="s">
        <v>226</v>
      </c>
      <c r="J71" s="6"/>
      <c r="K71">
        <f t="shared" si="16"/>
        <v>3</v>
      </c>
      <c r="L71" s="5">
        <f t="shared" si="17"/>
        <v>46328</v>
      </c>
      <c r="M71" s="5">
        <f t="shared" si="18"/>
        <v>46328</v>
      </c>
      <c r="N71">
        <f t="shared" si="19"/>
        <v>1</v>
      </c>
      <c r="O71" s="10">
        <f t="shared" si="20"/>
        <v>7.09</v>
      </c>
      <c r="P71" s="7">
        <f t="shared" si="21"/>
        <v>7146.72</v>
      </c>
      <c r="Q71" s="9" t="s">
        <v>227</v>
      </c>
      <c r="R71" s="5">
        <f t="shared" si="22"/>
        <v>46331</v>
      </c>
      <c r="S71" s="5">
        <f t="shared" si="23"/>
        <v>46328</v>
      </c>
      <c r="T71" s="7">
        <f t="shared" ca="1" si="24"/>
        <v>0</v>
      </c>
      <c r="U71" t="str">
        <f t="shared" si="25"/>
        <v/>
      </c>
    </row>
    <row r="72" spans="1:21">
      <c r="A72">
        <f t="shared" si="13"/>
        <v>68</v>
      </c>
      <c r="B72" s="6">
        <v>46332</v>
      </c>
      <c r="C72" t="str">
        <f t="shared" si="14"/>
        <v>vie</v>
      </c>
      <c r="D72" s="9" t="s">
        <v>58</v>
      </c>
      <c r="E72" s="9" t="s">
        <v>225</v>
      </c>
      <c r="F72" s="9" t="s">
        <v>3</v>
      </c>
      <c r="G72" s="8">
        <v>1008</v>
      </c>
      <c r="H72" s="7">
        <f t="shared" si="15"/>
        <v>1008</v>
      </c>
      <c r="I72" s="9" t="s">
        <v>226</v>
      </c>
      <c r="J72" s="6"/>
      <c r="K72">
        <f t="shared" si="16"/>
        <v>3</v>
      </c>
      <c r="L72" s="5">
        <f t="shared" si="17"/>
        <v>46335</v>
      </c>
      <c r="M72" s="5">
        <f t="shared" si="18"/>
        <v>46335</v>
      </c>
      <c r="N72">
        <f t="shared" si="19"/>
        <v>1</v>
      </c>
      <c r="O72" s="10">
        <f t="shared" si="20"/>
        <v>7.09</v>
      </c>
      <c r="P72" s="7">
        <f t="shared" si="21"/>
        <v>7146.72</v>
      </c>
      <c r="Q72" s="9" t="s">
        <v>227</v>
      </c>
      <c r="R72" s="5">
        <f t="shared" si="22"/>
        <v>46338</v>
      </c>
      <c r="S72" s="5">
        <f t="shared" si="23"/>
        <v>46335</v>
      </c>
      <c r="T72" s="7">
        <f t="shared" ca="1" si="24"/>
        <v>0</v>
      </c>
      <c r="U72" t="str">
        <f t="shared" si="25"/>
        <v/>
      </c>
    </row>
    <row r="73" spans="1:21">
      <c r="A73">
        <f t="shared" si="13"/>
        <v>69</v>
      </c>
      <c r="B73" s="6">
        <v>46332</v>
      </c>
      <c r="C73" t="str">
        <f t="shared" si="14"/>
        <v>vie</v>
      </c>
      <c r="D73" s="9" t="s">
        <v>58</v>
      </c>
      <c r="E73" s="9" t="s">
        <v>225</v>
      </c>
      <c r="F73" s="9" t="s">
        <v>3</v>
      </c>
      <c r="G73" s="8">
        <v>1008</v>
      </c>
      <c r="H73" s="7">
        <f t="shared" si="15"/>
        <v>1008</v>
      </c>
      <c r="I73" s="9" t="s">
        <v>226</v>
      </c>
      <c r="J73" s="6"/>
      <c r="K73">
        <f t="shared" si="16"/>
        <v>3</v>
      </c>
      <c r="L73" s="5">
        <f t="shared" si="17"/>
        <v>46335</v>
      </c>
      <c r="M73" s="5">
        <f t="shared" si="18"/>
        <v>46335</v>
      </c>
      <c r="N73">
        <f t="shared" si="19"/>
        <v>1</v>
      </c>
      <c r="O73" s="10">
        <f t="shared" si="20"/>
        <v>7.09</v>
      </c>
      <c r="P73" s="7">
        <f t="shared" si="21"/>
        <v>7146.72</v>
      </c>
      <c r="Q73" s="9" t="s">
        <v>227</v>
      </c>
      <c r="R73" s="5">
        <f t="shared" si="22"/>
        <v>46338</v>
      </c>
      <c r="S73" s="5">
        <f t="shared" si="23"/>
        <v>46335</v>
      </c>
      <c r="T73" s="7">
        <f t="shared" ca="1" si="24"/>
        <v>0</v>
      </c>
      <c r="U73" t="str">
        <f t="shared" si="25"/>
        <v/>
      </c>
    </row>
    <row r="74" spans="1:21">
      <c r="A74">
        <f t="shared" si="13"/>
        <v>70</v>
      </c>
      <c r="B74" s="6">
        <v>46332</v>
      </c>
      <c r="C74" t="str">
        <f t="shared" si="14"/>
        <v>vie</v>
      </c>
      <c r="D74" s="9" t="s">
        <v>58</v>
      </c>
      <c r="E74" s="9" t="s">
        <v>225</v>
      </c>
      <c r="F74" s="9" t="s">
        <v>3</v>
      </c>
      <c r="G74" s="8">
        <v>1008</v>
      </c>
      <c r="H74" s="7">
        <f t="shared" si="15"/>
        <v>1008</v>
      </c>
      <c r="I74" s="9" t="s">
        <v>226</v>
      </c>
      <c r="J74" s="6"/>
      <c r="K74">
        <f t="shared" si="16"/>
        <v>3</v>
      </c>
      <c r="L74" s="5">
        <f t="shared" si="17"/>
        <v>46335</v>
      </c>
      <c r="M74" s="5">
        <f t="shared" si="18"/>
        <v>46335</v>
      </c>
      <c r="N74">
        <f t="shared" si="19"/>
        <v>1</v>
      </c>
      <c r="O74" s="10">
        <f t="shared" si="20"/>
        <v>7.09</v>
      </c>
      <c r="P74" s="7">
        <f t="shared" si="21"/>
        <v>7146.72</v>
      </c>
      <c r="Q74" s="9" t="s">
        <v>227</v>
      </c>
      <c r="R74" s="5">
        <f t="shared" si="22"/>
        <v>46338</v>
      </c>
      <c r="S74" s="5">
        <f t="shared" si="23"/>
        <v>46335</v>
      </c>
      <c r="T74" s="7">
        <f t="shared" ca="1" si="24"/>
        <v>0</v>
      </c>
      <c r="U74" t="str">
        <f t="shared" si="25"/>
        <v/>
      </c>
    </row>
    <row r="75" spans="1:21">
      <c r="A75">
        <f t="shared" si="13"/>
        <v>71</v>
      </c>
      <c r="B75" s="6">
        <v>46332</v>
      </c>
      <c r="C75" t="str">
        <f t="shared" si="14"/>
        <v>vie</v>
      </c>
      <c r="D75" s="9" t="s">
        <v>58</v>
      </c>
      <c r="E75" s="9" t="s">
        <v>225</v>
      </c>
      <c r="F75" s="9" t="s">
        <v>3</v>
      </c>
      <c r="G75" s="8">
        <v>1008</v>
      </c>
      <c r="H75" s="7">
        <f t="shared" si="15"/>
        <v>1008</v>
      </c>
      <c r="I75" s="9" t="s">
        <v>226</v>
      </c>
      <c r="J75" s="6"/>
      <c r="K75">
        <f t="shared" si="16"/>
        <v>3</v>
      </c>
      <c r="L75" s="5">
        <f t="shared" si="17"/>
        <v>46335</v>
      </c>
      <c r="M75" s="5">
        <f t="shared" si="18"/>
        <v>46335</v>
      </c>
      <c r="N75">
        <f t="shared" si="19"/>
        <v>1</v>
      </c>
      <c r="O75" s="10">
        <f t="shared" si="20"/>
        <v>7.09</v>
      </c>
      <c r="P75" s="7">
        <f t="shared" si="21"/>
        <v>7146.72</v>
      </c>
      <c r="Q75" s="9" t="s">
        <v>227</v>
      </c>
      <c r="R75" s="5">
        <f t="shared" si="22"/>
        <v>46338</v>
      </c>
      <c r="S75" s="5">
        <f t="shared" si="23"/>
        <v>46335</v>
      </c>
      <c r="T75" s="7">
        <f t="shared" ca="1" si="24"/>
        <v>0</v>
      </c>
      <c r="U75" t="str">
        <f t="shared" si="25"/>
        <v/>
      </c>
    </row>
    <row r="76" spans="1:21">
      <c r="A76">
        <f t="shared" si="13"/>
        <v>72</v>
      </c>
      <c r="B76" s="6">
        <v>46332</v>
      </c>
      <c r="C76" t="str">
        <f t="shared" si="14"/>
        <v>vie</v>
      </c>
      <c r="D76" s="9" t="s">
        <v>58</v>
      </c>
      <c r="E76" s="9" t="s">
        <v>225</v>
      </c>
      <c r="F76" s="9" t="s">
        <v>3</v>
      </c>
      <c r="G76" s="8">
        <v>1008</v>
      </c>
      <c r="H76" s="7">
        <f t="shared" si="15"/>
        <v>1008</v>
      </c>
      <c r="I76" s="9" t="s">
        <v>226</v>
      </c>
      <c r="J76" s="6"/>
      <c r="K76">
        <f t="shared" si="16"/>
        <v>3</v>
      </c>
      <c r="L76" s="5">
        <f t="shared" si="17"/>
        <v>46335</v>
      </c>
      <c r="M76" s="5">
        <f t="shared" si="18"/>
        <v>46335</v>
      </c>
      <c r="N76">
        <f t="shared" si="19"/>
        <v>1</v>
      </c>
      <c r="O76" s="10">
        <f t="shared" si="20"/>
        <v>7.09</v>
      </c>
      <c r="P76" s="7">
        <f t="shared" si="21"/>
        <v>7146.72</v>
      </c>
      <c r="Q76" s="9" t="s">
        <v>227</v>
      </c>
      <c r="R76" s="5">
        <f t="shared" si="22"/>
        <v>46338</v>
      </c>
      <c r="S76" s="5">
        <f t="shared" si="23"/>
        <v>46335</v>
      </c>
      <c r="T76" s="7">
        <f t="shared" ca="1" si="24"/>
        <v>0</v>
      </c>
      <c r="U76" t="str">
        <f t="shared" si="25"/>
        <v/>
      </c>
    </row>
    <row r="77" spans="1:21">
      <c r="A77">
        <f t="shared" si="13"/>
        <v>73</v>
      </c>
      <c r="B77" s="6">
        <v>46332</v>
      </c>
      <c r="C77" t="str">
        <f t="shared" si="14"/>
        <v>vie</v>
      </c>
      <c r="D77" s="9" t="s">
        <v>58</v>
      </c>
      <c r="E77" s="9" t="s">
        <v>225</v>
      </c>
      <c r="F77" s="9" t="s">
        <v>3</v>
      </c>
      <c r="G77" s="8">
        <v>1008</v>
      </c>
      <c r="H77" s="7">
        <f t="shared" si="15"/>
        <v>1008</v>
      </c>
      <c r="I77" s="9" t="s">
        <v>226</v>
      </c>
      <c r="J77" s="6"/>
      <c r="K77">
        <f t="shared" si="16"/>
        <v>3</v>
      </c>
      <c r="L77" s="5">
        <f t="shared" si="17"/>
        <v>46335</v>
      </c>
      <c r="M77" s="5">
        <f t="shared" si="18"/>
        <v>46335</v>
      </c>
      <c r="N77">
        <f t="shared" si="19"/>
        <v>1</v>
      </c>
      <c r="O77" s="10">
        <f t="shared" si="20"/>
        <v>7.09</v>
      </c>
      <c r="P77" s="7">
        <f t="shared" si="21"/>
        <v>7146.72</v>
      </c>
      <c r="Q77" s="9" t="s">
        <v>227</v>
      </c>
      <c r="R77" s="5">
        <f t="shared" si="22"/>
        <v>46338</v>
      </c>
      <c r="S77" s="5">
        <f t="shared" si="23"/>
        <v>46335</v>
      </c>
      <c r="T77" s="7">
        <f t="shared" ca="1" si="24"/>
        <v>0</v>
      </c>
      <c r="U77" t="str">
        <f t="shared" si="25"/>
        <v/>
      </c>
    </row>
    <row r="78" spans="1:21">
      <c r="A78">
        <f t="shared" si="13"/>
        <v>74</v>
      </c>
      <c r="B78" s="6">
        <v>46332</v>
      </c>
      <c r="C78" t="str">
        <f t="shared" si="14"/>
        <v>vie</v>
      </c>
      <c r="D78" s="9" t="s">
        <v>58</v>
      </c>
      <c r="E78" s="9" t="s">
        <v>225</v>
      </c>
      <c r="F78" s="9" t="s">
        <v>3</v>
      </c>
      <c r="G78" s="8">
        <v>1008</v>
      </c>
      <c r="H78" s="7">
        <f t="shared" si="15"/>
        <v>1008</v>
      </c>
      <c r="I78" s="9" t="s">
        <v>226</v>
      </c>
      <c r="J78" s="6"/>
      <c r="K78">
        <f t="shared" si="16"/>
        <v>3</v>
      </c>
      <c r="L78" s="5">
        <f t="shared" si="17"/>
        <v>46335</v>
      </c>
      <c r="M78" s="5">
        <f t="shared" si="18"/>
        <v>46335</v>
      </c>
      <c r="N78">
        <f t="shared" si="19"/>
        <v>1</v>
      </c>
      <c r="O78" s="10">
        <f t="shared" si="20"/>
        <v>7.09</v>
      </c>
      <c r="P78" s="7">
        <f t="shared" si="21"/>
        <v>7146.72</v>
      </c>
      <c r="Q78" s="9" t="s">
        <v>227</v>
      </c>
      <c r="R78" s="5">
        <f t="shared" si="22"/>
        <v>46338</v>
      </c>
      <c r="S78" s="5">
        <f t="shared" si="23"/>
        <v>46335</v>
      </c>
      <c r="T78" s="7">
        <f t="shared" ca="1" si="24"/>
        <v>0</v>
      </c>
      <c r="U78" t="str">
        <f t="shared" si="25"/>
        <v/>
      </c>
    </row>
    <row r="79" spans="1:21">
      <c r="A79">
        <f t="shared" si="13"/>
        <v>75</v>
      </c>
      <c r="B79" s="6">
        <v>46332</v>
      </c>
      <c r="C79" t="str">
        <f t="shared" si="14"/>
        <v>vie</v>
      </c>
      <c r="D79" s="9" t="s">
        <v>58</v>
      </c>
      <c r="E79" s="9" t="s">
        <v>225</v>
      </c>
      <c r="F79" s="9" t="s">
        <v>3</v>
      </c>
      <c r="G79" s="8">
        <v>1008</v>
      </c>
      <c r="H79" s="7">
        <f t="shared" si="15"/>
        <v>1008</v>
      </c>
      <c r="I79" s="9" t="s">
        <v>226</v>
      </c>
      <c r="J79" s="6"/>
      <c r="K79">
        <f t="shared" si="16"/>
        <v>3</v>
      </c>
      <c r="L79" s="5">
        <f t="shared" si="17"/>
        <v>46335</v>
      </c>
      <c r="M79" s="5">
        <f t="shared" si="18"/>
        <v>46335</v>
      </c>
      <c r="N79">
        <f t="shared" si="19"/>
        <v>1</v>
      </c>
      <c r="O79" s="10">
        <f t="shared" si="20"/>
        <v>7.09</v>
      </c>
      <c r="P79" s="7">
        <f t="shared" si="21"/>
        <v>7146.72</v>
      </c>
      <c r="Q79" s="9" t="s">
        <v>227</v>
      </c>
      <c r="R79" s="5">
        <f t="shared" si="22"/>
        <v>46338</v>
      </c>
      <c r="S79" s="5">
        <f t="shared" si="23"/>
        <v>46335</v>
      </c>
      <c r="T79" s="7">
        <f t="shared" ca="1" si="24"/>
        <v>0</v>
      </c>
      <c r="U79" t="str">
        <f t="shared" si="25"/>
        <v/>
      </c>
    </row>
    <row r="80" spans="1:21">
      <c r="A80">
        <f t="shared" si="13"/>
        <v>76</v>
      </c>
      <c r="B80" s="6">
        <v>46339</v>
      </c>
      <c r="C80" t="str">
        <f t="shared" si="14"/>
        <v>vie</v>
      </c>
      <c r="D80" s="9" t="s">
        <v>58</v>
      </c>
      <c r="E80" s="9" t="s">
        <v>225</v>
      </c>
      <c r="F80" s="9" t="s">
        <v>3</v>
      </c>
      <c r="G80" s="8">
        <v>1008</v>
      </c>
      <c r="H80" s="7">
        <f t="shared" si="15"/>
        <v>1008</v>
      </c>
      <c r="I80" s="9" t="s">
        <v>226</v>
      </c>
      <c r="J80" s="6"/>
      <c r="K80">
        <f t="shared" si="16"/>
        <v>3</v>
      </c>
      <c r="L80" s="5">
        <f t="shared" si="17"/>
        <v>46342</v>
      </c>
      <c r="M80" s="5">
        <f t="shared" si="18"/>
        <v>46342</v>
      </c>
      <c r="N80">
        <f t="shared" si="19"/>
        <v>1</v>
      </c>
      <c r="O80" s="10">
        <f t="shared" si="20"/>
        <v>7.09</v>
      </c>
      <c r="P80" s="7">
        <f t="shared" si="21"/>
        <v>7146.72</v>
      </c>
      <c r="Q80" s="9" t="s">
        <v>227</v>
      </c>
      <c r="R80" s="5">
        <f t="shared" si="22"/>
        <v>46345</v>
      </c>
      <c r="S80" s="5">
        <f t="shared" si="23"/>
        <v>46342</v>
      </c>
      <c r="T80" s="7">
        <f t="shared" ca="1" si="24"/>
        <v>0</v>
      </c>
      <c r="U80" t="str">
        <f t="shared" si="25"/>
        <v/>
      </c>
    </row>
    <row r="81" spans="1:21">
      <c r="A81">
        <f t="shared" si="13"/>
        <v>77</v>
      </c>
      <c r="B81" s="6">
        <v>46339</v>
      </c>
      <c r="C81" t="str">
        <f t="shared" si="14"/>
        <v>vie</v>
      </c>
      <c r="D81" s="9" t="s">
        <v>58</v>
      </c>
      <c r="E81" s="9" t="s">
        <v>225</v>
      </c>
      <c r="F81" s="9" t="s">
        <v>3</v>
      </c>
      <c r="G81" s="8">
        <v>1008</v>
      </c>
      <c r="H81" s="7">
        <f t="shared" si="15"/>
        <v>1008</v>
      </c>
      <c r="I81" s="9" t="s">
        <v>226</v>
      </c>
      <c r="J81" s="6"/>
      <c r="K81">
        <f t="shared" si="16"/>
        <v>3</v>
      </c>
      <c r="L81" s="5">
        <f t="shared" si="17"/>
        <v>46342</v>
      </c>
      <c r="M81" s="5">
        <f t="shared" si="18"/>
        <v>46342</v>
      </c>
      <c r="N81">
        <f t="shared" si="19"/>
        <v>1</v>
      </c>
      <c r="O81" s="10">
        <f t="shared" si="20"/>
        <v>7.09</v>
      </c>
      <c r="P81" s="7">
        <f t="shared" si="21"/>
        <v>7146.72</v>
      </c>
      <c r="Q81" s="9" t="s">
        <v>227</v>
      </c>
      <c r="R81" s="5">
        <f t="shared" si="22"/>
        <v>46345</v>
      </c>
      <c r="S81" s="5">
        <f t="shared" si="23"/>
        <v>46342</v>
      </c>
      <c r="T81" s="7">
        <f t="shared" ca="1" si="24"/>
        <v>0</v>
      </c>
      <c r="U81" t="str">
        <f t="shared" si="25"/>
        <v/>
      </c>
    </row>
    <row r="82" spans="1:21">
      <c r="A82">
        <f t="shared" si="13"/>
        <v>78</v>
      </c>
      <c r="B82" s="6">
        <v>46339</v>
      </c>
      <c r="C82" t="str">
        <f t="shared" si="14"/>
        <v>vie</v>
      </c>
      <c r="D82" s="9" t="s">
        <v>58</v>
      </c>
      <c r="E82" s="9" t="s">
        <v>225</v>
      </c>
      <c r="F82" s="9" t="s">
        <v>3</v>
      </c>
      <c r="G82" s="8">
        <v>1008</v>
      </c>
      <c r="H82" s="7">
        <f t="shared" si="15"/>
        <v>1008</v>
      </c>
      <c r="I82" s="9" t="s">
        <v>226</v>
      </c>
      <c r="J82" s="6"/>
      <c r="K82">
        <f t="shared" si="16"/>
        <v>3</v>
      </c>
      <c r="L82" s="5">
        <f t="shared" si="17"/>
        <v>46342</v>
      </c>
      <c r="M82" s="5">
        <f t="shared" si="18"/>
        <v>46342</v>
      </c>
      <c r="N82">
        <f t="shared" si="19"/>
        <v>1</v>
      </c>
      <c r="O82" s="10">
        <f t="shared" si="20"/>
        <v>7.09</v>
      </c>
      <c r="P82" s="7">
        <f t="shared" si="21"/>
        <v>7146.72</v>
      </c>
      <c r="Q82" s="9" t="s">
        <v>227</v>
      </c>
      <c r="R82" s="5">
        <f t="shared" si="22"/>
        <v>46345</v>
      </c>
      <c r="S82" s="5">
        <f t="shared" si="23"/>
        <v>46342</v>
      </c>
      <c r="T82" s="7">
        <f t="shared" ca="1" si="24"/>
        <v>0</v>
      </c>
      <c r="U82" t="str">
        <f t="shared" si="25"/>
        <v/>
      </c>
    </row>
    <row r="83" spans="1:21">
      <c r="A83">
        <f t="shared" si="13"/>
        <v>79</v>
      </c>
      <c r="B83" s="6">
        <v>46339</v>
      </c>
      <c r="C83" t="str">
        <f t="shared" si="14"/>
        <v>vie</v>
      </c>
      <c r="D83" s="9" t="s">
        <v>58</v>
      </c>
      <c r="E83" s="9" t="s">
        <v>225</v>
      </c>
      <c r="F83" s="9" t="s">
        <v>3</v>
      </c>
      <c r="G83" s="8">
        <v>1008</v>
      </c>
      <c r="H83" s="7">
        <f t="shared" si="15"/>
        <v>1008</v>
      </c>
      <c r="I83" s="9" t="s">
        <v>226</v>
      </c>
      <c r="J83" s="6"/>
      <c r="K83">
        <f t="shared" si="16"/>
        <v>3</v>
      </c>
      <c r="L83" s="5">
        <f t="shared" si="17"/>
        <v>46342</v>
      </c>
      <c r="M83" s="5">
        <f t="shared" si="18"/>
        <v>46342</v>
      </c>
      <c r="N83">
        <f t="shared" si="19"/>
        <v>1</v>
      </c>
      <c r="O83" s="10">
        <f t="shared" si="20"/>
        <v>7.09</v>
      </c>
      <c r="P83" s="7">
        <f t="shared" si="21"/>
        <v>7146.72</v>
      </c>
      <c r="Q83" s="9" t="s">
        <v>227</v>
      </c>
      <c r="R83" s="5">
        <f t="shared" si="22"/>
        <v>46345</v>
      </c>
      <c r="S83" s="5">
        <f t="shared" si="23"/>
        <v>46342</v>
      </c>
      <c r="T83" s="7">
        <f t="shared" ca="1" si="24"/>
        <v>0</v>
      </c>
      <c r="U83" t="str">
        <f t="shared" si="25"/>
        <v/>
      </c>
    </row>
    <row r="84" spans="1:21">
      <c r="A84">
        <f t="shared" si="13"/>
        <v>80</v>
      </c>
      <c r="B84" s="6">
        <v>46339</v>
      </c>
      <c r="C84" t="str">
        <f t="shared" si="14"/>
        <v>vie</v>
      </c>
      <c r="D84" s="9" t="s">
        <v>58</v>
      </c>
      <c r="E84" s="9" t="s">
        <v>225</v>
      </c>
      <c r="F84" s="9" t="s">
        <v>3</v>
      </c>
      <c r="G84" s="8">
        <v>1008</v>
      </c>
      <c r="H84" s="7">
        <f t="shared" si="15"/>
        <v>1008</v>
      </c>
      <c r="I84" s="9" t="s">
        <v>226</v>
      </c>
      <c r="J84" s="6"/>
      <c r="K84">
        <f t="shared" si="16"/>
        <v>3</v>
      </c>
      <c r="L84" s="5">
        <f t="shared" si="17"/>
        <v>46342</v>
      </c>
      <c r="M84" s="5">
        <f t="shared" si="18"/>
        <v>46342</v>
      </c>
      <c r="N84">
        <f t="shared" si="19"/>
        <v>1</v>
      </c>
      <c r="O84" s="10">
        <f t="shared" si="20"/>
        <v>7.09</v>
      </c>
      <c r="P84" s="7">
        <f t="shared" si="21"/>
        <v>7146.72</v>
      </c>
      <c r="Q84" s="9" t="s">
        <v>227</v>
      </c>
      <c r="R84" s="5">
        <f t="shared" si="22"/>
        <v>46345</v>
      </c>
      <c r="S84" s="5">
        <f t="shared" si="23"/>
        <v>46342</v>
      </c>
      <c r="T84" s="7">
        <f t="shared" ca="1" si="24"/>
        <v>0</v>
      </c>
      <c r="U84" t="str">
        <f t="shared" si="25"/>
        <v/>
      </c>
    </row>
    <row r="85" spans="1:21">
      <c r="A85">
        <f t="shared" si="13"/>
        <v>81</v>
      </c>
      <c r="B85" s="6">
        <v>46339</v>
      </c>
      <c r="C85" t="str">
        <f t="shared" si="14"/>
        <v>vie</v>
      </c>
      <c r="D85" s="9" t="s">
        <v>58</v>
      </c>
      <c r="E85" s="9" t="s">
        <v>225</v>
      </c>
      <c r="F85" s="9" t="s">
        <v>3</v>
      </c>
      <c r="G85" s="8">
        <v>1008</v>
      </c>
      <c r="H85" s="7">
        <f t="shared" si="15"/>
        <v>1008</v>
      </c>
      <c r="I85" s="9" t="s">
        <v>226</v>
      </c>
      <c r="J85" s="6"/>
      <c r="K85">
        <f t="shared" si="16"/>
        <v>3</v>
      </c>
      <c r="L85" s="5">
        <f t="shared" si="17"/>
        <v>46342</v>
      </c>
      <c r="M85" s="5">
        <f t="shared" si="18"/>
        <v>46342</v>
      </c>
      <c r="N85">
        <f t="shared" si="19"/>
        <v>1</v>
      </c>
      <c r="O85" s="10">
        <f t="shared" si="20"/>
        <v>7.09</v>
      </c>
      <c r="P85" s="7">
        <f t="shared" si="21"/>
        <v>7146.72</v>
      </c>
      <c r="Q85" s="9" t="s">
        <v>227</v>
      </c>
      <c r="R85" s="5">
        <f t="shared" si="22"/>
        <v>46345</v>
      </c>
      <c r="S85" s="5">
        <f t="shared" si="23"/>
        <v>46342</v>
      </c>
      <c r="T85" s="7">
        <f t="shared" ca="1" si="24"/>
        <v>0</v>
      </c>
      <c r="U85" t="str">
        <f t="shared" si="25"/>
        <v/>
      </c>
    </row>
    <row r="86" spans="1:21">
      <c r="A86">
        <f t="shared" si="13"/>
        <v>82</v>
      </c>
      <c r="B86" s="6">
        <v>46339</v>
      </c>
      <c r="C86" t="str">
        <f t="shared" si="14"/>
        <v>vie</v>
      </c>
      <c r="D86" s="9" t="s">
        <v>58</v>
      </c>
      <c r="E86" s="9" t="s">
        <v>225</v>
      </c>
      <c r="F86" s="9" t="s">
        <v>3</v>
      </c>
      <c r="G86" s="8">
        <v>1008</v>
      </c>
      <c r="H86" s="7">
        <f t="shared" si="15"/>
        <v>1008</v>
      </c>
      <c r="I86" s="9" t="s">
        <v>226</v>
      </c>
      <c r="J86" s="6"/>
      <c r="K86">
        <f t="shared" si="16"/>
        <v>3</v>
      </c>
      <c r="L86" s="5">
        <f t="shared" si="17"/>
        <v>46342</v>
      </c>
      <c r="M86" s="5">
        <f t="shared" si="18"/>
        <v>46342</v>
      </c>
      <c r="N86">
        <f t="shared" si="19"/>
        <v>1</v>
      </c>
      <c r="O86" s="10">
        <f t="shared" si="20"/>
        <v>7.09</v>
      </c>
      <c r="P86" s="7">
        <f t="shared" si="21"/>
        <v>7146.72</v>
      </c>
      <c r="Q86" s="9" t="s">
        <v>227</v>
      </c>
      <c r="R86" s="5">
        <f t="shared" si="22"/>
        <v>46345</v>
      </c>
      <c r="S86" s="5">
        <f t="shared" si="23"/>
        <v>46342</v>
      </c>
      <c r="T86" s="7">
        <f t="shared" ca="1" si="24"/>
        <v>0</v>
      </c>
      <c r="U86" t="str">
        <f t="shared" si="25"/>
        <v/>
      </c>
    </row>
    <row r="87" spans="1:21">
      <c r="A87">
        <f t="shared" si="13"/>
        <v>83</v>
      </c>
      <c r="B87" s="6">
        <v>46339</v>
      </c>
      <c r="C87" t="str">
        <f t="shared" si="14"/>
        <v>vie</v>
      </c>
      <c r="D87" s="9" t="s">
        <v>58</v>
      </c>
      <c r="E87" s="9" t="s">
        <v>225</v>
      </c>
      <c r="F87" s="9" t="s">
        <v>3</v>
      </c>
      <c r="G87" s="8">
        <v>1008</v>
      </c>
      <c r="H87" s="7">
        <f t="shared" si="15"/>
        <v>1008</v>
      </c>
      <c r="I87" s="9" t="s">
        <v>226</v>
      </c>
      <c r="J87" s="6"/>
      <c r="K87">
        <f t="shared" si="16"/>
        <v>3</v>
      </c>
      <c r="L87" s="5">
        <f t="shared" si="17"/>
        <v>46342</v>
      </c>
      <c r="M87" s="5">
        <f t="shared" si="18"/>
        <v>46342</v>
      </c>
      <c r="N87">
        <f t="shared" si="19"/>
        <v>1</v>
      </c>
      <c r="O87" s="10">
        <f t="shared" si="20"/>
        <v>7.09</v>
      </c>
      <c r="P87" s="7">
        <f t="shared" si="21"/>
        <v>7146.72</v>
      </c>
      <c r="Q87" s="9" t="s">
        <v>227</v>
      </c>
      <c r="R87" s="5">
        <f t="shared" si="22"/>
        <v>46345</v>
      </c>
      <c r="S87" s="5">
        <f t="shared" si="23"/>
        <v>46342</v>
      </c>
      <c r="T87" s="7">
        <f t="shared" ca="1" si="24"/>
        <v>0</v>
      </c>
      <c r="U87" t="str">
        <f t="shared" si="25"/>
        <v/>
      </c>
    </row>
    <row r="88" spans="1:21">
      <c r="A88">
        <f t="shared" si="13"/>
        <v>84</v>
      </c>
      <c r="B88" s="6">
        <v>46346</v>
      </c>
      <c r="C88" t="str">
        <f t="shared" si="14"/>
        <v>vie</v>
      </c>
      <c r="D88" s="9" t="s">
        <v>58</v>
      </c>
      <c r="E88" s="9" t="s">
        <v>225</v>
      </c>
      <c r="F88" s="9" t="s">
        <v>3</v>
      </c>
      <c r="G88" s="8">
        <v>1008</v>
      </c>
      <c r="H88" s="7">
        <f t="shared" si="15"/>
        <v>1008</v>
      </c>
      <c r="I88" s="9" t="s">
        <v>226</v>
      </c>
      <c r="J88" s="6"/>
      <c r="K88">
        <f t="shared" si="16"/>
        <v>3</v>
      </c>
      <c r="L88" s="5">
        <f t="shared" si="17"/>
        <v>46349</v>
      </c>
      <c r="M88" s="5">
        <f t="shared" si="18"/>
        <v>46349</v>
      </c>
      <c r="N88">
        <f t="shared" si="19"/>
        <v>1</v>
      </c>
      <c r="O88" s="10">
        <f t="shared" si="20"/>
        <v>7.09</v>
      </c>
      <c r="P88" s="7">
        <f t="shared" si="21"/>
        <v>7146.72</v>
      </c>
      <c r="Q88" s="9" t="s">
        <v>227</v>
      </c>
      <c r="R88" s="5">
        <f t="shared" si="22"/>
        <v>46352</v>
      </c>
      <c r="S88" s="5">
        <f t="shared" si="23"/>
        <v>46349</v>
      </c>
      <c r="T88" s="7">
        <f t="shared" ca="1" si="24"/>
        <v>0</v>
      </c>
      <c r="U88" t="str">
        <f t="shared" si="25"/>
        <v/>
      </c>
    </row>
    <row r="89" spans="1:21">
      <c r="A89">
        <f t="shared" si="13"/>
        <v>85</v>
      </c>
      <c r="B89" s="6">
        <v>46346</v>
      </c>
      <c r="C89" t="str">
        <f t="shared" si="14"/>
        <v>vie</v>
      </c>
      <c r="D89" s="9" t="s">
        <v>58</v>
      </c>
      <c r="E89" s="9" t="s">
        <v>225</v>
      </c>
      <c r="F89" s="9" t="s">
        <v>3</v>
      </c>
      <c r="G89" s="8">
        <v>1008</v>
      </c>
      <c r="H89" s="7">
        <f t="shared" si="15"/>
        <v>1008</v>
      </c>
      <c r="I89" s="9" t="s">
        <v>226</v>
      </c>
      <c r="J89" s="6"/>
      <c r="K89">
        <f t="shared" si="16"/>
        <v>3</v>
      </c>
      <c r="L89" s="5">
        <f t="shared" si="17"/>
        <v>46349</v>
      </c>
      <c r="M89" s="5">
        <f t="shared" si="18"/>
        <v>46349</v>
      </c>
      <c r="N89">
        <f t="shared" si="19"/>
        <v>1</v>
      </c>
      <c r="O89" s="10">
        <f t="shared" si="20"/>
        <v>7.09</v>
      </c>
      <c r="P89" s="7">
        <f t="shared" si="21"/>
        <v>7146.72</v>
      </c>
      <c r="Q89" s="9" t="s">
        <v>227</v>
      </c>
      <c r="R89" s="5">
        <f t="shared" si="22"/>
        <v>46352</v>
      </c>
      <c r="S89" s="5">
        <f t="shared" si="23"/>
        <v>46349</v>
      </c>
      <c r="T89" s="7">
        <f t="shared" ca="1" si="24"/>
        <v>0</v>
      </c>
      <c r="U89" t="str">
        <f t="shared" si="25"/>
        <v/>
      </c>
    </row>
    <row r="90" spans="1:21">
      <c r="A90">
        <f t="shared" si="13"/>
        <v>86</v>
      </c>
      <c r="B90" s="6">
        <v>46346</v>
      </c>
      <c r="C90" t="str">
        <f t="shared" si="14"/>
        <v>vie</v>
      </c>
      <c r="D90" s="9" t="s">
        <v>58</v>
      </c>
      <c r="E90" s="9" t="s">
        <v>225</v>
      </c>
      <c r="F90" s="9" t="s">
        <v>3</v>
      </c>
      <c r="G90" s="8">
        <v>1008</v>
      </c>
      <c r="H90" s="7">
        <f t="shared" si="15"/>
        <v>1008</v>
      </c>
      <c r="I90" s="9" t="s">
        <v>226</v>
      </c>
      <c r="J90" s="6"/>
      <c r="K90">
        <f t="shared" si="16"/>
        <v>3</v>
      </c>
      <c r="L90" s="5">
        <f t="shared" si="17"/>
        <v>46349</v>
      </c>
      <c r="M90" s="5">
        <f t="shared" si="18"/>
        <v>46349</v>
      </c>
      <c r="N90">
        <f t="shared" si="19"/>
        <v>1</v>
      </c>
      <c r="O90" s="10">
        <f t="shared" si="20"/>
        <v>7.09</v>
      </c>
      <c r="P90" s="7">
        <f t="shared" si="21"/>
        <v>7146.72</v>
      </c>
      <c r="Q90" s="9" t="s">
        <v>227</v>
      </c>
      <c r="R90" s="5">
        <f t="shared" si="22"/>
        <v>46352</v>
      </c>
      <c r="S90" s="5">
        <f t="shared" si="23"/>
        <v>46349</v>
      </c>
      <c r="T90" s="7">
        <f t="shared" ca="1" si="24"/>
        <v>0</v>
      </c>
      <c r="U90" t="str">
        <f t="shared" si="25"/>
        <v/>
      </c>
    </row>
    <row r="91" spans="1:21">
      <c r="A91">
        <f t="shared" si="13"/>
        <v>87</v>
      </c>
      <c r="B91" s="6">
        <v>46346</v>
      </c>
      <c r="C91" t="str">
        <f t="shared" si="14"/>
        <v>vie</v>
      </c>
      <c r="D91" s="9" t="s">
        <v>58</v>
      </c>
      <c r="E91" s="9" t="s">
        <v>225</v>
      </c>
      <c r="F91" s="9" t="s">
        <v>3</v>
      </c>
      <c r="G91" s="8">
        <v>1008</v>
      </c>
      <c r="H91" s="7">
        <f t="shared" si="15"/>
        <v>1008</v>
      </c>
      <c r="I91" s="9" t="s">
        <v>226</v>
      </c>
      <c r="J91" s="6"/>
      <c r="K91">
        <f t="shared" si="16"/>
        <v>3</v>
      </c>
      <c r="L91" s="5">
        <f t="shared" si="17"/>
        <v>46349</v>
      </c>
      <c r="M91" s="5">
        <f t="shared" si="18"/>
        <v>46349</v>
      </c>
      <c r="N91">
        <f t="shared" si="19"/>
        <v>1</v>
      </c>
      <c r="O91" s="10">
        <f t="shared" si="20"/>
        <v>7.09</v>
      </c>
      <c r="P91" s="7">
        <f t="shared" si="21"/>
        <v>7146.72</v>
      </c>
      <c r="Q91" s="9" t="s">
        <v>227</v>
      </c>
      <c r="R91" s="5">
        <f t="shared" si="22"/>
        <v>46352</v>
      </c>
      <c r="S91" s="5">
        <f t="shared" si="23"/>
        <v>46349</v>
      </c>
      <c r="T91" s="7">
        <f t="shared" ca="1" si="24"/>
        <v>0</v>
      </c>
      <c r="U91" t="str">
        <f t="shared" si="25"/>
        <v/>
      </c>
    </row>
    <row r="92" spans="1:21">
      <c r="A92">
        <f t="shared" si="13"/>
        <v>88</v>
      </c>
      <c r="B92" s="6">
        <v>46346</v>
      </c>
      <c r="C92" t="str">
        <f t="shared" si="14"/>
        <v>vie</v>
      </c>
      <c r="D92" s="9" t="s">
        <v>58</v>
      </c>
      <c r="E92" s="9" t="s">
        <v>225</v>
      </c>
      <c r="F92" s="9" t="s">
        <v>3</v>
      </c>
      <c r="G92" s="8">
        <v>1008</v>
      </c>
      <c r="H92" s="7">
        <f t="shared" si="15"/>
        <v>1008</v>
      </c>
      <c r="I92" s="9" t="s">
        <v>226</v>
      </c>
      <c r="J92" s="6"/>
      <c r="K92">
        <f t="shared" si="16"/>
        <v>3</v>
      </c>
      <c r="L92" s="5">
        <f t="shared" si="17"/>
        <v>46349</v>
      </c>
      <c r="M92" s="5">
        <f t="shared" si="18"/>
        <v>46349</v>
      </c>
      <c r="N92">
        <f t="shared" si="19"/>
        <v>1</v>
      </c>
      <c r="O92" s="10">
        <f t="shared" si="20"/>
        <v>7.09</v>
      </c>
      <c r="P92" s="7">
        <f t="shared" si="21"/>
        <v>7146.72</v>
      </c>
      <c r="Q92" s="9" t="s">
        <v>227</v>
      </c>
      <c r="R92" s="5">
        <f t="shared" si="22"/>
        <v>46352</v>
      </c>
      <c r="S92" s="5">
        <f t="shared" si="23"/>
        <v>46349</v>
      </c>
      <c r="T92" s="7">
        <f t="shared" ca="1" si="24"/>
        <v>0</v>
      </c>
      <c r="U92" t="str">
        <f t="shared" si="25"/>
        <v/>
      </c>
    </row>
    <row r="93" spans="1:21">
      <c r="A93">
        <f t="shared" si="13"/>
        <v>89</v>
      </c>
      <c r="B93" s="6">
        <v>46346</v>
      </c>
      <c r="C93" t="str">
        <f t="shared" si="14"/>
        <v>vie</v>
      </c>
      <c r="D93" s="9" t="s">
        <v>58</v>
      </c>
      <c r="E93" s="9" t="s">
        <v>225</v>
      </c>
      <c r="F93" s="9" t="s">
        <v>3</v>
      </c>
      <c r="G93" s="8">
        <v>1008</v>
      </c>
      <c r="H93" s="7">
        <f t="shared" si="15"/>
        <v>1008</v>
      </c>
      <c r="I93" s="9" t="s">
        <v>226</v>
      </c>
      <c r="J93" s="6"/>
      <c r="K93">
        <f t="shared" si="16"/>
        <v>3</v>
      </c>
      <c r="L93" s="5">
        <f t="shared" si="17"/>
        <v>46349</v>
      </c>
      <c r="M93" s="5">
        <f t="shared" si="18"/>
        <v>46349</v>
      </c>
      <c r="N93">
        <f t="shared" si="19"/>
        <v>1</v>
      </c>
      <c r="O93" s="10">
        <f t="shared" si="20"/>
        <v>7.09</v>
      </c>
      <c r="P93" s="7">
        <f t="shared" si="21"/>
        <v>7146.72</v>
      </c>
      <c r="Q93" s="9" t="s">
        <v>227</v>
      </c>
      <c r="R93" s="5">
        <f t="shared" si="22"/>
        <v>46352</v>
      </c>
      <c r="S93" s="5">
        <f t="shared" si="23"/>
        <v>46349</v>
      </c>
      <c r="T93" s="7">
        <f t="shared" ca="1" si="24"/>
        <v>0</v>
      </c>
      <c r="U93" t="str">
        <f t="shared" si="25"/>
        <v/>
      </c>
    </row>
    <row r="94" spans="1:21">
      <c r="A94">
        <f t="shared" si="13"/>
        <v>90</v>
      </c>
      <c r="B94" s="6">
        <v>46346</v>
      </c>
      <c r="C94" t="str">
        <f t="shared" si="14"/>
        <v>vie</v>
      </c>
      <c r="D94" s="9" t="s">
        <v>58</v>
      </c>
      <c r="E94" s="9" t="s">
        <v>225</v>
      </c>
      <c r="F94" s="9" t="s">
        <v>3</v>
      </c>
      <c r="G94" s="8">
        <v>1008</v>
      </c>
      <c r="H94" s="7">
        <f t="shared" si="15"/>
        <v>1008</v>
      </c>
      <c r="I94" s="9" t="s">
        <v>226</v>
      </c>
      <c r="J94" s="6"/>
      <c r="K94">
        <f t="shared" si="16"/>
        <v>3</v>
      </c>
      <c r="L94" s="5">
        <f t="shared" si="17"/>
        <v>46349</v>
      </c>
      <c r="M94" s="5">
        <f t="shared" si="18"/>
        <v>46349</v>
      </c>
      <c r="N94">
        <f t="shared" si="19"/>
        <v>1</v>
      </c>
      <c r="O94" s="10">
        <f t="shared" si="20"/>
        <v>7.09</v>
      </c>
      <c r="P94" s="7">
        <f t="shared" si="21"/>
        <v>7146.72</v>
      </c>
      <c r="Q94" s="9" t="s">
        <v>227</v>
      </c>
      <c r="R94" s="5">
        <f t="shared" si="22"/>
        <v>46352</v>
      </c>
      <c r="S94" s="5">
        <f t="shared" si="23"/>
        <v>46349</v>
      </c>
      <c r="T94" s="7">
        <f t="shared" ca="1" si="24"/>
        <v>0</v>
      </c>
      <c r="U94" t="str">
        <f t="shared" si="25"/>
        <v/>
      </c>
    </row>
    <row r="95" spans="1:21">
      <c r="A95">
        <f t="shared" si="13"/>
        <v>91</v>
      </c>
      <c r="B95" s="6">
        <v>46346</v>
      </c>
      <c r="C95" t="str">
        <f t="shared" si="14"/>
        <v>vie</v>
      </c>
      <c r="D95" s="9" t="s">
        <v>58</v>
      </c>
      <c r="E95" s="9" t="s">
        <v>225</v>
      </c>
      <c r="F95" s="9" t="s">
        <v>3</v>
      </c>
      <c r="G95" s="8">
        <v>1008</v>
      </c>
      <c r="H95" s="7">
        <f t="shared" si="15"/>
        <v>1008</v>
      </c>
      <c r="I95" s="9" t="s">
        <v>226</v>
      </c>
      <c r="J95" s="6"/>
      <c r="K95">
        <f t="shared" si="16"/>
        <v>3</v>
      </c>
      <c r="L95" s="5">
        <f t="shared" si="17"/>
        <v>46349</v>
      </c>
      <c r="M95" s="5">
        <f t="shared" si="18"/>
        <v>46349</v>
      </c>
      <c r="N95">
        <f t="shared" si="19"/>
        <v>1</v>
      </c>
      <c r="O95" s="10">
        <f t="shared" si="20"/>
        <v>7.09</v>
      </c>
      <c r="P95" s="7">
        <f t="shared" si="21"/>
        <v>7146.72</v>
      </c>
      <c r="Q95" s="9" t="s">
        <v>227</v>
      </c>
      <c r="R95" s="5">
        <f t="shared" si="22"/>
        <v>46352</v>
      </c>
      <c r="S95" s="5">
        <f t="shared" si="23"/>
        <v>46349</v>
      </c>
      <c r="T95" s="7">
        <f t="shared" ca="1" si="24"/>
        <v>0</v>
      </c>
      <c r="U95" t="str">
        <f t="shared" si="25"/>
        <v/>
      </c>
    </row>
    <row r="96" spans="1:21">
      <c r="A96">
        <f t="shared" si="13"/>
        <v>92</v>
      </c>
      <c r="B96" s="6">
        <v>46353</v>
      </c>
      <c r="C96" t="str">
        <f t="shared" si="14"/>
        <v>vie</v>
      </c>
      <c r="D96" s="9" t="s">
        <v>58</v>
      </c>
      <c r="E96" s="9" t="s">
        <v>225</v>
      </c>
      <c r="F96" s="9" t="s">
        <v>3</v>
      </c>
      <c r="G96" s="8">
        <v>1008</v>
      </c>
      <c r="H96" s="7">
        <f t="shared" si="15"/>
        <v>1008</v>
      </c>
      <c r="I96" s="9" t="s">
        <v>226</v>
      </c>
      <c r="J96" s="6"/>
      <c r="K96">
        <f t="shared" si="16"/>
        <v>3</v>
      </c>
      <c r="L96" s="5">
        <f t="shared" si="17"/>
        <v>46356</v>
      </c>
      <c r="M96" s="5">
        <f t="shared" si="18"/>
        <v>46356</v>
      </c>
      <c r="N96">
        <f t="shared" si="19"/>
        <v>1</v>
      </c>
      <c r="O96" s="10">
        <f t="shared" si="20"/>
        <v>7.09</v>
      </c>
      <c r="P96" s="7">
        <f t="shared" si="21"/>
        <v>7146.72</v>
      </c>
      <c r="Q96" s="9" t="s">
        <v>227</v>
      </c>
      <c r="R96" s="5">
        <f t="shared" si="22"/>
        <v>46359</v>
      </c>
      <c r="S96" s="5">
        <f t="shared" si="23"/>
        <v>46356</v>
      </c>
      <c r="T96" s="7">
        <f t="shared" ca="1" si="24"/>
        <v>0</v>
      </c>
      <c r="U96" t="str">
        <f t="shared" si="25"/>
        <v/>
      </c>
    </row>
    <row r="97" spans="1:21">
      <c r="A97">
        <f t="shared" si="13"/>
        <v>93</v>
      </c>
      <c r="B97" s="6">
        <v>46353</v>
      </c>
      <c r="C97" t="str">
        <f t="shared" si="14"/>
        <v>vie</v>
      </c>
      <c r="D97" s="9" t="s">
        <v>58</v>
      </c>
      <c r="E97" s="9" t="s">
        <v>225</v>
      </c>
      <c r="F97" s="9" t="s">
        <v>3</v>
      </c>
      <c r="G97" s="8">
        <v>1008</v>
      </c>
      <c r="H97" s="7">
        <f t="shared" si="15"/>
        <v>1008</v>
      </c>
      <c r="I97" s="9" t="s">
        <v>226</v>
      </c>
      <c r="J97" s="6"/>
      <c r="K97">
        <f t="shared" si="16"/>
        <v>3</v>
      </c>
      <c r="L97" s="5">
        <f t="shared" si="17"/>
        <v>46356</v>
      </c>
      <c r="M97" s="5">
        <f t="shared" si="18"/>
        <v>46356</v>
      </c>
      <c r="N97">
        <f t="shared" si="19"/>
        <v>1</v>
      </c>
      <c r="O97" s="10">
        <f t="shared" si="20"/>
        <v>7.09</v>
      </c>
      <c r="P97" s="7">
        <f t="shared" si="21"/>
        <v>7146.72</v>
      </c>
      <c r="Q97" s="9" t="s">
        <v>227</v>
      </c>
      <c r="R97" s="5">
        <f t="shared" si="22"/>
        <v>46359</v>
      </c>
      <c r="S97" s="5">
        <f t="shared" si="23"/>
        <v>46356</v>
      </c>
      <c r="T97" s="7">
        <f t="shared" ca="1" si="24"/>
        <v>0</v>
      </c>
      <c r="U97" t="str">
        <f t="shared" si="25"/>
        <v/>
      </c>
    </row>
    <row r="98" spans="1:21">
      <c r="A98">
        <f t="shared" si="13"/>
        <v>94</v>
      </c>
      <c r="B98" s="6">
        <v>46353</v>
      </c>
      <c r="C98" t="str">
        <f t="shared" si="14"/>
        <v>vie</v>
      </c>
      <c r="D98" s="9" t="s">
        <v>58</v>
      </c>
      <c r="E98" s="9" t="s">
        <v>225</v>
      </c>
      <c r="F98" s="9" t="s">
        <v>3</v>
      </c>
      <c r="G98" s="8">
        <v>1008</v>
      </c>
      <c r="H98" s="7">
        <f t="shared" si="15"/>
        <v>1008</v>
      </c>
      <c r="I98" s="9" t="s">
        <v>226</v>
      </c>
      <c r="J98" s="6"/>
      <c r="K98">
        <f t="shared" si="16"/>
        <v>3</v>
      </c>
      <c r="L98" s="5">
        <f t="shared" si="17"/>
        <v>46356</v>
      </c>
      <c r="M98" s="5">
        <f t="shared" si="18"/>
        <v>46356</v>
      </c>
      <c r="N98">
        <f t="shared" si="19"/>
        <v>1</v>
      </c>
      <c r="O98" s="10">
        <f t="shared" si="20"/>
        <v>7.09</v>
      </c>
      <c r="P98" s="7">
        <f t="shared" si="21"/>
        <v>7146.72</v>
      </c>
      <c r="Q98" s="9" t="s">
        <v>227</v>
      </c>
      <c r="R98" s="5">
        <f t="shared" si="22"/>
        <v>46359</v>
      </c>
      <c r="S98" s="5">
        <f t="shared" si="23"/>
        <v>46356</v>
      </c>
      <c r="T98" s="7">
        <f t="shared" ca="1" si="24"/>
        <v>0</v>
      </c>
      <c r="U98" t="str">
        <f t="shared" si="25"/>
        <v/>
      </c>
    </row>
    <row r="99" spans="1:21">
      <c r="A99">
        <f t="shared" si="13"/>
        <v>95</v>
      </c>
      <c r="B99" s="6">
        <v>46353</v>
      </c>
      <c r="C99" t="str">
        <f t="shared" si="14"/>
        <v>vie</v>
      </c>
      <c r="D99" s="9" t="s">
        <v>58</v>
      </c>
      <c r="E99" s="9" t="s">
        <v>225</v>
      </c>
      <c r="F99" s="9" t="s">
        <v>3</v>
      </c>
      <c r="G99" s="8">
        <v>1008</v>
      </c>
      <c r="H99" s="7">
        <f t="shared" si="15"/>
        <v>1008</v>
      </c>
      <c r="I99" s="9" t="s">
        <v>226</v>
      </c>
      <c r="J99" s="6"/>
      <c r="K99">
        <f t="shared" si="16"/>
        <v>3</v>
      </c>
      <c r="L99" s="5">
        <f t="shared" si="17"/>
        <v>46356</v>
      </c>
      <c r="M99" s="5">
        <f t="shared" si="18"/>
        <v>46356</v>
      </c>
      <c r="N99">
        <f t="shared" si="19"/>
        <v>1</v>
      </c>
      <c r="O99" s="10">
        <f t="shared" si="20"/>
        <v>7.09</v>
      </c>
      <c r="P99" s="7">
        <f t="shared" si="21"/>
        <v>7146.72</v>
      </c>
      <c r="Q99" s="9" t="s">
        <v>227</v>
      </c>
      <c r="R99" s="5">
        <f t="shared" si="22"/>
        <v>46359</v>
      </c>
      <c r="S99" s="5">
        <f t="shared" si="23"/>
        <v>46356</v>
      </c>
      <c r="T99" s="7">
        <f t="shared" ca="1" si="24"/>
        <v>0</v>
      </c>
      <c r="U99" t="str">
        <f t="shared" si="25"/>
        <v/>
      </c>
    </row>
    <row r="100" spans="1:21">
      <c r="A100">
        <f t="shared" si="13"/>
        <v>96</v>
      </c>
      <c r="B100" s="6">
        <v>46353</v>
      </c>
      <c r="C100" t="str">
        <f t="shared" si="14"/>
        <v>vie</v>
      </c>
      <c r="D100" s="9" t="s">
        <v>58</v>
      </c>
      <c r="E100" s="9" t="s">
        <v>225</v>
      </c>
      <c r="F100" s="9" t="s">
        <v>3</v>
      </c>
      <c r="G100" s="8">
        <v>1008</v>
      </c>
      <c r="H100" s="7">
        <f t="shared" si="15"/>
        <v>1008</v>
      </c>
      <c r="I100" s="9" t="s">
        <v>226</v>
      </c>
      <c r="J100" s="6"/>
      <c r="K100">
        <f t="shared" si="16"/>
        <v>3</v>
      </c>
      <c r="L100" s="5">
        <f t="shared" si="17"/>
        <v>46356</v>
      </c>
      <c r="M100" s="5">
        <f t="shared" si="18"/>
        <v>46356</v>
      </c>
      <c r="N100">
        <f t="shared" si="19"/>
        <v>1</v>
      </c>
      <c r="O100" s="10">
        <f t="shared" si="20"/>
        <v>7.09</v>
      </c>
      <c r="P100" s="7">
        <f t="shared" si="21"/>
        <v>7146.72</v>
      </c>
      <c r="Q100" s="9" t="s">
        <v>227</v>
      </c>
      <c r="R100" s="5">
        <f t="shared" si="22"/>
        <v>46359</v>
      </c>
      <c r="S100" s="5">
        <f t="shared" si="23"/>
        <v>46356</v>
      </c>
      <c r="T100" s="7">
        <f t="shared" ca="1" si="24"/>
        <v>0</v>
      </c>
      <c r="U100" t="str">
        <f t="shared" si="25"/>
        <v/>
      </c>
    </row>
    <row r="101" spans="1:21">
      <c r="A101">
        <f t="shared" si="13"/>
        <v>97</v>
      </c>
      <c r="B101" s="6">
        <v>46353</v>
      </c>
      <c r="C101" t="str">
        <f t="shared" si="14"/>
        <v>vie</v>
      </c>
      <c r="D101" s="9" t="s">
        <v>58</v>
      </c>
      <c r="E101" s="9" t="s">
        <v>225</v>
      </c>
      <c r="F101" s="9" t="s">
        <v>3</v>
      </c>
      <c r="G101" s="8">
        <v>1008</v>
      </c>
      <c r="H101" s="7">
        <f t="shared" si="15"/>
        <v>1008</v>
      </c>
      <c r="I101" s="9" t="s">
        <v>226</v>
      </c>
      <c r="J101" s="6"/>
      <c r="K101">
        <f t="shared" si="16"/>
        <v>3</v>
      </c>
      <c r="L101" s="5">
        <f t="shared" si="17"/>
        <v>46356</v>
      </c>
      <c r="M101" s="5">
        <f t="shared" si="18"/>
        <v>46356</v>
      </c>
      <c r="N101">
        <f t="shared" si="19"/>
        <v>1</v>
      </c>
      <c r="O101" s="10">
        <f t="shared" si="20"/>
        <v>7.09</v>
      </c>
      <c r="P101" s="7">
        <f t="shared" si="21"/>
        <v>7146.72</v>
      </c>
      <c r="Q101" s="9" t="s">
        <v>227</v>
      </c>
      <c r="R101" s="5">
        <f t="shared" si="22"/>
        <v>46359</v>
      </c>
      <c r="S101" s="5">
        <f t="shared" si="23"/>
        <v>46356</v>
      </c>
      <c r="T101" s="7">
        <f t="shared" ca="1" si="24"/>
        <v>0</v>
      </c>
      <c r="U101" t="str">
        <f t="shared" si="25"/>
        <v/>
      </c>
    </row>
    <row r="102" spans="1:21">
      <c r="A102">
        <f t="shared" si="13"/>
        <v>98</v>
      </c>
      <c r="B102" s="6">
        <v>46353</v>
      </c>
      <c r="C102" t="str">
        <f t="shared" si="14"/>
        <v>vie</v>
      </c>
      <c r="D102" s="9" t="s">
        <v>58</v>
      </c>
      <c r="E102" s="9" t="s">
        <v>225</v>
      </c>
      <c r="F102" s="9" t="s">
        <v>3</v>
      </c>
      <c r="G102" s="8">
        <v>1008</v>
      </c>
      <c r="H102" s="7">
        <f t="shared" si="15"/>
        <v>1008</v>
      </c>
      <c r="I102" s="9" t="s">
        <v>226</v>
      </c>
      <c r="J102" s="6"/>
      <c r="K102">
        <f t="shared" si="16"/>
        <v>3</v>
      </c>
      <c r="L102" s="5">
        <f t="shared" si="17"/>
        <v>46356</v>
      </c>
      <c r="M102" s="5">
        <f t="shared" si="18"/>
        <v>46356</v>
      </c>
      <c r="N102">
        <f t="shared" si="19"/>
        <v>1</v>
      </c>
      <c r="O102" s="10">
        <f t="shared" si="20"/>
        <v>7.09</v>
      </c>
      <c r="P102" s="7">
        <f t="shared" si="21"/>
        <v>7146.72</v>
      </c>
      <c r="Q102" s="9" t="s">
        <v>227</v>
      </c>
      <c r="R102" s="5">
        <f t="shared" si="22"/>
        <v>46359</v>
      </c>
      <c r="S102" s="5">
        <f t="shared" si="23"/>
        <v>46356</v>
      </c>
      <c r="T102" s="7">
        <f t="shared" ca="1" si="24"/>
        <v>0</v>
      </c>
      <c r="U102" t="str">
        <f t="shared" si="25"/>
        <v/>
      </c>
    </row>
    <row r="103" spans="1:21">
      <c r="A103">
        <f t="shared" si="13"/>
        <v>99</v>
      </c>
      <c r="B103" s="6">
        <v>46353</v>
      </c>
      <c r="C103" t="str">
        <f t="shared" si="14"/>
        <v>vie</v>
      </c>
      <c r="D103" s="9" t="s">
        <v>58</v>
      </c>
      <c r="E103" s="9" t="s">
        <v>225</v>
      </c>
      <c r="F103" s="9" t="s">
        <v>3</v>
      </c>
      <c r="G103" s="8">
        <v>1008</v>
      </c>
      <c r="H103" s="7">
        <f t="shared" si="15"/>
        <v>1008</v>
      </c>
      <c r="I103" s="9" t="s">
        <v>226</v>
      </c>
      <c r="J103" s="6"/>
      <c r="K103">
        <f t="shared" si="16"/>
        <v>3</v>
      </c>
      <c r="L103" s="5">
        <f t="shared" si="17"/>
        <v>46356</v>
      </c>
      <c r="M103" s="5">
        <f t="shared" si="18"/>
        <v>46356</v>
      </c>
      <c r="N103">
        <f t="shared" si="19"/>
        <v>1</v>
      </c>
      <c r="O103" s="10">
        <f t="shared" si="20"/>
        <v>7.09</v>
      </c>
      <c r="P103" s="7">
        <f t="shared" si="21"/>
        <v>7146.72</v>
      </c>
      <c r="Q103" s="9" t="s">
        <v>227</v>
      </c>
      <c r="R103" s="5">
        <f t="shared" si="22"/>
        <v>46359</v>
      </c>
      <c r="S103" s="5">
        <f t="shared" si="23"/>
        <v>46356</v>
      </c>
      <c r="T103" s="7">
        <f t="shared" ca="1" si="24"/>
        <v>0</v>
      </c>
      <c r="U103" t="str">
        <f t="shared" si="25"/>
        <v/>
      </c>
    </row>
    <row r="104" spans="1:21">
      <c r="A104">
        <f t="shared" si="13"/>
        <v>100</v>
      </c>
      <c r="B104" s="6">
        <v>46360</v>
      </c>
      <c r="C104" t="str">
        <f t="shared" si="14"/>
        <v>vie</v>
      </c>
      <c r="D104" s="9" t="s">
        <v>58</v>
      </c>
      <c r="E104" s="9" t="s">
        <v>225</v>
      </c>
      <c r="F104" s="9" t="s">
        <v>3</v>
      </c>
      <c r="G104" s="8">
        <v>1008</v>
      </c>
      <c r="H104" s="7">
        <f t="shared" si="15"/>
        <v>1008</v>
      </c>
      <c r="I104" s="9" t="s">
        <v>226</v>
      </c>
      <c r="J104" s="6"/>
      <c r="K104">
        <f t="shared" si="16"/>
        <v>3</v>
      </c>
      <c r="L104" s="5">
        <f t="shared" si="17"/>
        <v>46363</v>
      </c>
      <c r="M104" s="5">
        <f t="shared" si="18"/>
        <v>46363</v>
      </c>
      <c r="N104">
        <f t="shared" si="19"/>
        <v>1</v>
      </c>
      <c r="O104" s="10">
        <f t="shared" si="20"/>
        <v>7.09</v>
      </c>
      <c r="P104" s="7">
        <f t="shared" si="21"/>
        <v>7146.72</v>
      </c>
      <c r="Q104" s="9" t="s">
        <v>227</v>
      </c>
      <c r="R104" s="5">
        <f t="shared" si="22"/>
        <v>46366</v>
      </c>
      <c r="S104" s="5">
        <f t="shared" si="23"/>
        <v>46363</v>
      </c>
      <c r="T104" s="7">
        <f t="shared" ca="1" si="24"/>
        <v>0</v>
      </c>
      <c r="U104" t="str">
        <f t="shared" si="25"/>
        <v/>
      </c>
    </row>
    <row r="105" spans="1:21">
      <c r="A105">
        <f t="shared" si="13"/>
        <v>101</v>
      </c>
      <c r="B105" s="6">
        <v>46360</v>
      </c>
      <c r="C105" t="str">
        <f t="shared" si="14"/>
        <v>vie</v>
      </c>
      <c r="D105" s="9" t="s">
        <v>58</v>
      </c>
      <c r="E105" s="9" t="s">
        <v>225</v>
      </c>
      <c r="F105" s="9" t="s">
        <v>3</v>
      </c>
      <c r="G105" s="8">
        <v>1008</v>
      </c>
      <c r="H105" s="7">
        <f t="shared" si="15"/>
        <v>1008</v>
      </c>
      <c r="I105" s="9" t="s">
        <v>226</v>
      </c>
      <c r="J105" s="6"/>
      <c r="K105">
        <f t="shared" si="16"/>
        <v>3</v>
      </c>
      <c r="L105" s="5">
        <f t="shared" si="17"/>
        <v>46363</v>
      </c>
      <c r="M105" s="5">
        <f t="shared" si="18"/>
        <v>46363</v>
      </c>
      <c r="N105">
        <f t="shared" si="19"/>
        <v>1</v>
      </c>
      <c r="O105" s="10">
        <f t="shared" si="20"/>
        <v>7.09</v>
      </c>
      <c r="P105" s="7">
        <f t="shared" si="21"/>
        <v>7146.72</v>
      </c>
      <c r="Q105" s="9" t="s">
        <v>227</v>
      </c>
      <c r="R105" s="5">
        <f t="shared" si="22"/>
        <v>46366</v>
      </c>
      <c r="S105" s="5">
        <f t="shared" si="23"/>
        <v>46363</v>
      </c>
      <c r="T105" s="7">
        <f t="shared" ca="1" si="24"/>
        <v>0</v>
      </c>
      <c r="U105" t="str">
        <f t="shared" si="25"/>
        <v/>
      </c>
    </row>
    <row r="106" spans="1:21">
      <c r="A106">
        <f t="shared" si="13"/>
        <v>102</v>
      </c>
      <c r="B106" s="6">
        <v>46360</v>
      </c>
      <c r="C106" t="str">
        <f t="shared" si="14"/>
        <v>vie</v>
      </c>
      <c r="D106" s="9" t="s">
        <v>58</v>
      </c>
      <c r="E106" s="9" t="s">
        <v>225</v>
      </c>
      <c r="F106" s="9" t="s">
        <v>3</v>
      </c>
      <c r="G106" s="8">
        <v>1008</v>
      </c>
      <c r="H106" s="7">
        <f t="shared" si="15"/>
        <v>1008</v>
      </c>
      <c r="I106" s="9" t="s">
        <v>226</v>
      </c>
      <c r="J106" s="6"/>
      <c r="K106">
        <f t="shared" si="16"/>
        <v>3</v>
      </c>
      <c r="L106" s="5">
        <f t="shared" si="17"/>
        <v>46363</v>
      </c>
      <c r="M106" s="5">
        <f t="shared" si="18"/>
        <v>46363</v>
      </c>
      <c r="N106">
        <f t="shared" si="19"/>
        <v>1</v>
      </c>
      <c r="O106" s="10">
        <f t="shared" si="20"/>
        <v>7.09</v>
      </c>
      <c r="P106" s="7">
        <f t="shared" si="21"/>
        <v>7146.72</v>
      </c>
      <c r="Q106" s="9" t="s">
        <v>227</v>
      </c>
      <c r="R106" s="5">
        <f t="shared" si="22"/>
        <v>46366</v>
      </c>
      <c r="S106" s="5">
        <f t="shared" si="23"/>
        <v>46363</v>
      </c>
      <c r="T106" s="7">
        <f t="shared" ca="1" si="24"/>
        <v>0</v>
      </c>
      <c r="U106" t="str">
        <f t="shared" si="25"/>
        <v/>
      </c>
    </row>
    <row r="107" spans="1:21">
      <c r="A107">
        <f t="shared" si="13"/>
        <v>103</v>
      </c>
      <c r="B107" s="6">
        <v>46360</v>
      </c>
      <c r="C107" t="str">
        <f t="shared" si="14"/>
        <v>vie</v>
      </c>
      <c r="D107" s="9" t="s">
        <v>58</v>
      </c>
      <c r="E107" s="9" t="s">
        <v>225</v>
      </c>
      <c r="F107" s="9" t="s">
        <v>3</v>
      </c>
      <c r="G107" s="8">
        <v>1008</v>
      </c>
      <c r="H107" s="7">
        <f t="shared" si="15"/>
        <v>1008</v>
      </c>
      <c r="I107" s="9" t="s">
        <v>226</v>
      </c>
      <c r="J107" s="6"/>
      <c r="K107">
        <f t="shared" si="16"/>
        <v>3</v>
      </c>
      <c r="L107" s="5">
        <f t="shared" si="17"/>
        <v>46363</v>
      </c>
      <c r="M107" s="5">
        <f t="shared" si="18"/>
        <v>46363</v>
      </c>
      <c r="N107">
        <f t="shared" si="19"/>
        <v>1</v>
      </c>
      <c r="O107" s="10">
        <f t="shared" si="20"/>
        <v>7.09</v>
      </c>
      <c r="P107" s="7">
        <f t="shared" si="21"/>
        <v>7146.72</v>
      </c>
      <c r="Q107" s="9" t="s">
        <v>227</v>
      </c>
      <c r="R107" s="5">
        <f t="shared" si="22"/>
        <v>46366</v>
      </c>
      <c r="S107" s="5">
        <f t="shared" si="23"/>
        <v>46363</v>
      </c>
      <c r="T107" s="7">
        <f t="shared" ca="1" si="24"/>
        <v>0</v>
      </c>
      <c r="U107" t="str">
        <f t="shared" si="25"/>
        <v/>
      </c>
    </row>
    <row r="108" spans="1:21">
      <c r="A108">
        <f t="shared" si="13"/>
        <v>104</v>
      </c>
      <c r="B108" s="6">
        <v>46360</v>
      </c>
      <c r="C108" t="str">
        <f t="shared" si="14"/>
        <v>vie</v>
      </c>
      <c r="D108" s="9" t="s">
        <v>58</v>
      </c>
      <c r="E108" s="9" t="s">
        <v>225</v>
      </c>
      <c r="F108" s="9" t="s">
        <v>3</v>
      </c>
      <c r="G108" s="8">
        <v>1008</v>
      </c>
      <c r="H108" s="7">
        <f t="shared" si="15"/>
        <v>1008</v>
      </c>
      <c r="I108" s="9" t="s">
        <v>226</v>
      </c>
      <c r="J108" s="6"/>
      <c r="K108">
        <f t="shared" si="16"/>
        <v>3</v>
      </c>
      <c r="L108" s="5">
        <f t="shared" si="17"/>
        <v>46363</v>
      </c>
      <c r="M108" s="5">
        <f t="shared" si="18"/>
        <v>46363</v>
      </c>
      <c r="N108">
        <f t="shared" si="19"/>
        <v>1</v>
      </c>
      <c r="O108" s="10">
        <f t="shared" si="20"/>
        <v>7.09</v>
      </c>
      <c r="P108" s="7">
        <f t="shared" si="21"/>
        <v>7146.72</v>
      </c>
      <c r="Q108" s="9" t="s">
        <v>227</v>
      </c>
      <c r="R108" s="5">
        <f t="shared" si="22"/>
        <v>46366</v>
      </c>
      <c r="S108" s="5">
        <f t="shared" si="23"/>
        <v>46363</v>
      </c>
      <c r="T108" s="7">
        <f t="shared" ca="1" si="24"/>
        <v>0</v>
      </c>
      <c r="U108" t="str">
        <f t="shared" si="25"/>
        <v/>
      </c>
    </row>
    <row r="109" spans="1:21">
      <c r="A109">
        <f t="shared" si="13"/>
        <v>105</v>
      </c>
      <c r="B109" s="6">
        <v>46360</v>
      </c>
      <c r="C109" t="str">
        <f t="shared" si="14"/>
        <v>vie</v>
      </c>
      <c r="D109" s="9" t="s">
        <v>58</v>
      </c>
      <c r="E109" s="9" t="s">
        <v>225</v>
      </c>
      <c r="F109" s="9" t="s">
        <v>3</v>
      </c>
      <c r="G109" s="8">
        <v>1008</v>
      </c>
      <c r="H109" s="7">
        <f t="shared" si="15"/>
        <v>1008</v>
      </c>
      <c r="I109" s="9" t="s">
        <v>226</v>
      </c>
      <c r="J109" s="6"/>
      <c r="K109">
        <f t="shared" si="16"/>
        <v>3</v>
      </c>
      <c r="L109" s="5">
        <f t="shared" si="17"/>
        <v>46363</v>
      </c>
      <c r="M109" s="5">
        <f t="shared" si="18"/>
        <v>46363</v>
      </c>
      <c r="N109">
        <f t="shared" si="19"/>
        <v>1</v>
      </c>
      <c r="O109" s="10">
        <f t="shared" si="20"/>
        <v>7.09</v>
      </c>
      <c r="P109" s="7">
        <f t="shared" si="21"/>
        <v>7146.72</v>
      </c>
      <c r="Q109" s="9" t="s">
        <v>227</v>
      </c>
      <c r="R109" s="5">
        <f t="shared" si="22"/>
        <v>46366</v>
      </c>
      <c r="S109" s="5">
        <f t="shared" si="23"/>
        <v>46363</v>
      </c>
      <c r="T109" s="7">
        <f t="shared" ca="1" si="24"/>
        <v>0</v>
      </c>
      <c r="U109" t="str">
        <f t="shared" si="25"/>
        <v/>
      </c>
    </row>
    <row r="110" spans="1:21">
      <c r="A110">
        <f t="shared" si="13"/>
        <v>106</v>
      </c>
      <c r="B110" s="6">
        <v>46360</v>
      </c>
      <c r="C110" t="str">
        <f t="shared" si="14"/>
        <v>vie</v>
      </c>
      <c r="D110" s="9" t="s">
        <v>58</v>
      </c>
      <c r="E110" s="9" t="s">
        <v>225</v>
      </c>
      <c r="F110" s="9" t="s">
        <v>3</v>
      </c>
      <c r="G110" s="8">
        <v>1008</v>
      </c>
      <c r="H110" s="7">
        <f t="shared" si="15"/>
        <v>1008</v>
      </c>
      <c r="I110" s="9" t="s">
        <v>226</v>
      </c>
      <c r="J110" s="6"/>
      <c r="K110">
        <f t="shared" si="16"/>
        <v>3</v>
      </c>
      <c r="L110" s="5">
        <f t="shared" si="17"/>
        <v>46363</v>
      </c>
      <c r="M110" s="5">
        <f t="shared" si="18"/>
        <v>46363</v>
      </c>
      <c r="N110">
        <f t="shared" si="19"/>
        <v>1</v>
      </c>
      <c r="O110" s="10">
        <f t="shared" si="20"/>
        <v>7.09</v>
      </c>
      <c r="P110" s="7">
        <f t="shared" si="21"/>
        <v>7146.72</v>
      </c>
      <c r="Q110" s="9" t="s">
        <v>227</v>
      </c>
      <c r="R110" s="5">
        <f t="shared" si="22"/>
        <v>46366</v>
      </c>
      <c r="S110" s="5">
        <f t="shared" si="23"/>
        <v>46363</v>
      </c>
      <c r="T110" s="7">
        <f t="shared" ca="1" si="24"/>
        <v>0</v>
      </c>
      <c r="U110" t="str">
        <f t="shared" si="25"/>
        <v/>
      </c>
    </row>
    <row r="111" spans="1:21">
      <c r="A111">
        <f t="shared" si="13"/>
        <v>107</v>
      </c>
      <c r="B111" s="6">
        <v>46360</v>
      </c>
      <c r="C111" t="str">
        <f t="shared" si="14"/>
        <v>vie</v>
      </c>
      <c r="D111" s="9" t="s">
        <v>58</v>
      </c>
      <c r="E111" s="9" t="s">
        <v>225</v>
      </c>
      <c r="F111" s="9" t="s">
        <v>3</v>
      </c>
      <c r="G111" s="8">
        <v>1008</v>
      </c>
      <c r="H111" s="7">
        <f t="shared" si="15"/>
        <v>1008</v>
      </c>
      <c r="I111" s="9" t="s">
        <v>226</v>
      </c>
      <c r="J111" s="6"/>
      <c r="K111">
        <f t="shared" si="16"/>
        <v>3</v>
      </c>
      <c r="L111" s="5">
        <f t="shared" si="17"/>
        <v>46363</v>
      </c>
      <c r="M111" s="5">
        <f t="shared" si="18"/>
        <v>46363</v>
      </c>
      <c r="N111">
        <f t="shared" si="19"/>
        <v>1</v>
      </c>
      <c r="O111" s="10">
        <f t="shared" si="20"/>
        <v>7.09</v>
      </c>
      <c r="P111" s="7">
        <f t="shared" si="21"/>
        <v>7146.72</v>
      </c>
      <c r="Q111" s="9" t="s">
        <v>227</v>
      </c>
      <c r="R111" s="5">
        <f t="shared" si="22"/>
        <v>46366</v>
      </c>
      <c r="S111" s="5">
        <f t="shared" si="23"/>
        <v>46363</v>
      </c>
      <c r="T111" s="7">
        <f t="shared" ca="1" si="24"/>
        <v>0</v>
      </c>
      <c r="U111" t="str">
        <f t="shared" si="25"/>
        <v/>
      </c>
    </row>
    <row r="112" spans="1:21">
      <c r="A112">
        <f t="shared" si="13"/>
        <v>108</v>
      </c>
      <c r="B112" s="6">
        <v>46367</v>
      </c>
      <c r="C112" t="str">
        <f t="shared" si="14"/>
        <v>vie</v>
      </c>
      <c r="D112" s="9" t="s">
        <v>58</v>
      </c>
      <c r="E112" s="9" t="s">
        <v>225</v>
      </c>
      <c r="F112" s="9" t="s">
        <v>3</v>
      </c>
      <c r="G112" s="8">
        <v>1008</v>
      </c>
      <c r="H112" s="7">
        <f t="shared" si="15"/>
        <v>1008</v>
      </c>
      <c r="I112" s="9" t="s">
        <v>226</v>
      </c>
      <c r="J112" s="6"/>
      <c r="K112">
        <f t="shared" si="16"/>
        <v>3</v>
      </c>
      <c r="L112" s="5">
        <f t="shared" si="17"/>
        <v>46370</v>
      </c>
      <c r="M112" s="5">
        <f t="shared" si="18"/>
        <v>46370</v>
      </c>
      <c r="N112">
        <f t="shared" si="19"/>
        <v>1</v>
      </c>
      <c r="O112" s="10">
        <f t="shared" si="20"/>
        <v>7.09</v>
      </c>
      <c r="P112" s="7">
        <f t="shared" si="21"/>
        <v>7146.72</v>
      </c>
      <c r="Q112" s="9" t="s">
        <v>227</v>
      </c>
      <c r="R112" s="5">
        <f t="shared" si="22"/>
        <v>46373</v>
      </c>
      <c r="S112" s="5">
        <f t="shared" si="23"/>
        <v>46370</v>
      </c>
      <c r="T112" s="7">
        <f t="shared" ca="1" si="24"/>
        <v>0</v>
      </c>
      <c r="U112" t="str">
        <f t="shared" si="25"/>
        <v/>
      </c>
    </row>
    <row r="113" spans="1:21">
      <c r="A113">
        <f t="shared" si="13"/>
        <v>109</v>
      </c>
      <c r="B113" s="6">
        <v>46367</v>
      </c>
      <c r="C113" t="str">
        <f t="shared" si="14"/>
        <v>vie</v>
      </c>
      <c r="D113" s="9" t="s">
        <v>58</v>
      </c>
      <c r="E113" s="9" t="s">
        <v>225</v>
      </c>
      <c r="F113" s="9" t="s">
        <v>3</v>
      </c>
      <c r="G113" s="8">
        <v>1008</v>
      </c>
      <c r="H113" s="7">
        <f t="shared" si="15"/>
        <v>1008</v>
      </c>
      <c r="I113" s="9" t="s">
        <v>226</v>
      </c>
      <c r="J113" s="6"/>
      <c r="K113">
        <f t="shared" si="16"/>
        <v>3</v>
      </c>
      <c r="L113" s="5">
        <f t="shared" si="17"/>
        <v>46370</v>
      </c>
      <c r="M113" s="5">
        <f t="shared" si="18"/>
        <v>46370</v>
      </c>
      <c r="N113">
        <f t="shared" si="19"/>
        <v>1</v>
      </c>
      <c r="O113" s="10">
        <f t="shared" si="20"/>
        <v>7.09</v>
      </c>
      <c r="P113" s="7">
        <f t="shared" si="21"/>
        <v>7146.72</v>
      </c>
      <c r="Q113" s="9" t="s">
        <v>227</v>
      </c>
      <c r="R113" s="5">
        <f t="shared" si="22"/>
        <v>46373</v>
      </c>
      <c r="S113" s="5">
        <f t="shared" si="23"/>
        <v>46370</v>
      </c>
      <c r="T113" s="7">
        <f t="shared" ca="1" si="24"/>
        <v>0</v>
      </c>
      <c r="U113" t="str">
        <f t="shared" si="25"/>
        <v/>
      </c>
    </row>
    <row r="114" spans="1:21">
      <c r="A114">
        <f t="shared" si="13"/>
        <v>110</v>
      </c>
      <c r="B114" s="6">
        <v>46367</v>
      </c>
      <c r="C114" t="str">
        <f t="shared" si="14"/>
        <v>vie</v>
      </c>
      <c r="D114" s="9" t="s">
        <v>58</v>
      </c>
      <c r="E114" s="9" t="s">
        <v>225</v>
      </c>
      <c r="F114" s="9" t="s">
        <v>3</v>
      </c>
      <c r="G114" s="8">
        <v>1008</v>
      </c>
      <c r="H114" s="7">
        <f t="shared" si="15"/>
        <v>1008</v>
      </c>
      <c r="I114" s="9" t="s">
        <v>226</v>
      </c>
      <c r="J114" s="6"/>
      <c r="K114">
        <f t="shared" si="16"/>
        <v>3</v>
      </c>
      <c r="L114" s="5">
        <f t="shared" si="17"/>
        <v>46370</v>
      </c>
      <c r="M114" s="5">
        <f t="shared" si="18"/>
        <v>46370</v>
      </c>
      <c r="N114">
        <f t="shared" si="19"/>
        <v>1</v>
      </c>
      <c r="O114" s="10">
        <f t="shared" si="20"/>
        <v>7.09</v>
      </c>
      <c r="P114" s="7">
        <f t="shared" si="21"/>
        <v>7146.72</v>
      </c>
      <c r="Q114" s="9" t="s">
        <v>227</v>
      </c>
      <c r="R114" s="5">
        <f t="shared" si="22"/>
        <v>46373</v>
      </c>
      <c r="S114" s="5">
        <f t="shared" si="23"/>
        <v>46370</v>
      </c>
      <c r="T114" s="7">
        <f t="shared" ca="1" si="24"/>
        <v>0</v>
      </c>
      <c r="U114" t="str">
        <f t="shared" si="25"/>
        <v/>
      </c>
    </row>
    <row r="115" spans="1:21">
      <c r="A115">
        <f t="shared" si="13"/>
        <v>111</v>
      </c>
      <c r="B115" s="6">
        <v>46367</v>
      </c>
      <c r="C115" t="str">
        <f t="shared" si="14"/>
        <v>vie</v>
      </c>
      <c r="D115" s="9" t="s">
        <v>58</v>
      </c>
      <c r="E115" s="9" t="s">
        <v>225</v>
      </c>
      <c r="F115" s="9" t="s">
        <v>3</v>
      </c>
      <c r="G115" s="8">
        <v>1008</v>
      </c>
      <c r="H115" s="7">
        <f t="shared" si="15"/>
        <v>1008</v>
      </c>
      <c r="I115" s="9" t="s">
        <v>226</v>
      </c>
      <c r="J115" s="6"/>
      <c r="K115">
        <f t="shared" si="16"/>
        <v>3</v>
      </c>
      <c r="L115" s="5">
        <f t="shared" si="17"/>
        <v>46370</v>
      </c>
      <c r="M115" s="5">
        <f t="shared" si="18"/>
        <v>46370</v>
      </c>
      <c r="N115">
        <f t="shared" si="19"/>
        <v>1</v>
      </c>
      <c r="O115" s="10">
        <f t="shared" si="20"/>
        <v>7.09</v>
      </c>
      <c r="P115" s="7">
        <f t="shared" si="21"/>
        <v>7146.72</v>
      </c>
      <c r="Q115" s="9" t="s">
        <v>227</v>
      </c>
      <c r="R115" s="5">
        <f t="shared" si="22"/>
        <v>46373</v>
      </c>
      <c r="S115" s="5">
        <f t="shared" si="23"/>
        <v>46370</v>
      </c>
      <c r="T115" s="7">
        <f t="shared" ca="1" si="24"/>
        <v>0</v>
      </c>
      <c r="U115" t="str">
        <f t="shared" si="25"/>
        <v/>
      </c>
    </row>
    <row r="116" spans="1:21">
      <c r="A116">
        <f t="shared" si="13"/>
        <v>112</v>
      </c>
      <c r="B116" s="6">
        <v>46367</v>
      </c>
      <c r="C116" t="str">
        <f t="shared" si="14"/>
        <v>vie</v>
      </c>
      <c r="D116" s="9" t="s">
        <v>58</v>
      </c>
      <c r="E116" s="9" t="s">
        <v>225</v>
      </c>
      <c r="F116" s="9" t="s">
        <v>3</v>
      </c>
      <c r="G116" s="8">
        <v>1008</v>
      </c>
      <c r="H116" s="7">
        <f t="shared" si="15"/>
        <v>1008</v>
      </c>
      <c r="I116" s="9" t="s">
        <v>226</v>
      </c>
      <c r="J116" s="6"/>
      <c r="K116">
        <f t="shared" si="16"/>
        <v>3</v>
      </c>
      <c r="L116" s="5">
        <f t="shared" si="17"/>
        <v>46370</v>
      </c>
      <c r="M116" s="5">
        <f t="shared" si="18"/>
        <v>46370</v>
      </c>
      <c r="N116">
        <f t="shared" si="19"/>
        <v>1</v>
      </c>
      <c r="O116" s="10">
        <f t="shared" si="20"/>
        <v>7.09</v>
      </c>
      <c r="P116" s="7">
        <f t="shared" si="21"/>
        <v>7146.72</v>
      </c>
      <c r="Q116" s="9" t="s">
        <v>227</v>
      </c>
      <c r="R116" s="5">
        <f t="shared" si="22"/>
        <v>46373</v>
      </c>
      <c r="S116" s="5">
        <f t="shared" si="23"/>
        <v>46370</v>
      </c>
      <c r="T116" s="7">
        <f t="shared" ca="1" si="24"/>
        <v>0</v>
      </c>
      <c r="U116" t="str">
        <f t="shared" si="25"/>
        <v/>
      </c>
    </row>
    <row r="117" spans="1:21">
      <c r="A117">
        <f t="shared" si="13"/>
        <v>113</v>
      </c>
      <c r="B117" s="6">
        <v>46367</v>
      </c>
      <c r="C117" t="str">
        <f t="shared" si="14"/>
        <v>vie</v>
      </c>
      <c r="D117" s="9" t="s">
        <v>58</v>
      </c>
      <c r="E117" s="9" t="s">
        <v>225</v>
      </c>
      <c r="F117" s="9" t="s">
        <v>3</v>
      </c>
      <c r="G117" s="8">
        <v>1008</v>
      </c>
      <c r="H117" s="7">
        <f t="shared" si="15"/>
        <v>1008</v>
      </c>
      <c r="I117" s="9" t="s">
        <v>226</v>
      </c>
      <c r="J117" s="6"/>
      <c r="K117">
        <f t="shared" si="16"/>
        <v>3</v>
      </c>
      <c r="L117" s="5">
        <f t="shared" si="17"/>
        <v>46370</v>
      </c>
      <c r="M117" s="5">
        <f t="shared" si="18"/>
        <v>46370</v>
      </c>
      <c r="N117">
        <f t="shared" si="19"/>
        <v>1</v>
      </c>
      <c r="O117" s="10">
        <f t="shared" si="20"/>
        <v>7.09</v>
      </c>
      <c r="P117" s="7">
        <f t="shared" si="21"/>
        <v>7146.72</v>
      </c>
      <c r="Q117" s="9" t="s">
        <v>227</v>
      </c>
      <c r="R117" s="5">
        <f t="shared" si="22"/>
        <v>46373</v>
      </c>
      <c r="S117" s="5">
        <f t="shared" si="23"/>
        <v>46370</v>
      </c>
      <c r="T117" s="7">
        <f t="shared" ca="1" si="24"/>
        <v>0</v>
      </c>
      <c r="U117" t="str">
        <f t="shared" si="25"/>
        <v/>
      </c>
    </row>
    <row r="118" spans="1:21">
      <c r="A118">
        <f t="shared" si="13"/>
        <v>114</v>
      </c>
      <c r="B118" s="6">
        <v>46367</v>
      </c>
      <c r="C118" t="str">
        <f t="shared" si="14"/>
        <v>vie</v>
      </c>
      <c r="D118" s="9" t="s">
        <v>58</v>
      </c>
      <c r="E118" s="9" t="s">
        <v>225</v>
      </c>
      <c r="F118" s="9" t="s">
        <v>3</v>
      </c>
      <c r="G118" s="8">
        <v>1008</v>
      </c>
      <c r="H118" s="7">
        <f t="shared" si="15"/>
        <v>1008</v>
      </c>
      <c r="I118" s="9" t="s">
        <v>226</v>
      </c>
      <c r="J118" s="6"/>
      <c r="K118">
        <f t="shared" si="16"/>
        <v>3</v>
      </c>
      <c r="L118" s="5">
        <f t="shared" si="17"/>
        <v>46370</v>
      </c>
      <c r="M118" s="5">
        <f t="shared" si="18"/>
        <v>46370</v>
      </c>
      <c r="N118">
        <f t="shared" si="19"/>
        <v>1</v>
      </c>
      <c r="O118" s="10">
        <f t="shared" si="20"/>
        <v>7.09</v>
      </c>
      <c r="P118" s="7">
        <f t="shared" si="21"/>
        <v>7146.72</v>
      </c>
      <c r="Q118" s="9" t="s">
        <v>227</v>
      </c>
      <c r="R118" s="5">
        <f t="shared" si="22"/>
        <v>46373</v>
      </c>
      <c r="S118" s="5">
        <f t="shared" si="23"/>
        <v>46370</v>
      </c>
      <c r="T118" s="7">
        <f t="shared" ca="1" si="24"/>
        <v>0</v>
      </c>
      <c r="U118" t="str">
        <f t="shared" si="25"/>
        <v/>
      </c>
    </row>
    <row r="119" spans="1:21">
      <c r="A119">
        <f t="shared" si="13"/>
        <v>115</v>
      </c>
      <c r="B119" s="6">
        <v>46367</v>
      </c>
      <c r="C119" t="str">
        <f t="shared" si="14"/>
        <v>vie</v>
      </c>
      <c r="D119" s="9" t="s">
        <v>58</v>
      </c>
      <c r="E119" s="9" t="s">
        <v>225</v>
      </c>
      <c r="F119" s="9" t="s">
        <v>3</v>
      </c>
      <c r="G119" s="8">
        <v>1008</v>
      </c>
      <c r="H119" s="7">
        <f t="shared" si="15"/>
        <v>1008</v>
      </c>
      <c r="I119" s="9" t="s">
        <v>226</v>
      </c>
      <c r="J119" s="6"/>
      <c r="K119">
        <f t="shared" si="16"/>
        <v>3</v>
      </c>
      <c r="L119" s="5">
        <f t="shared" si="17"/>
        <v>46370</v>
      </c>
      <c r="M119" s="5">
        <f t="shared" si="18"/>
        <v>46370</v>
      </c>
      <c r="N119">
        <f t="shared" si="19"/>
        <v>1</v>
      </c>
      <c r="O119" s="10">
        <f t="shared" si="20"/>
        <v>7.09</v>
      </c>
      <c r="P119" s="7">
        <f t="shared" si="21"/>
        <v>7146.72</v>
      </c>
      <c r="Q119" s="9" t="s">
        <v>227</v>
      </c>
      <c r="R119" s="5">
        <f t="shared" si="22"/>
        <v>46373</v>
      </c>
      <c r="S119" s="5">
        <f t="shared" si="23"/>
        <v>46370</v>
      </c>
      <c r="T119" s="7">
        <f t="shared" ca="1" si="24"/>
        <v>0</v>
      </c>
      <c r="U119" t="str">
        <f t="shared" si="25"/>
        <v/>
      </c>
    </row>
    <row r="120" spans="1:21">
      <c r="A120">
        <f t="shared" si="13"/>
        <v>116</v>
      </c>
      <c r="B120" s="6">
        <v>46374</v>
      </c>
      <c r="C120" t="str">
        <f t="shared" si="14"/>
        <v>vie</v>
      </c>
      <c r="D120" s="9" t="s">
        <v>58</v>
      </c>
      <c r="E120" s="9" t="s">
        <v>225</v>
      </c>
      <c r="F120" s="9" t="s">
        <v>3</v>
      </c>
      <c r="G120" s="8">
        <v>1008</v>
      </c>
      <c r="H120" s="7">
        <f t="shared" si="15"/>
        <v>1008</v>
      </c>
      <c r="I120" s="9" t="s">
        <v>226</v>
      </c>
      <c r="J120" s="6"/>
      <c r="K120">
        <f t="shared" si="16"/>
        <v>3</v>
      </c>
      <c r="L120" s="5">
        <f t="shared" si="17"/>
        <v>46377</v>
      </c>
      <c r="M120" s="5">
        <f t="shared" si="18"/>
        <v>46377</v>
      </c>
      <c r="N120">
        <f t="shared" si="19"/>
        <v>1</v>
      </c>
      <c r="O120" s="10">
        <f t="shared" si="20"/>
        <v>7.09</v>
      </c>
      <c r="P120" s="7">
        <f t="shared" si="21"/>
        <v>7146.72</v>
      </c>
      <c r="Q120" s="9" t="s">
        <v>227</v>
      </c>
      <c r="R120" s="5">
        <f t="shared" si="22"/>
        <v>46380</v>
      </c>
      <c r="S120" s="5">
        <f t="shared" si="23"/>
        <v>46377</v>
      </c>
      <c r="T120" s="7">
        <f t="shared" ca="1" si="24"/>
        <v>0</v>
      </c>
      <c r="U120" t="str">
        <f t="shared" si="25"/>
        <v/>
      </c>
    </row>
    <row r="121" spans="1:21">
      <c r="A121">
        <f t="shared" si="13"/>
        <v>117</v>
      </c>
      <c r="B121" s="6">
        <v>46374</v>
      </c>
      <c r="C121" t="str">
        <f t="shared" si="14"/>
        <v>vie</v>
      </c>
      <c r="D121" s="9" t="s">
        <v>58</v>
      </c>
      <c r="E121" s="9" t="s">
        <v>225</v>
      </c>
      <c r="F121" s="9" t="s">
        <v>3</v>
      </c>
      <c r="G121" s="8">
        <v>1008</v>
      </c>
      <c r="H121" s="7">
        <f t="shared" si="15"/>
        <v>1008</v>
      </c>
      <c r="I121" s="9" t="s">
        <v>226</v>
      </c>
      <c r="J121" s="6"/>
      <c r="K121">
        <f t="shared" si="16"/>
        <v>3</v>
      </c>
      <c r="L121" s="5">
        <f t="shared" si="17"/>
        <v>46377</v>
      </c>
      <c r="M121" s="5">
        <f t="shared" si="18"/>
        <v>46377</v>
      </c>
      <c r="N121">
        <f t="shared" si="19"/>
        <v>1</v>
      </c>
      <c r="O121" s="10">
        <f t="shared" si="20"/>
        <v>7.09</v>
      </c>
      <c r="P121" s="7">
        <f t="shared" si="21"/>
        <v>7146.72</v>
      </c>
      <c r="Q121" s="9" t="s">
        <v>227</v>
      </c>
      <c r="R121" s="5">
        <f t="shared" si="22"/>
        <v>46380</v>
      </c>
      <c r="S121" s="5">
        <f t="shared" si="23"/>
        <v>46377</v>
      </c>
      <c r="T121" s="7">
        <f t="shared" ca="1" si="24"/>
        <v>0</v>
      </c>
      <c r="U121" t="str">
        <f t="shared" si="25"/>
        <v/>
      </c>
    </row>
    <row r="122" spans="1:21">
      <c r="A122">
        <f t="shared" si="13"/>
        <v>118</v>
      </c>
      <c r="B122" s="6">
        <v>46374</v>
      </c>
      <c r="C122" t="str">
        <f t="shared" si="14"/>
        <v>vie</v>
      </c>
      <c r="D122" s="9" t="s">
        <v>58</v>
      </c>
      <c r="E122" s="9" t="s">
        <v>225</v>
      </c>
      <c r="F122" s="9" t="s">
        <v>3</v>
      </c>
      <c r="G122" s="8">
        <v>1008</v>
      </c>
      <c r="H122" s="7">
        <f t="shared" si="15"/>
        <v>1008</v>
      </c>
      <c r="I122" s="9" t="s">
        <v>226</v>
      </c>
      <c r="J122" s="6"/>
      <c r="K122">
        <f t="shared" si="16"/>
        <v>3</v>
      </c>
      <c r="L122" s="5">
        <f t="shared" si="17"/>
        <v>46377</v>
      </c>
      <c r="M122" s="5">
        <f t="shared" si="18"/>
        <v>46377</v>
      </c>
      <c r="N122">
        <f t="shared" si="19"/>
        <v>1</v>
      </c>
      <c r="O122" s="10">
        <f t="shared" si="20"/>
        <v>7.09</v>
      </c>
      <c r="P122" s="7">
        <f t="shared" si="21"/>
        <v>7146.72</v>
      </c>
      <c r="Q122" s="9" t="s">
        <v>227</v>
      </c>
      <c r="R122" s="5">
        <f t="shared" si="22"/>
        <v>46380</v>
      </c>
      <c r="S122" s="5">
        <f t="shared" si="23"/>
        <v>46377</v>
      </c>
      <c r="T122" s="7">
        <f t="shared" ca="1" si="24"/>
        <v>0</v>
      </c>
      <c r="U122" t="str">
        <f t="shared" si="25"/>
        <v/>
      </c>
    </row>
    <row r="123" spans="1:21">
      <c r="A123">
        <f t="shared" si="13"/>
        <v>119</v>
      </c>
      <c r="B123" s="6">
        <v>46374</v>
      </c>
      <c r="C123" t="str">
        <f t="shared" si="14"/>
        <v>vie</v>
      </c>
      <c r="D123" s="9" t="s">
        <v>58</v>
      </c>
      <c r="E123" s="9" t="s">
        <v>225</v>
      </c>
      <c r="F123" s="9" t="s">
        <v>3</v>
      </c>
      <c r="G123" s="8">
        <v>1008</v>
      </c>
      <c r="H123" s="7">
        <f t="shared" si="15"/>
        <v>1008</v>
      </c>
      <c r="I123" s="9" t="s">
        <v>226</v>
      </c>
      <c r="J123" s="6"/>
      <c r="K123">
        <f t="shared" si="16"/>
        <v>3</v>
      </c>
      <c r="L123" s="5">
        <f t="shared" si="17"/>
        <v>46377</v>
      </c>
      <c r="M123" s="5">
        <f t="shared" si="18"/>
        <v>46377</v>
      </c>
      <c r="N123">
        <f t="shared" si="19"/>
        <v>1</v>
      </c>
      <c r="O123" s="10">
        <f t="shared" si="20"/>
        <v>7.09</v>
      </c>
      <c r="P123" s="7">
        <f t="shared" si="21"/>
        <v>7146.72</v>
      </c>
      <c r="Q123" s="9" t="s">
        <v>227</v>
      </c>
      <c r="R123" s="5">
        <f t="shared" si="22"/>
        <v>46380</v>
      </c>
      <c r="S123" s="5">
        <f t="shared" si="23"/>
        <v>46377</v>
      </c>
      <c r="T123" s="7">
        <f t="shared" ca="1" si="24"/>
        <v>0</v>
      </c>
      <c r="U123" t="str">
        <f t="shared" si="25"/>
        <v/>
      </c>
    </row>
    <row r="124" spans="1:21">
      <c r="A124">
        <f t="shared" si="13"/>
        <v>120</v>
      </c>
      <c r="B124" s="6">
        <v>46374</v>
      </c>
      <c r="C124" t="str">
        <f t="shared" si="14"/>
        <v>vie</v>
      </c>
      <c r="D124" s="9" t="s">
        <v>58</v>
      </c>
      <c r="E124" s="9" t="s">
        <v>225</v>
      </c>
      <c r="F124" s="9" t="s">
        <v>3</v>
      </c>
      <c r="G124" s="8">
        <v>1008</v>
      </c>
      <c r="H124" s="7">
        <f t="shared" si="15"/>
        <v>1008</v>
      </c>
      <c r="I124" s="9" t="s">
        <v>226</v>
      </c>
      <c r="J124" s="6"/>
      <c r="K124">
        <f t="shared" si="16"/>
        <v>3</v>
      </c>
      <c r="L124" s="5">
        <f t="shared" si="17"/>
        <v>46377</v>
      </c>
      <c r="M124" s="5">
        <f t="shared" si="18"/>
        <v>46377</v>
      </c>
      <c r="N124">
        <f t="shared" si="19"/>
        <v>1</v>
      </c>
      <c r="O124" s="10">
        <f t="shared" si="20"/>
        <v>7.09</v>
      </c>
      <c r="P124" s="7">
        <f t="shared" si="21"/>
        <v>7146.72</v>
      </c>
      <c r="Q124" s="9" t="s">
        <v>227</v>
      </c>
      <c r="R124" s="5">
        <f t="shared" si="22"/>
        <v>46380</v>
      </c>
      <c r="S124" s="5">
        <f t="shared" si="23"/>
        <v>46377</v>
      </c>
      <c r="T124" s="7">
        <f t="shared" ca="1" si="24"/>
        <v>0</v>
      </c>
      <c r="U124" t="str">
        <f t="shared" si="25"/>
        <v/>
      </c>
    </row>
    <row r="125" spans="1:21">
      <c r="A125">
        <f t="shared" si="13"/>
        <v>121</v>
      </c>
      <c r="B125" s="6">
        <v>46374</v>
      </c>
      <c r="C125" t="str">
        <f t="shared" si="14"/>
        <v>vie</v>
      </c>
      <c r="D125" s="9" t="s">
        <v>58</v>
      </c>
      <c r="E125" s="9" t="s">
        <v>225</v>
      </c>
      <c r="F125" s="9" t="s">
        <v>3</v>
      </c>
      <c r="G125" s="8">
        <v>1008</v>
      </c>
      <c r="H125" s="7">
        <f t="shared" si="15"/>
        <v>1008</v>
      </c>
      <c r="I125" s="9" t="s">
        <v>226</v>
      </c>
      <c r="J125" s="6"/>
      <c r="K125">
        <f t="shared" si="16"/>
        <v>3</v>
      </c>
      <c r="L125" s="5">
        <f t="shared" si="17"/>
        <v>46377</v>
      </c>
      <c r="M125" s="5">
        <f t="shared" si="18"/>
        <v>46377</v>
      </c>
      <c r="N125">
        <f t="shared" si="19"/>
        <v>1</v>
      </c>
      <c r="O125" s="10">
        <f t="shared" si="20"/>
        <v>7.09</v>
      </c>
      <c r="P125" s="7">
        <f t="shared" si="21"/>
        <v>7146.72</v>
      </c>
      <c r="Q125" s="9" t="s">
        <v>227</v>
      </c>
      <c r="R125" s="5">
        <f t="shared" si="22"/>
        <v>46380</v>
      </c>
      <c r="S125" s="5">
        <f t="shared" si="23"/>
        <v>46377</v>
      </c>
      <c r="T125" s="7">
        <f t="shared" ca="1" si="24"/>
        <v>0</v>
      </c>
      <c r="U125" t="str">
        <f t="shared" si="25"/>
        <v/>
      </c>
    </row>
    <row r="126" spans="1:21">
      <c r="A126">
        <f t="shared" si="13"/>
        <v>122</v>
      </c>
      <c r="B126" s="6">
        <v>46374</v>
      </c>
      <c r="C126" t="str">
        <f t="shared" si="14"/>
        <v>vie</v>
      </c>
      <c r="D126" s="9" t="s">
        <v>58</v>
      </c>
      <c r="E126" s="9" t="s">
        <v>225</v>
      </c>
      <c r="F126" s="9" t="s">
        <v>3</v>
      </c>
      <c r="G126" s="8">
        <v>1008</v>
      </c>
      <c r="H126" s="7">
        <f t="shared" si="15"/>
        <v>1008</v>
      </c>
      <c r="I126" s="9" t="s">
        <v>226</v>
      </c>
      <c r="J126" s="6"/>
      <c r="K126">
        <f t="shared" si="16"/>
        <v>3</v>
      </c>
      <c r="L126" s="5">
        <f t="shared" si="17"/>
        <v>46377</v>
      </c>
      <c r="M126" s="5">
        <f t="shared" si="18"/>
        <v>46377</v>
      </c>
      <c r="N126">
        <f t="shared" si="19"/>
        <v>1</v>
      </c>
      <c r="O126" s="10">
        <f t="shared" si="20"/>
        <v>7.09</v>
      </c>
      <c r="P126" s="7">
        <f t="shared" si="21"/>
        <v>7146.72</v>
      </c>
      <c r="Q126" s="9" t="s">
        <v>227</v>
      </c>
      <c r="R126" s="5">
        <f t="shared" si="22"/>
        <v>46380</v>
      </c>
      <c r="S126" s="5">
        <f t="shared" si="23"/>
        <v>46377</v>
      </c>
      <c r="T126" s="7">
        <f t="shared" ca="1" si="24"/>
        <v>0</v>
      </c>
      <c r="U126" t="str">
        <f t="shared" si="25"/>
        <v/>
      </c>
    </row>
    <row r="127" spans="1:21">
      <c r="A127">
        <f t="shared" si="13"/>
        <v>123</v>
      </c>
      <c r="B127" s="6">
        <v>46374</v>
      </c>
      <c r="C127" t="str">
        <f t="shared" si="14"/>
        <v>vie</v>
      </c>
      <c r="D127" s="9" t="s">
        <v>58</v>
      </c>
      <c r="E127" s="9" t="s">
        <v>225</v>
      </c>
      <c r="F127" s="9" t="s">
        <v>3</v>
      </c>
      <c r="G127" s="8">
        <v>1008</v>
      </c>
      <c r="H127" s="7">
        <f t="shared" si="15"/>
        <v>1008</v>
      </c>
      <c r="I127" s="9" t="s">
        <v>226</v>
      </c>
      <c r="J127" s="6"/>
      <c r="K127">
        <f t="shared" si="16"/>
        <v>3</v>
      </c>
      <c r="L127" s="5">
        <f t="shared" si="17"/>
        <v>46377</v>
      </c>
      <c r="M127" s="5">
        <f t="shared" si="18"/>
        <v>46377</v>
      </c>
      <c r="N127">
        <f t="shared" si="19"/>
        <v>1</v>
      </c>
      <c r="O127" s="10">
        <f t="shared" si="20"/>
        <v>7.09</v>
      </c>
      <c r="P127" s="7">
        <f t="shared" si="21"/>
        <v>7146.72</v>
      </c>
      <c r="Q127" s="9" t="s">
        <v>227</v>
      </c>
      <c r="R127" s="5">
        <f t="shared" si="22"/>
        <v>46380</v>
      </c>
      <c r="S127" s="5">
        <f t="shared" si="23"/>
        <v>46377</v>
      </c>
      <c r="T127" s="7">
        <f t="shared" ca="1" si="24"/>
        <v>0</v>
      </c>
      <c r="U127" t="str">
        <f t="shared" si="25"/>
        <v/>
      </c>
    </row>
    <row r="128" spans="1:21">
      <c r="A128" t="str">
        <f t="shared" si="13"/>
        <v/>
      </c>
      <c r="B128" s="6"/>
      <c r="C128" t="str">
        <f t="shared" si="14"/>
        <v/>
      </c>
      <c r="D128" s="9"/>
      <c r="E128" s="9"/>
      <c r="F128" s="9"/>
      <c r="G128" s="8"/>
      <c r="H128" s="7" t="str">
        <f t="shared" si="15"/>
        <v/>
      </c>
      <c r="I128" s="9"/>
      <c r="J128" s="6"/>
      <c r="K128" t="str">
        <f t="shared" si="16"/>
        <v/>
      </c>
      <c r="L128" s="5" t="str">
        <f t="shared" si="17"/>
        <v/>
      </c>
      <c r="M128" s="5" t="str">
        <f t="shared" si="18"/>
        <v/>
      </c>
      <c r="N128" t="str">
        <f t="shared" si="19"/>
        <v/>
      </c>
      <c r="O128" s="10" t="str">
        <f t="shared" si="20"/>
        <v/>
      </c>
      <c r="P128" s="7" t="str">
        <f t="shared" si="21"/>
        <v/>
      </c>
      <c r="Q128" s="9"/>
      <c r="R128" s="5" t="str">
        <f t="shared" si="22"/>
        <v/>
      </c>
      <c r="S128" s="5" t="str">
        <f t="shared" si="23"/>
        <v/>
      </c>
      <c r="T128" s="7" t="str">
        <f t="shared" si="24"/>
        <v/>
      </c>
      <c r="U128" t="str">
        <f t="shared" si="25"/>
        <v/>
      </c>
    </row>
    <row r="129" spans="1:21">
      <c r="A129" t="str">
        <f t="shared" si="13"/>
        <v/>
      </c>
      <c r="B129" s="6"/>
      <c r="C129" t="str">
        <f t="shared" si="14"/>
        <v/>
      </c>
      <c r="D129" s="9"/>
      <c r="E129" s="9"/>
      <c r="F129" s="9"/>
      <c r="G129" s="8"/>
      <c r="H129" s="7" t="str">
        <f t="shared" si="15"/>
        <v/>
      </c>
      <c r="I129" s="9"/>
      <c r="J129" s="6"/>
      <c r="K129" t="str">
        <f t="shared" si="16"/>
        <v/>
      </c>
      <c r="L129" s="5" t="str">
        <f t="shared" si="17"/>
        <v/>
      </c>
      <c r="M129" s="5" t="str">
        <f t="shared" si="18"/>
        <v/>
      </c>
      <c r="N129" t="str">
        <f t="shared" si="19"/>
        <v/>
      </c>
      <c r="O129" s="10" t="str">
        <f t="shared" si="20"/>
        <v/>
      </c>
      <c r="P129" s="7" t="str">
        <f t="shared" si="21"/>
        <v/>
      </c>
      <c r="Q129" s="9"/>
      <c r="R129" s="5" t="str">
        <f t="shared" si="22"/>
        <v/>
      </c>
      <c r="S129" s="5" t="str">
        <f t="shared" si="23"/>
        <v/>
      </c>
      <c r="T129" s="7" t="str">
        <f t="shared" si="24"/>
        <v/>
      </c>
      <c r="U129" t="str">
        <f t="shared" si="25"/>
        <v/>
      </c>
    </row>
    <row r="130" spans="1:21">
      <c r="A130" t="str">
        <f t="shared" si="13"/>
        <v/>
      </c>
      <c r="B130" s="6"/>
      <c r="C130" t="str">
        <f t="shared" si="14"/>
        <v/>
      </c>
      <c r="D130" s="9"/>
      <c r="E130" s="9"/>
      <c r="F130" s="9"/>
      <c r="G130" s="8"/>
      <c r="H130" s="7" t="str">
        <f t="shared" si="15"/>
        <v/>
      </c>
      <c r="I130" s="9"/>
      <c r="J130" s="6"/>
      <c r="K130" t="str">
        <f t="shared" si="16"/>
        <v/>
      </c>
      <c r="L130" s="5" t="str">
        <f t="shared" si="17"/>
        <v/>
      </c>
      <c r="M130" s="5" t="str">
        <f t="shared" si="18"/>
        <v/>
      </c>
      <c r="N130" t="str">
        <f t="shared" si="19"/>
        <v/>
      </c>
      <c r="O130" s="10" t="str">
        <f t="shared" si="20"/>
        <v/>
      </c>
      <c r="P130" s="7" t="str">
        <f t="shared" si="21"/>
        <v/>
      </c>
      <c r="Q130" s="9"/>
      <c r="R130" s="5" t="str">
        <f t="shared" si="22"/>
        <v/>
      </c>
      <c r="S130" s="5" t="str">
        <f t="shared" si="23"/>
        <v/>
      </c>
      <c r="T130" s="7" t="str">
        <f t="shared" si="24"/>
        <v/>
      </c>
      <c r="U130" t="str">
        <f t="shared" si="25"/>
        <v/>
      </c>
    </row>
    <row r="131" spans="1:21">
      <c r="A131" t="str">
        <f t="shared" si="13"/>
        <v/>
      </c>
      <c r="B131" s="6"/>
      <c r="C131" t="str">
        <f t="shared" si="14"/>
        <v/>
      </c>
      <c r="D131" s="9"/>
      <c r="E131" s="9"/>
      <c r="F131" s="9"/>
      <c r="G131" s="8"/>
      <c r="H131" s="7" t="str">
        <f t="shared" si="15"/>
        <v/>
      </c>
      <c r="I131" s="9"/>
      <c r="J131" s="6"/>
      <c r="K131" t="str">
        <f t="shared" si="16"/>
        <v/>
      </c>
      <c r="L131" s="5" t="str">
        <f t="shared" si="17"/>
        <v/>
      </c>
      <c r="M131" s="5" t="str">
        <f t="shared" si="18"/>
        <v/>
      </c>
      <c r="N131" t="str">
        <f t="shared" si="19"/>
        <v/>
      </c>
      <c r="O131" s="10" t="str">
        <f t="shared" si="20"/>
        <v/>
      </c>
      <c r="P131" s="7" t="str">
        <f t="shared" si="21"/>
        <v/>
      </c>
      <c r="Q131" s="9"/>
      <c r="R131" s="5" t="str">
        <f t="shared" si="22"/>
        <v/>
      </c>
      <c r="S131" s="5" t="str">
        <f t="shared" si="23"/>
        <v/>
      </c>
      <c r="T131" s="7" t="str">
        <f t="shared" si="24"/>
        <v/>
      </c>
      <c r="U131" t="str">
        <f t="shared" si="25"/>
        <v/>
      </c>
    </row>
    <row r="132" spans="1:21">
      <c r="A132" t="str">
        <f t="shared" si="13"/>
        <v/>
      </c>
      <c r="B132" s="6"/>
      <c r="C132" t="str">
        <f t="shared" si="14"/>
        <v/>
      </c>
      <c r="D132" s="9"/>
      <c r="E132" s="9"/>
      <c r="F132" s="9"/>
      <c r="G132" s="8"/>
      <c r="H132" s="7" t="str">
        <f t="shared" si="15"/>
        <v/>
      </c>
      <c r="I132" s="9"/>
      <c r="J132" s="6"/>
      <c r="K132" t="str">
        <f t="shared" si="16"/>
        <v/>
      </c>
      <c r="L132" s="5" t="str">
        <f t="shared" si="17"/>
        <v/>
      </c>
      <c r="M132" s="5" t="str">
        <f t="shared" si="18"/>
        <v/>
      </c>
      <c r="N132" t="str">
        <f t="shared" si="19"/>
        <v/>
      </c>
      <c r="O132" s="10" t="str">
        <f t="shared" si="20"/>
        <v/>
      </c>
      <c r="P132" s="7" t="str">
        <f t="shared" si="21"/>
        <v/>
      </c>
      <c r="Q132" s="9"/>
      <c r="R132" s="5" t="str">
        <f t="shared" si="22"/>
        <v/>
      </c>
      <c r="S132" s="5" t="str">
        <f t="shared" si="23"/>
        <v/>
      </c>
      <c r="T132" s="7" t="str">
        <f t="shared" si="24"/>
        <v/>
      </c>
      <c r="U132" t="str">
        <f t="shared" si="25"/>
        <v/>
      </c>
    </row>
    <row r="133" spans="1:21">
      <c r="A133" t="str">
        <f t="shared" ref="A133:A196" si="26">IF(B133="","",ROW()-4)</f>
        <v/>
      </c>
      <c r="B133" s="6"/>
      <c r="C133" t="str">
        <f t="shared" ref="C133:C196" si="27">IF(B133="","",TEXT(B133,"ddd"))</f>
        <v/>
      </c>
      <c r="D133" s="9"/>
      <c r="E133" s="9"/>
      <c r="F133" s="9"/>
      <c r="G133" s="8"/>
      <c r="H133" s="7" t="str">
        <f t="shared" ref="H133:H196" si="28">IF(B133="","",IF(G133&lt;&gt;"",G133,IFERROR(INDEX(CajasOrigen,MATCH(D133,Origenes,0)),CajasProm)))</f>
        <v/>
      </c>
      <c r="I133" s="9"/>
      <c r="J133" s="6"/>
      <c r="K133" t="str">
        <f t="shared" ref="K133:K196" si="29">IF(B133="","",IFERROR(INDEX(Lags,MATCH(D133,Origenes,0)),LagBR)+IF(J133&lt;&gt;"",0,AtrasoDias))</f>
        <v/>
      </c>
      <c r="L133" s="5" t="str">
        <f t="shared" ref="L133:L196" si="30">IF(B133="","",IF(J133&lt;&gt;"",J133,B133+K133))</f>
        <v/>
      </c>
      <c r="M133" s="5" t="str">
        <f t="shared" ref="M133:M196" si="31">IF(L133="","",L133-WEEKDAY(L133,2)+1)</f>
        <v/>
      </c>
      <c r="N133" t="str">
        <f t="shared" ref="N133:N196" si="32">IF(L133="","",IF(L133&gt;FechaConteo,1,0)*IF(I133="Supuesto",SupPY,IF(I133="Supuesto BR",SupBR,1)))</f>
        <v/>
      </c>
      <c r="O133" s="10" t="str">
        <f t="shared" ref="O133:O196" si="33">IF(D133="","",IFERROR(INDEX(CostoOrigen,MATCH(D133,Origenes,0)),0))</f>
        <v/>
      </c>
      <c r="P133" s="7" t="str">
        <f t="shared" ref="P133:P196" si="34">IF(H133="","",H133*O133)</f>
        <v/>
      </c>
      <c r="Q133" s="9"/>
      <c r="R133" s="5" t="str">
        <f t="shared" ref="R133:R196" si="35">IF(B133="","",IF(J133&lt;&gt;"",J133,B133+IFERROR(INDEX(LagsP90,MATCH(D133,Origenes,0)),K133)))</f>
        <v/>
      </c>
      <c r="S133" s="5" t="str">
        <f t="shared" ref="S133:S196" si="36">IF(R133="","",R133-WEEKDAY(R133,2)+1)</f>
        <v/>
      </c>
      <c r="T133" s="7" t="str">
        <f t="shared" ref="T133:T196" si="37">IF(B133="","",IF(AND(B133&lt;=FechaHoy,J133="",I133&lt;&gt;"Supuesto",I133&lt;&gt;"Simulado"),H133,0))</f>
        <v/>
      </c>
      <c r="U133" t="str">
        <f t="shared" ref="U133:U196" si="38">IF(J133="","",IF(J133-B133&lt;=K133+1,1,0))</f>
        <v/>
      </c>
    </row>
    <row r="134" spans="1:21">
      <c r="A134" t="str">
        <f t="shared" si="26"/>
        <v/>
      </c>
      <c r="B134" s="6"/>
      <c r="C134" t="str">
        <f t="shared" si="27"/>
        <v/>
      </c>
      <c r="D134" s="9"/>
      <c r="E134" s="9"/>
      <c r="F134" s="9"/>
      <c r="G134" s="8"/>
      <c r="H134" s="7" t="str">
        <f t="shared" si="28"/>
        <v/>
      </c>
      <c r="I134" s="9"/>
      <c r="J134" s="6"/>
      <c r="K134" t="str">
        <f t="shared" si="29"/>
        <v/>
      </c>
      <c r="L134" s="5" t="str">
        <f t="shared" si="30"/>
        <v/>
      </c>
      <c r="M134" s="5" t="str">
        <f t="shared" si="31"/>
        <v/>
      </c>
      <c r="N134" t="str">
        <f t="shared" si="32"/>
        <v/>
      </c>
      <c r="O134" s="10" t="str">
        <f t="shared" si="33"/>
        <v/>
      </c>
      <c r="P134" s="7" t="str">
        <f t="shared" si="34"/>
        <v/>
      </c>
      <c r="Q134" s="9"/>
      <c r="R134" s="5" t="str">
        <f t="shared" si="35"/>
        <v/>
      </c>
      <c r="S134" s="5" t="str">
        <f t="shared" si="36"/>
        <v/>
      </c>
      <c r="T134" s="7" t="str">
        <f t="shared" si="37"/>
        <v/>
      </c>
      <c r="U134" t="str">
        <f t="shared" si="38"/>
        <v/>
      </c>
    </row>
    <row r="135" spans="1:21">
      <c r="A135" t="str">
        <f t="shared" si="26"/>
        <v/>
      </c>
      <c r="B135" s="6"/>
      <c r="C135" t="str">
        <f t="shared" si="27"/>
        <v/>
      </c>
      <c r="D135" s="9"/>
      <c r="E135" s="9"/>
      <c r="F135" s="9"/>
      <c r="G135" s="8"/>
      <c r="H135" s="7" t="str">
        <f t="shared" si="28"/>
        <v/>
      </c>
      <c r="I135" s="9"/>
      <c r="J135" s="6"/>
      <c r="K135" t="str">
        <f t="shared" si="29"/>
        <v/>
      </c>
      <c r="L135" s="5" t="str">
        <f t="shared" si="30"/>
        <v/>
      </c>
      <c r="M135" s="5" t="str">
        <f t="shared" si="31"/>
        <v/>
      </c>
      <c r="N135" t="str">
        <f t="shared" si="32"/>
        <v/>
      </c>
      <c r="O135" s="10" t="str">
        <f t="shared" si="33"/>
        <v/>
      </c>
      <c r="P135" s="7" t="str">
        <f t="shared" si="34"/>
        <v/>
      </c>
      <c r="Q135" s="9"/>
      <c r="R135" s="5" t="str">
        <f t="shared" si="35"/>
        <v/>
      </c>
      <c r="S135" s="5" t="str">
        <f t="shared" si="36"/>
        <v/>
      </c>
      <c r="T135" s="7" t="str">
        <f t="shared" si="37"/>
        <v/>
      </c>
      <c r="U135" t="str">
        <f t="shared" si="38"/>
        <v/>
      </c>
    </row>
    <row r="136" spans="1:21">
      <c r="A136" t="str">
        <f t="shared" si="26"/>
        <v/>
      </c>
      <c r="B136" s="6"/>
      <c r="C136" t="str">
        <f t="shared" si="27"/>
        <v/>
      </c>
      <c r="D136" s="9"/>
      <c r="E136" s="9"/>
      <c r="F136" s="9"/>
      <c r="G136" s="8"/>
      <c r="H136" s="7" t="str">
        <f t="shared" si="28"/>
        <v/>
      </c>
      <c r="I136" s="9"/>
      <c r="J136" s="6"/>
      <c r="K136" t="str">
        <f t="shared" si="29"/>
        <v/>
      </c>
      <c r="L136" s="5" t="str">
        <f t="shared" si="30"/>
        <v/>
      </c>
      <c r="M136" s="5" t="str">
        <f t="shared" si="31"/>
        <v/>
      </c>
      <c r="N136" t="str">
        <f t="shared" si="32"/>
        <v/>
      </c>
      <c r="O136" s="10" t="str">
        <f t="shared" si="33"/>
        <v/>
      </c>
      <c r="P136" s="7" t="str">
        <f t="shared" si="34"/>
        <v/>
      </c>
      <c r="Q136" s="9"/>
      <c r="R136" s="5" t="str">
        <f t="shared" si="35"/>
        <v/>
      </c>
      <c r="S136" s="5" t="str">
        <f t="shared" si="36"/>
        <v/>
      </c>
      <c r="T136" s="7" t="str">
        <f t="shared" si="37"/>
        <v/>
      </c>
      <c r="U136" t="str">
        <f t="shared" si="38"/>
        <v/>
      </c>
    </row>
    <row r="137" spans="1:21">
      <c r="A137" t="str">
        <f t="shared" si="26"/>
        <v/>
      </c>
      <c r="B137" s="6"/>
      <c r="C137" t="str">
        <f t="shared" si="27"/>
        <v/>
      </c>
      <c r="D137" s="9"/>
      <c r="E137" s="9"/>
      <c r="F137" s="9"/>
      <c r="G137" s="8"/>
      <c r="H137" s="7" t="str">
        <f t="shared" si="28"/>
        <v/>
      </c>
      <c r="I137" s="9"/>
      <c r="J137" s="6"/>
      <c r="K137" t="str">
        <f t="shared" si="29"/>
        <v/>
      </c>
      <c r="L137" s="5" t="str">
        <f t="shared" si="30"/>
        <v/>
      </c>
      <c r="M137" s="5" t="str">
        <f t="shared" si="31"/>
        <v/>
      </c>
      <c r="N137" t="str">
        <f t="shared" si="32"/>
        <v/>
      </c>
      <c r="O137" s="10" t="str">
        <f t="shared" si="33"/>
        <v/>
      </c>
      <c r="P137" s="7" t="str">
        <f t="shared" si="34"/>
        <v/>
      </c>
      <c r="Q137" s="9"/>
      <c r="R137" s="5" t="str">
        <f t="shared" si="35"/>
        <v/>
      </c>
      <c r="S137" s="5" t="str">
        <f t="shared" si="36"/>
        <v/>
      </c>
      <c r="T137" s="7" t="str">
        <f t="shared" si="37"/>
        <v/>
      </c>
      <c r="U137" t="str">
        <f t="shared" si="38"/>
        <v/>
      </c>
    </row>
    <row r="138" spans="1:21">
      <c r="A138" t="str">
        <f t="shared" si="26"/>
        <v/>
      </c>
      <c r="B138" s="6"/>
      <c r="C138" t="str">
        <f t="shared" si="27"/>
        <v/>
      </c>
      <c r="D138" s="9"/>
      <c r="E138" s="9"/>
      <c r="F138" s="9"/>
      <c r="G138" s="8"/>
      <c r="H138" s="7" t="str">
        <f t="shared" si="28"/>
        <v/>
      </c>
      <c r="I138" s="9"/>
      <c r="J138" s="6"/>
      <c r="K138" t="str">
        <f t="shared" si="29"/>
        <v/>
      </c>
      <c r="L138" s="5" t="str">
        <f t="shared" si="30"/>
        <v/>
      </c>
      <c r="M138" s="5" t="str">
        <f t="shared" si="31"/>
        <v/>
      </c>
      <c r="N138" t="str">
        <f t="shared" si="32"/>
        <v/>
      </c>
      <c r="O138" s="10" t="str">
        <f t="shared" si="33"/>
        <v/>
      </c>
      <c r="P138" s="7" t="str">
        <f t="shared" si="34"/>
        <v/>
      </c>
      <c r="Q138" s="9"/>
      <c r="R138" s="5" t="str">
        <f t="shared" si="35"/>
        <v/>
      </c>
      <c r="S138" s="5" t="str">
        <f t="shared" si="36"/>
        <v/>
      </c>
      <c r="T138" s="7" t="str">
        <f t="shared" si="37"/>
        <v/>
      </c>
      <c r="U138" t="str">
        <f t="shared" si="38"/>
        <v/>
      </c>
    </row>
    <row r="139" spans="1:21">
      <c r="A139" t="str">
        <f t="shared" si="26"/>
        <v/>
      </c>
      <c r="B139" s="6"/>
      <c r="C139" t="str">
        <f t="shared" si="27"/>
        <v/>
      </c>
      <c r="D139" s="9"/>
      <c r="E139" s="9"/>
      <c r="F139" s="9"/>
      <c r="G139" s="8"/>
      <c r="H139" s="7" t="str">
        <f t="shared" si="28"/>
        <v/>
      </c>
      <c r="I139" s="9"/>
      <c r="J139" s="6"/>
      <c r="K139" t="str">
        <f t="shared" si="29"/>
        <v/>
      </c>
      <c r="L139" s="5" t="str">
        <f t="shared" si="30"/>
        <v/>
      </c>
      <c r="M139" s="5" t="str">
        <f t="shared" si="31"/>
        <v/>
      </c>
      <c r="N139" t="str">
        <f t="shared" si="32"/>
        <v/>
      </c>
      <c r="O139" s="10" t="str">
        <f t="shared" si="33"/>
        <v/>
      </c>
      <c r="P139" s="7" t="str">
        <f t="shared" si="34"/>
        <v/>
      </c>
      <c r="Q139" s="9"/>
      <c r="R139" s="5" t="str">
        <f t="shared" si="35"/>
        <v/>
      </c>
      <c r="S139" s="5" t="str">
        <f t="shared" si="36"/>
        <v/>
      </c>
      <c r="T139" s="7" t="str">
        <f t="shared" si="37"/>
        <v/>
      </c>
      <c r="U139" t="str">
        <f t="shared" si="38"/>
        <v/>
      </c>
    </row>
    <row r="140" spans="1:21">
      <c r="A140" t="str">
        <f t="shared" si="26"/>
        <v/>
      </c>
      <c r="B140" s="6"/>
      <c r="C140" t="str">
        <f t="shared" si="27"/>
        <v/>
      </c>
      <c r="D140" s="9"/>
      <c r="E140" s="9"/>
      <c r="F140" s="9"/>
      <c r="G140" s="8"/>
      <c r="H140" s="7" t="str">
        <f t="shared" si="28"/>
        <v/>
      </c>
      <c r="I140" s="9"/>
      <c r="J140" s="6"/>
      <c r="K140" t="str">
        <f t="shared" si="29"/>
        <v/>
      </c>
      <c r="L140" s="5" t="str">
        <f t="shared" si="30"/>
        <v/>
      </c>
      <c r="M140" s="5" t="str">
        <f t="shared" si="31"/>
        <v/>
      </c>
      <c r="N140" t="str">
        <f t="shared" si="32"/>
        <v/>
      </c>
      <c r="O140" s="10" t="str">
        <f t="shared" si="33"/>
        <v/>
      </c>
      <c r="P140" s="7" t="str">
        <f t="shared" si="34"/>
        <v/>
      </c>
      <c r="Q140" s="9"/>
      <c r="R140" s="5" t="str">
        <f t="shared" si="35"/>
        <v/>
      </c>
      <c r="S140" s="5" t="str">
        <f t="shared" si="36"/>
        <v/>
      </c>
      <c r="T140" s="7" t="str">
        <f t="shared" si="37"/>
        <v/>
      </c>
      <c r="U140" t="str">
        <f t="shared" si="38"/>
        <v/>
      </c>
    </row>
    <row r="141" spans="1:21">
      <c r="A141" t="str">
        <f t="shared" si="26"/>
        <v/>
      </c>
      <c r="B141" s="6"/>
      <c r="C141" t="str">
        <f t="shared" si="27"/>
        <v/>
      </c>
      <c r="D141" s="9"/>
      <c r="E141" s="9"/>
      <c r="F141" s="9"/>
      <c r="G141" s="8"/>
      <c r="H141" s="7" t="str">
        <f t="shared" si="28"/>
        <v/>
      </c>
      <c r="I141" s="9"/>
      <c r="J141" s="6"/>
      <c r="K141" t="str">
        <f t="shared" si="29"/>
        <v/>
      </c>
      <c r="L141" s="5" t="str">
        <f t="shared" si="30"/>
        <v/>
      </c>
      <c r="M141" s="5" t="str">
        <f t="shared" si="31"/>
        <v/>
      </c>
      <c r="N141" t="str">
        <f t="shared" si="32"/>
        <v/>
      </c>
      <c r="O141" s="10" t="str">
        <f t="shared" si="33"/>
        <v/>
      </c>
      <c r="P141" s="7" t="str">
        <f t="shared" si="34"/>
        <v/>
      </c>
      <c r="Q141" s="9"/>
      <c r="R141" s="5" t="str">
        <f t="shared" si="35"/>
        <v/>
      </c>
      <c r="S141" s="5" t="str">
        <f t="shared" si="36"/>
        <v/>
      </c>
      <c r="T141" s="7" t="str">
        <f t="shared" si="37"/>
        <v/>
      </c>
      <c r="U141" t="str">
        <f t="shared" si="38"/>
        <v/>
      </c>
    </row>
    <row r="142" spans="1:21">
      <c r="A142" t="str">
        <f t="shared" si="26"/>
        <v/>
      </c>
      <c r="B142" s="6"/>
      <c r="C142" t="str">
        <f t="shared" si="27"/>
        <v/>
      </c>
      <c r="D142" s="9"/>
      <c r="E142" s="9"/>
      <c r="F142" s="9"/>
      <c r="G142" s="8"/>
      <c r="H142" s="7" t="str">
        <f t="shared" si="28"/>
        <v/>
      </c>
      <c r="I142" s="9"/>
      <c r="J142" s="6"/>
      <c r="K142" t="str">
        <f t="shared" si="29"/>
        <v/>
      </c>
      <c r="L142" s="5" t="str">
        <f t="shared" si="30"/>
        <v/>
      </c>
      <c r="M142" s="5" t="str">
        <f t="shared" si="31"/>
        <v/>
      </c>
      <c r="N142" t="str">
        <f t="shared" si="32"/>
        <v/>
      </c>
      <c r="O142" s="10" t="str">
        <f t="shared" si="33"/>
        <v/>
      </c>
      <c r="P142" s="7" t="str">
        <f t="shared" si="34"/>
        <v/>
      </c>
      <c r="Q142" s="9"/>
      <c r="R142" s="5" t="str">
        <f t="shared" si="35"/>
        <v/>
      </c>
      <c r="S142" s="5" t="str">
        <f t="shared" si="36"/>
        <v/>
      </c>
      <c r="T142" s="7" t="str">
        <f t="shared" si="37"/>
        <v/>
      </c>
      <c r="U142" t="str">
        <f t="shared" si="38"/>
        <v/>
      </c>
    </row>
    <row r="143" spans="1:21">
      <c r="A143" t="str">
        <f t="shared" si="26"/>
        <v/>
      </c>
      <c r="B143" s="6"/>
      <c r="C143" t="str">
        <f t="shared" si="27"/>
        <v/>
      </c>
      <c r="D143" s="9"/>
      <c r="E143" s="9"/>
      <c r="F143" s="9"/>
      <c r="G143" s="8"/>
      <c r="H143" s="7" t="str">
        <f t="shared" si="28"/>
        <v/>
      </c>
      <c r="I143" s="9"/>
      <c r="J143" s="6"/>
      <c r="K143" t="str">
        <f t="shared" si="29"/>
        <v/>
      </c>
      <c r="L143" s="5" t="str">
        <f t="shared" si="30"/>
        <v/>
      </c>
      <c r="M143" s="5" t="str">
        <f t="shared" si="31"/>
        <v/>
      </c>
      <c r="N143" t="str">
        <f t="shared" si="32"/>
        <v/>
      </c>
      <c r="O143" s="10" t="str">
        <f t="shared" si="33"/>
        <v/>
      </c>
      <c r="P143" s="7" t="str">
        <f t="shared" si="34"/>
        <v/>
      </c>
      <c r="Q143" s="9"/>
      <c r="R143" s="5" t="str">
        <f t="shared" si="35"/>
        <v/>
      </c>
      <c r="S143" s="5" t="str">
        <f t="shared" si="36"/>
        <v/>
      </c>
      <c r="T143" s="7" t="str">
        <f t="shared" si="37"/>
        <v/>
      </c>
      <c r="U143" t="str">
        <f t="shared" si="38"/>
        <v/>
      </c>
    </row>
    <row r="144" spans="1:21">
      <c r="A144" t="str">
        <f t="shared" si="26"/>
        <v/>
      </c>
      <c r="B144" s="6"/>
      <c r="C144" t="str">
        <f t="shared" si="27"/>
        <v/>
      </c>
      <c r="D144" s="9"/>
      <c r="E144" s="9"/>
      <c r="F144" s="9"/>
      <c r="G144" s="8"/>
      <c r="H144" s="7" t="str">
        <f t="shared" si="28"/>
        <v/>
      </c>
      <c r="I144" s="9"/>
      <c r="J144" s="6"/>
      <c r="K144" t="str">
        <f t="shared" si="29"/>
        <v/>
      </c>
      <c r="L144" s="5" t="str">
        <f t="shared" si="30"/>
        <v/>
      </c>
      <c r="M144" s="5" t="str">
        <f t="shared" si="31"/>
        <v/>
      </c>
      <c r="N144" t="str">
        <f t="shared" si="32"/>
        <v/>
      </c>
      <c r="O144" s="10" t="str">
        <f t="shared" si="33"/>
        <v/>
      </c>
      <c r="P144" s="7" t="str">
        <f t="shared" si="34"/>
        <v/>
      </c>
      <c r="Q144" s="9"/>
      <c r="R144" s="5" t="str">
        <f t="shared" si="35"/>
        <v/>
      </c>
      <c r="S144" s="5" t="str">
        <f t="shared" si="36"/>
        <v/>
      </c>
      <c r="T144" s="7" t="str">
        <f t="shared" si="37"/>
        <v/>
      </c>
      <c r="U144" t="str">
        <f t="shared" si="38"/>
        <v/>
      </c>
    </row>
    <row r="145" spans="1:21">
      <c r="A145" t="str">
        <f t="shared" si="26"/>
        <v/>
      </c>
      <c r="B145" s="6"/>
      <c r="C145" t="str">
        <f t="shared" si="27"/>
        <v/>
      </c>
      <c r="D145" s="9"/>
      <c r="E145" s="9"/>
      <c r="F145" s="9"/>
      <c r="G145" s="8"/>
      <c r="H145" s="7" t="str">
        <f t="shared" si="28"/>
        <v/>
      </c>
      <c r="I145" s="9"/>
      <c r="J145" s="6"/>
      <c r="K145" t="str">
        <f t="shared" si="29"/>
        <v/>
      </c>
      <c r="L145" s="5" t="str">
        <f t="shared" si="30"/>
        <v/>
      </c>
      <c r="M145" s="5" t="str">
        <f t="shared" si="31"/>
        <v/>
      </c>
      <c r="N145" t="str">
        <f t="shared" si="32"/>
        <v/>
      </c>
      <c r="O145" s="10" t="str">
        <f t="shared" si="33"/>
        <v/>
      </c>
      <c r="P145" s="7" t="str">
        <f t="shared" si="34"/>
        <v/>
      </c>
      <c r="Q145" s="9"/>
      <c r="R145" s="5" t="str">
        <f t="shared" si="35"/>
        <v/>
      </c>
      <c r="S145" s="5" t="str">
        <f t="shared" si="36"/>
        <v/>
      </c>
      <c r="T145" s="7" t="str">
        <f t="shared" si="37"/>
        <v/>
      </c>
      <c r="U145" t="str">
        <f t="shared" si="38"/>
        <v/>
      </c>
    </row>
    <row r="146" spans="1:21">
      <c r="A146" t="str">
        <f t="shared" si="26"/>
        <v/>
      </c>
      <c r="B146" s="6"/>
      <c r="C146" t="str">
        <f t="shared" si="27"/>
        <v/>
      </c>
      <c r="D146" s="9"/>
      <c r="E146" s="9"/>
      <c r="F146" s="9"/>
      <c r="G146" s="8"/>
      <c r="H146" s="7" t="str">
        <f t="shared" si="28"/>
        <v/>
      </c>
      <c r="I146" s="9"/>
      <c r="J146" s="6"/>
      <c r="K146" t="str">
        <f t="shared" si="29"/>
        <v/>
      </c>
      <c r="L146" s="5" t="str">
        <f t="shared" si="30"/>
        <v/>
      </c>
      <c r="M146" s="5" t="str">
        <f t="shared" si="31"/>
        <v/>
      </c>
      <c r="N146" t="str">
        <f t="shared" si="32"/>
        <v/>
      </c>
      <c r="O146" s="10" t="str">
        <f t="shared" si="33"/>
        <v/>
      </c>
      <c r="P146" s="7" t="str">
        <f t="shared" si="34"/>
        <v/>
      </c>
      <c r="Q146" s="9"/>
      <c r="R146" s="5" t="str">
        <f t="shared" si="35"/>
        <v/>
      </c>
      <c r="S146" s="5" t="str">
        <f t="shared" si="36"/>
        <v/>
      </c>
      <c r="T146" s="7" t="str">
        <f t="shared" si="37"/>
        <v/>
      </c>
      <c r="U146" t="str">
        <f t="shared" si="38"/>
        <v/>
      </c>
    </row>
    <row r="147" spans="1:21">
      <c r="A147" t="str">
        <f t="shared" si="26"/>
        <v/>
      </c>
      <c r="B147" s="6"/>
      <c r="C147" t="str">
        <f t="shared" si="27"/>
        <v/>
      </c>
      <c r="D147" s="9"/>
      <c r="E147" s="9"/>
      <c r="F147" s="9"/>
      <c r="G147" s="8"/>
      <c r="H147" s="7" t="str">
        <f t="shared" si="28"/>
        <v/>
      </c>
      <c r="I147" s="9"/>
      <c r="J147" s="6"/>
      <c r="K147" t="str">
        <f t="shared" si="29"/>
        <v/>
      </c>
      <c r="L147" s="5" t="str">
        <f t="shared" si="30"/>
        <v/>
      </c>
      <c r="M147" s="5" t="str">
        <f t="shared" si="31"/>
        <v/>
      </c>
      <c r="N147" t="str">
        <f t="shared" si="32"/>
        <v/>
      </c>
      <c r="O147" s="10" t="str">
        <f t="shared" si="33"/>
        <v/>
      </c>
      <c r="P147" s="7" t="str">
        <f t="shared" si="34"/>
        <v/>
      </c>
      <c r="Q147" s="9"/>
      <c r="R147" s="5" t="str">
        <f t="shared" si="35"/>
        <v/>
      </c>
      <c r="S147" s="5" t="str">
        <f t="shared" si="36"/>
        <v/>
      </c>
      <c r="T147" s="7" t="str">
        <f t="shared" si="37"/>
        <v/>
      </c>
      <c r="U147" t="str">
        <f t="shared" si="38"/>
        <v/>
      </c>
    </row>
    <row r="148" spans="1:21">
      <c r="A148" t="str">
        <f t="shared" si="26"/>
        <v/>
      </c>
      <c r="B148" s="6"/>
      <c r="C148" t="str">
        <f t="shared" si="27"/>
        <v/>
      </c>
      <c r="D148" s="9"/>
      <c r="E148" s="9"/>
      <c r="F148" s="9"/>
      <c r="G148" s="8"/>
      <c r="H148" s="7" t="str">
        <f t="shared" si="28"/>
        <v/>
      </c>
      <c r="I148" s="9"/>
      <c r="J148" s="6"/>
      <c r="K148" t="str">
        <f t="shared" si="29"/>
        <v/>
      </c>
      <c r="L148" s="5" t="str">
        <f t="shared" si="30"/>
        <v/>
      </c>
      <c r="M148" s="5" t="str">
        <f t="shared" si="31"/>
        <v/>
      </c>
      <c r="N148" t="str">
        <f t="shared" si="32"/>
        <v/>
      </c>
      <c r="O148" s="10" t="str">
        <f t="shared" si="33"/>
        <v/>
      </c>
      <c r="P148" s="7" t="str">
        <f t="shared" si="34"/>
        <v/>
      </c>
      <c r="Q148" s="9"/>
      <c r="R148" s="5" t="str">
        <f t="shared" si="35"/>
        <v/>
      </c>
      <c r="S148" s="5" t="str">
        <f t="shared" si="36"/>
        <v/>
      </c>
      <c r="T148" s="7" t="str">
        <f t="shared" si="37"/>
        <v/>
      </c>
      <c r="U148" t="str">
        <f t="shared" si="38"/>
        <v/>
      </c>
    </row>
    <row r="149" spans="1:21">
      <c r="A149" t="str">
        <f t="shared" si="26"/>
        <v/>
      </c>
      <c r="B149" s="6"/>
      <c r="C149" t="str">
        <f t="shared" si="27"/>
        <v/>
      </c>
      <c r="D149" s="9"/>
      <c r="E149" s="9"/>
      <c r="F149" s="9"/>
      <c r="G149" s="8"/>
      <c r="H149" s="7" t="str">
        <f t="shared" si="28"/>
        <v/>
      </c>
      <c r="I149" s="9"/>
      <c r="J149" s="6"/>
      <c r="K149" t="str">
        <f t="shared" si="29"/>
        <v/>
      </c>
      <c r="L149" s="5" t="str">
        <f t="shared" si="30"/>
        <v/>
      </c>
      <c r="M149" s="5" t="str">
        <f t="shared" si="31"/>
        <v/>
      </c>
      <c r="N149" t="str">
        <f t="shared" si="32"/>
        <v/>
      </c>
      <c r="O149" s="10" t="str">
        <f t="shared" si="33"/>
        <v/>
      </c>
      <c r="P149" s="7" t="str">
        <f t="shared" si="34"/>
        <v/>
      </c>
      <c r="Q149" s="9"/>
      <c r="R149" s="5" t="str">
        <f t="shared" si="35"/>
        <v/>
      </c>
      <c r="S149" s="5" t="str">
        <f t="shared" si="36"/>
        <v/>
      </c>
      <c r="T149" s="7" t="str">
        <f t="shared" si="37"/>
        <v/>
      </c>
      <c r="U149" t="str">
        <f t="shared" si="38"/>
        <v/>
      </c>
    </row>
    <row r="150" spans="1:21">
      <c r="A150" t="str">
        <f t="shared" si="26"/>
        <v/>
      </c>
      <c r="B150" s="6"/>
      <c r="C150" t="str">
        <f t="shared" si="27"/>
        <v/>
      </c>
      <c r="D150" s="9"/>
      <c r="E150" s="9"/>
      <c r="F150" s="9"/>
      <c r="G150" s="8"/>
      <c r="H150" s="7" t="str">
        <f t="shared" si="28"/>
        <v/>
      </c>
      <c r="I150" s="9"/>
      <c r="J150" s="6"/>
      <c r="K150" t="str">
        <f t="shared" si="29"/>
        <v/>
      </c>
      <c r="L150" s="5" t="str">
        <f t="shared" si="30"/>
        <v/>
      </c>
      <c r="M150" s="5" t="str">
        <f t="shared" si="31"/>
        <v/>
      </c>
      <c r="N150" t="str">
        <f t="shared" si="32"/>
        <v/>
      </c>
      <c r="O150" s="10" t="str">
        <f t="shared" si="33"/>
        <v/>
      </c>
      <c r="P150" s="7" t="str">
        <f t="shared" si="34"/>
        <v/>
      </c>
      <c r="Q150" s="9"/>
      <c r="R150" s="5" t="str">
        <f t="shared" si="35"/>
        <v/>
      </c>
      <c r="S150" s="5" t="str">
        <f t="shared" si="36"/>
        <v/>
      </c>
      <c r="T150" s="7" t="str">
        <f t="shared" si="37"/>
        <v/>
      </c>
      <c r="U150" t="str">
        <f t="shared" si="38"/>
        <v/>
      </c>
    </row>
    <row r="151" spans="1:21">
      <c r="A151" t="str">
        <f t="shared" si="26"/>
        <v/>
      </c>
      <c r="B151" s="6"/>
      <c r="C151" t="str">
        <f t="shared" si="27"/>
        <v/>
      </c>
      <c r="D151" s="9"/>
      <c r="E151" s="9"/>
      <c r="F151" s="9"/>
      <c r="G151" s="8"/>
      <c r="H151" s="7" t="str">
        <f t="shared" si="28"/>
        <v/>
      </c>
      <c r="I151" s="9"/>
      <c r="J151" s="6"/>
      <c r="K151" t="str">
        <f t="shared" si="29"/>
        <v/>
      </c>
      <c r="L151" s="5" t="str">
        <f t="shared" si="30"/>
        <v/>
      </c>
      <c r="M151" s="5" t="str">
        <f t="shared" si="31"/>
        <v/>
      </c>
      <c r="N151" t="str">
        <f t="shared" si="32"/>
        <v/>
      </c>
      <c r="O151" s="10" t="str">
        <f t="shared" si="33"/>
        <v/>
      </c>
      <c r="P151" s="7" t="str">
        <f t="shared" si="34"/>
        <v/>
      </c>
      <c r="Q151" s="9"/>
      <c r="R151" s="5" t="str">
        <f t="shared" si="35"/>
        <v/>
      </c>
      <c r="S151" s="5" t="str">
        <f t="shared" si="36"/>
        <v/>
      </c>
      <c r="T151" s="7" t="str">
        <f t="shared" si="37"/>
        <v/>
      </c>
      <c r="U151" t="str">
        <f t="shared" si="38"/>
        <v/>
      </c>
    </row>
    <row r="152" spans="1:21">
      <c r="A152" t="str">
        <f t="shared" si="26"/>
        <v/>
      </c>
      <c r="B152" s="6"/>
      <c r="C152" t="str">
        <f t="shared" si="27"/>
        <v/>
      </c>
      <c r="D152" s="9"/>
      <c r="E152" s="9"/>
      <c r="F152" s="9"/>
      <c r="G152" s="8"/>
      <c r="H152" s="7" t="str">
        <f t="shared" si="28"/>
        <v/>
      </c>
      <c r="I152" s="9"/>
      <c r="J152" s="6"/>
      <c r="K152" t="str">
        <f t="shared" si="29"/>
        <v/>
      </c>
      <c r="L152" s="5" t="str">
        <f t="shared" si="30"/>
        <v/>
      </c>
      <c r="M152" s="5" t="str">
        <f t="shared" si="31"/>
        <v/>
      </c>
      <c r="N152" t="str">
        <f t="shared" si="32"/>
        <v/>
      </c>
      <c r="O152" s="10" t="str">
        <f t="shared" si="33"/>
        <v/>
      </c>
      <c r="P152" s="7" t="str">
        <f t="shared" si="34"/>
        <v/>
      </c>
      <c r="Q152" s="9"/>
      <c r="R152" s="5" t="str">
        <f t="shared" si="35"/>
        <v/>
      </c>
      <c r="S152" s="5" t="str">
        <f t="shared" si="36"/>
        <v/>
      </c>
      <c r="T152" s="7" t="str">
        <f t="shared" si="37"/>
        <v/>
      </c>
      <c r="U152" t="str">
        <f t="shared" si="38"/>
        <v/>
      </c>
    </row>
    <row r="153" spans="1:21">
      <c r="A153" t="str">
        <f t="shared" si="26"/>
        <v/>
      </c>
      <c r="B153" s="6"/>
      <c r="C153" t="str">
        <f t="shared" si="27"/>
        <v/>
      </c>
      <c r="D153" s="9"/>
      <c r="E153" s="9"/>
      <c r="F153" s="9"/>
      <c r="G153" s="8"/>
      <c r="H153" s="7" t="str">
        <f t="shared" si="28"/>
        <v/>
      </c>
      <c r="I153" s="9"/>
      <c r="J153" s="6"/>
      <c r="K153" t="str">
        <f t="shared" si="29"/>
        <v/>
      </c>
      <c r="L153" s="5" t="str">
        <f t="shared" si="30"/>
        <v/>
      </c>
      <c r="M153" s="5" t="str">
        <f t="shared" si="31"/>
        <v/>
      </c>
      <c r="N153" t="str">
        <f t="shared" si="32"/>
        <v/>
      </c>
      <c r="O153" s="10" t="str">
        <f t="shared" si="33"/>
        <v/>
      </c>
      <c r="P153" s="7" t="str">
        <f t="shared" si="34"/>
        <v/>
      </c>
      <c r="Q153" s="9"/>
      <c r="R153" s="5" t="str">
        <f t="shared" si="35"/>
        <v/>
      </c>
      <c r="S153" s="5" t="str">
        <f t="shared" si="36"/>
        <v/>
      </c>
      <c r="T153" s="7" t="str">
        <f t="shared" si="37"/>
        <v/>
      </c>
      <c r="U153" t="str">
        <f t="shared" si="38"/>
        <v/>
      </c>
    </row>
    <row r="154" spans="1:21">
      <c r="A154" t="str">
        <f t="shared" si="26"/>
        <v/>
      </c>
      <c r="B154" s="6"/>
      <c r="C154" t="str">
        <f t="shared" si="27"/>
        <v/>
      </c>
      <c r="D154" s="9"/>
      <c r="E154" s="9"/>
      <c r="F154" s="9"/>
      <c r="G154" s="8"/>
      <c r="H154" s="7" t="str">
        <f t="shared" si="28"/>
        <v/>
      </c>
      <c r="I154" s="9"/>
      <c r="J154" s="6"/>
      <c r="K154" t="str">
        <f t="shared" si="29"/>
        <v/>
      </c>
      <c r="L154" s="5" t="str">
        <f t="shared" si="30"/>
        <v/>
      </c>
      <c r="M154" s="5" t="str">
        <f t="shared" si="31"/>
        <v/>
      </c>
      <c r="N154" t="str">
        <f t="shared" si="32"/>
        <v/>
      </c>
      <c r="O154" s="10" t="str">
        <f t="shared" si="33"/>
        <v/>
      </c>
      <c r="P154" s="7" t="str">
        <f t="shared" si="34"/>
        <v/>
      </c>
      <c r="Q154" s="9"/>
      <c r="R154" s="5" t="str">
        <f t="shared" si="35"/>
        <v/>
      </c>
      <c r="S154" s="5" t="str">
        <f t="shared" si="36"/>
        <v/>
      </c>
      <c r="T154" s="7" t="str">
        <f t="shared" si="37"/>
        <v/>
      </c>
      <c r="U154" t="str">
        <f t="shared" si="38"/>
        <v/>
      </c>
    </row>
    <row r="155" spans="1:21">
      <c r="A155" t="str">
        <f t="shared" si="26"/>
        <v/>
      </c>
      <c r="B155" s="6"/>
      <c r="C155" t="str">
        <f t="shared" si="27"/>
        <v/>
      </c>
      <c r="D155" s="9"/>
      <c r="E155" s="9"/>
      <c r="F155" s="9"/>
      <c r="G155" s="8"/>
      <c r="H155" s="7" t="str">
        <f t="shared" si="28"/>
        <v/>
      </c>
      <c r="I155" s="9"/>
      <c r="J155" s="6"/>
      <c r="K155" t="str">
        <f t="shared" si="29"/>
        <v/>
      </c>
      <c r="L155" s="5" t="str">
        <f t="shared" si="30"/>
        <v/>
      </c>
      <c r="M155" s="5" t="str">
        <f t="shared" si="31"/>
        <v/>
      </c>
      <c r="N155" t="str">
        <f t="shared" si="32"/>
        <v/>
      </c>
      <c r="O155" s="10" t="str">
        <f t="shared" si="33"/>
        <v/>
      </c>
      <c r="P155" s="7" t="str">
        <f t="shared" si="34"/>
        <v/>
      </c>
      <c r="Q155" s="9"/>
      <c r="R155" s="5" t="str">
        <f t="shared" si="35"/>
        <v/>
      </c>
      <c r="S155" s="5" t="str">
        <f t="shared" si="36"/>
        <v/>
      </c>
      <c r="T155" s="7" t="str">
        <f t="shared" si="37"/>
        <v/>
      </c>
      <c r="U155" t="str">
        <f t="shared" si="38"/>
        <v/>
      </c>
    </row>
    <row r="156" spans="1:21">
      <c r="A156" t="str">
        <f t="shared" si="26"/>
        <v/>
      </c>
      <c r="B156" s="6"/>
      <c r="C156" t="str">
        <f t="shared" si="27"/>
        <v/>
      </c>
      <c r="D156" s="9"/>
      <c r="E156" s="9"/>
      <c r="F156" s="9"/>
      <c r="G156" s="8"/>
      <c r="H156" s="7" t="str">
        <f t="shared" si="28"/>
        <v/>
      </c>
      <c r="I156" s="9"/>
      <c r="J156" s="6"/>
      <c r="K156" t="str">
        <f t="shared" si="29"/>
        <v/>
      </c>
      <c r="L156" s="5" t="str">
        <f t="shared" si="30"/>
        <v/>
      </c>
      <c r="M156" s="5" t="str">
        <f t="shared" si="31"/>
        <v/>
      </c>
      <c r="N156" t="str">
        <f t="shared" si="32"/>
        <v/>
      </c>
      <c r="O156" s="10" t="str">
        <f t="shared" si="33"/>
        <v/>
      </c>
      <c r="P156" s="7" t="str">
        <f t="shared" si="34"/>
        <v/>
      </c>
      <c r="Q156" s="9"/>
      <c r="R156" s="5" t="str">
        <f t="shared" si="35"/>
        <v/>
      </c>
      <c r="S156" s="5" t="str">
        <f t="shared" si="36"/>
        <v/>
      </c>
      <c r="T156" s="7" t="str">
        <f t="shared" si="37"/>
        <v/>
      </c>
      <c r="U156" t="str">
        <f t="shared" si="38"/>
        <v/>
      </c>
    </row>
    <row r="157" spans="1:21">
      <c r="A157" t="str">
        <f t="shared" si="26"/>
        <v/>
      </c>
      <c r="B157" s="6"/>
      <c r="C157" t="str">
        <f t="shared" si="27"/>
        <v/>
      </c>
      <c r="D157" s="9"/>
      <c r="E157" s="9"/>
      <c r="F157" s="9"/>
      <c r="G157" s="8"/>
      <c r="H157" s="7" t="str">
        <f t="shared" si="28"/>
        <v/>
      </c>
      <c r="I157" s="9"/>
      <c r="J157" s="6"/>
      <c r="K157" t="str">
        <f t="shared" si="29"/>
        <v/>
      </c>
      <c r="L157" s="5" t="str">
        <f t="shared" si="30"/>
        <v/>
      </c>
      <c r="M157" s="5" t="str">
        <f t="shared" si="31"/>
        <v/>
      </c>
      <c r="N157" t="str">
        <f t="shared" si="32"/>
        <v/>
      </c>
      <c r="O157" s="10" t="str">
        <f t="shared" si="33"/>
        <v/>
      </c>
      <c r="P157" s="7" t="str">
        <f t="shared" si="34"/>
        <v/>
      </c>
      <c r="Q157" s="9"/>
      <c r="R157" s="5" t="str">
        <f t="shared" si="35"/>
        <v/>
      </c>
      <c r="S157" s="5" t="str">
        <f t="shared" si="36"/>
        <v/>
      </c>
      <c r="T157" s="7" t="str">
        <f t="shared" si="37"/>
        <v/>
      </c>
      <c r="U157" t="str">
        <f t="shared" si="38"/>
        <v/>
      </c>
    </row>
    <row r="158" spans="1:21">
      <c r="A158" t="str">
        <f t="shared" si="26"/>
        <v/>
      </c>
      <c r="B158" s="6"/>
      <c r="C158" t="str">
        <f t="shared" si="27"/>
        <v/>
      </c>
      <c r="D158" s="9"/>
      <c r="E158" s="9"/>
      <c r="F158" s="9"/>
      <c r="G158" s="8"/>
      <c r="H158" s="7" t="str">
        <f t="shared" si="28"/>
        <v/>
      </c>
      <c r="I158" s="9"/>
      <c r="J158" s="6"/>
      <c r="K158" t="str">
        <f t="shared" si="29"/>
        <v/>
      </c>
      <c r="L158" s="5" t="str">
        <f t="shared" si="30"/>
        <v/>
      </c>
      <c r="M158" s="5" t="str">
        <f t="shared" si="31"/>
        <v/>
      </c>
      <c r="N158" t="str">
        <f t="shared" si="32"/>
        <v/>
      </c>
      <c r="O158" s="10" t="str">
        <f t="shared" si="33"/>
        <v/>
      </c>
      <c r="P158" s="7" t="str">
        <f t="shared" si="34"/>
        <v/>
      </c>
      <c r="Q158" s="9"/>
      <c r="R158" s="5" t="str">
        <f t="shared" si="35"/>
        <v/>
      </c>
      <c r="S158" s="5" t="str">
        <f t="shared" si="36"/>
        <v/>
      </c>
      <c r="T158" s="7" t="str">
        <f t="shared" si="37"/>
        <v/>
      </c>
      <c r="U158" t="str">
        <f t="shared" si="38"/>
        <v/>
      </c>
    </row>
    <row r="159" spans="1:21">
      <c r="A159" t="str">
        <f t="shared" si="26"/>
        <v/>
      </c>
      <c r="B159" s="6"/>
      <c r="C159" t="str">
        <f t="shared" si="27"/>
        <v/>
      </c>
      <c r="D159" s="9"/>
      <c r="E159" s="9"/>
      <c r="F159" s="9"/>
      <c r="G159" s="8"/>
      <c r="H159" s="7" t="str">
        <f t="shared" si="28"/>
        <v/>
      </c>
      <c r="I159" s="9"/>
      <c r="J159" s="6"/>
      <c r="K159" t="str">
        <f t="shared" si="29"/>
        <v/>
      </c>
      <c r="L159" s="5" t="str">
        <f t="shared" si="30"/>
        <v/>
      </c>
      <c r="M159" s="5" t="str">
        <f t="shared" si="31"/>
        <v/>
      </c>
      <c r="N159" t="str">
        <f t="shared" si="32"/>
        <v/>
      </c>
      <c r="O159" s="10" t="str">
        <f t="shared" si="33"/>
        <v/>
      </c>
      <c r="P159" s="7" t="str">
        <f t="shared" si="34"/>
        <v/>
      </c>
      <c r="Q159" s="9"/>
      <c r="R159" s="5" t="str">
        <f t="shared" si="35"/>
        <v/>
      </c>
      <c r="S159" s="5" t="str">
        <f t="shared" si="36"/>
        <v/>
      </c>
      <c r="T159" s="7" t="str">
        <f t="shared" si="37"/>
        <v/>
      </c>
      <c r="U159" t="str">
        <f t="shared" si="38"/>
        <v/>
      </c>
    </row>
    <row r="160" spans="1:21">
      <c r="A160" t="str">
        <f t="shared" si="26"/>
        <v/>
      </c>
      <c r="B160" s="6"/>
      <c r="C160" t="str">
        <f t="shared" si="27"/>
        <v/>
      </c>
      <c r="D160" s="9"/>
      <c r="E160" s="9"/>
      <c r="F160" s="9"/>
      <c r="G160" s="8"/>
      <c r="H160" s="7" t="str">
        <f t="shared" si="28"/>
        <v/>
      </c>
      <c r="I160" s="9"/>
      <c r="J160" s="6"/>
      <c r="K160" t="str">
        <f t="shared" si="29"/>
        <v/>
      </c>
      <c r="L160" s="5" t="str">
        <f t="shared" si="30"/>
        <v/>
      </c>
      <c r="M160" s="5" t="str">
        <f t="shared" si="31"/>
        <v/>
      </c>
      <c r="N160" t="str">
        <f t="shared" si="32"/>
        <v/>
      </c>
      <c r="O160" s="10" t="str">
        <f t="shared" si="33"/>
        <v/>
      </c>
      <c r="P160" s="7" t="str">
        <f t="shared" si="34"/>
        <v/>
      </c>
      <c r="Q160" s="9"/>
      <c r="R160" s="5" t="str">
        <f t="shared" si="35"/>
        <v/>
      </c>
      <c r="S160" s="5" t="str">
        <f t="shared" si="36"/>
        <v/>
      </c>
      <c r="T160" s="7" t="str">
        <f t="shared" si="37"/>
        <v/>
      </c>
      <c r="U160" t="str">
        <f t="shared" si="38"/>
        <v/>
      </c>
    </row>
    <row r="161" spans="1:21">
      <c r="A161" t="str">
        <f t="shared" si="26"/>
        <v/>
      </c>
      <c r="B161" s="6"/>
      <c r="C161" t="str">
        <f t="shared" si="27"/>
        <v/>
      </c>
      <c r="D161" s="9"/>
      <c r="E161" s="9"/>
      <c r="F161" s="9"/>
      <c r="G161" s="8"/>
      <c r="H161" s="7" t="str">
        <f t="shared" si="28"/>
        <v/>
      </c>
      <c r="I161" s="9"/>
      <c r="J161" s="6"/>
      <c r="K161" t="str">
        <f t="shared" si="29"/>
        <v/>
      </c>
      <c r="L161" s="5" t="str">
        <f t="shared" si="30"/>
        <v/>
      </c>
      <c r="M161" s="5" t="str">
        <f t="shared" si="31"/>
        <v/>
      </c>
      <c r="N161" t="str">
        <f t="shared" si="32"/>
        <v/>
      </c>
      <c r="O161" s="10" t="str">
        <f t="shared" si="33"/>
        <v/>
      </c>
      <c r="P161" s="7" t="str">
        <f t="shared" si="34"/>
        <v/>
      </c>
      <c r="Q161" s="9"/>
      <c r="R161" s="5" t="str">
        <f t="shared" si="35"/>
        <v/>
      </c>
      <c r="S161" s="5" t="str">
        <f t="shared" si="36"/>
        <v/>
      </c>
      <c r="T161" s="7" t="str">
        <f t="shared" si="37"/>
        <v/>
      </c>
      <c r="U161" t="str">
        <f t="shared" si="38"/>
        <v/>
      </c>
    </row>
    <row r="162" spans="1:21">
      <c r="A162" t="str">
        <f t="shared" si="26"/>
        <v/>
      </c>
      <c r="B162" s="6"/>
      <c r="C162" t="str">
        <f t="shared" si="27"/>
        <v/>
      </c>
      <c r="D162" s="9"/>
      <c r="E162" s="9"/>
      <c r="F162" s="9"/>
      <c r="G162" s="8"/>
      <c r="H162" s="7" t="str">
        <f t="shared" si="28"/>
        <v/>
      </c>
      <c r="I162" s="9"/>
      <c r="J162" s="6"/>
      <c r="K162" t="str">
        <f t="shared" si="29"/>
        <v/>
      </c>
      <c r="L162" s="5" t="str">
        <f t="shared" si="30"/>
        <v/>
      </c>
      <c r="M162" s="5" t="str">
        <f t="shared" si="31"/>
        <v/>
      </c>
      <c r="N162" t="str">
        <f t="shared" si="32"/>
        <v/>
      </c>
      <c r="O162" s="10" t="str">
        <f t="shared" si="33"/>
        <v/>
      </c>
      <c r="P162" s="7" t="str">
        <f t="shared" si="34"/>
        <v/>
      </c>
      <c r="Q162" s="9"/>
      <c r="R162" s="5" t="str">
        <f t="shared" si="35"/>
        <v/>
      </c>
      <c r="S162" s="5" t="str">
        <f t="shared" si="36"/>
        <v/>
      </c>
      <c r="T162" s="7" t="str">
        <f t="shared" si="37"/>
        <v/>
      </c>
      <c r="U162" t="str">
        <f t="shared" si="38"/>
        <v/>
      </c>
    </row>
    <row r="163" spans="1:21">
      <c r="A163" t="str">
        <f t="shared" si="26"/>
        <v/>
      </c>
      <c r="B163" s="6"/>
      <c r="C163" t="str">
        <f t="shared" si="27"/>
        <v/>
      </c>
      <c r="D163" s="9"/>
      <c r="E163" s="9"/>
      <c r="F163" s="9"/>
      <c r="G163" s="8"/>
      <c r="H163" s="7" t="str">
        <f t="shared" si="28"/>
        <v/>
      </c>
      <c r="I163" s="9"/>
      <c r="J163" s="6"/>
      <c r="K163" t="str">
        <f t="shared" si="29"/>
        <v/>
      </c>
      <c r="L163" s="5" t="str">
        <f t="shared" si="30"/>
        <v/>
      </c>
      <c r="M163" s="5" t="str">
        <f t="shared" si="31"/>
        <v/>
      </c>
      <c r="N163" t="str">
        <f t="shared" si="32"/>
        <v/>
      </c>
      <c r="O163" s="10" t="str">
        <f t="shared" si="33"/>
        <v/>
      </c>
      <c r="P163" s="7" t="str">
        <f t="shared" si="34"/>
        <v/>
      </c>
      <c r="Q163" s="9"/>
      <c r="R163" s="5" t="str">
        <f t="shared" si="35"/>
        <v/>
      </c>
      <c r="S163" s="5" t="str">
        <f t="shared" si="36"/>
        <v/>
      </c>
      <c r="T163" s="7" t="str">
        <f t="shared" si="37"/>
        <v/>
      </c>
      <c r="U163" t="str">
        <f t="shared" si="38"/>
        <v/>
      </c>
    </row>
    <row r="164" spans="1:21">
      <c r="A164" t="str">
        <f t="shared" si="26"/>
        <v/>
      </c>
      <c r="B164" s="6"/>
      <c r="C164" t="str">
        <f t="shared" si="27"/>
        <v/>
      </c>
      <c r="D164" s="9"/>
      <c r="E164" s="9"/>
      <c r="F164" s="9"/>
      <c r="G164" s="8"/>
      <c r="H164" s="7" t="str">
        <f t="shared" si="28"/>
        <v/>
      </c>
      <c r="I164" s="9"/>
      <c r="J164" s="6"/>
      <c r="K164" t="str">
        <f t="shared" si="29"/>
        <v/>
      </c>
      <c r="L164" s="5" t="str">
        <f t="shared" si="30"/>
        <v/>
      </c>
      <c r="M164" s="5" t="str">
        <f t="shared" si="31"/>
        <v/>
      </c>
      <c r="N164" t="str">
        <f t="shared" si="32"/>
        <v/>
      </c>
      <c r="O164" s="10" t="str">
        <f t="shared" si="33"/>
        <v/>
      </c>
      <c r="P164" s="7" t="str">
        <f t="shared" si="34"/>
        <v/>
      </c>
      <c r="Q164" s="9"/>
      <c r="R164" s="5" t="str">
        <f t="shared" si="35"/>
        <v/>
      </c>
      <c r="S164" s="5" t="str">
        <f t="shared" si="36"/>
        <v/>
      </c>
      <c r="T164" s="7" t="str">
        <f t="shared" si="37"/>
        <v/>
      </c>
      <c r="U164" t="str">
        <f t="shared" si="38"/>
        <v/>
      </c>
    </row>
    <row r="165" spans="1:21">
      <c r="A165" t="str">
        <f t="shared" si="26"/>
        <v/>
      </c>
      <c r="B165" s="6"/>
      <c r="C165" t="str">
        <f t="shared" si="27"/>
        <v/>
      </c>
      <c r="D165" s="9"/>
      <c r="E165" s="9"/>
      <c r="F165" s="9"/>
      <c r="G165" s="8"/>
      <c r="H165" s="7" t="str">
        <f t="shared" si="28"/>
        <v/>
      </c>
      <c r="I165" s="9"/>
      <c r="J165" s="6"/>
      <c r="K165" t="str">
        <f t="shared" si="29"/>
        <v/>
      </c>
      <c r="L165" s="5" t="str">
        <f t="shared" si="30"/>
        <v/>
      </c>
      <c r="M165" s="5" t="str">
        <f t="shared" si="31"/>
        <v/>
      </c>
      <c r="N165" t="str">
        <f t="shared" si="32"/>
        <v/>
      </c>
      <c r="O165" s="10" t="str">
        <f t="shared" si="33"/>
        <v/>
      </c>
      <c r="P165" s="7" t="str">
        <f t="shared" si="34"/>
        <v/>
      </c>
      <c r="Q165" s="9"/>
      <c r="R165" s="5" t="str">
        <f t="shared" si="35"/>
        <v/>
      </c>
      <c r="S165" s="5" t="str">
        <f t="shared" si="36"/>
        <v/>
      </c>
      <c r="T165" s="7" t="str">
        <f t="shared" si="37"/>
        <v/>
      </c>
      <c r="U165" t="str">
        <f t="shared" si="38"/>
        <v/>
      </c>
    </row>
    <row r="166" spans="1:21">
      <c r="A166" t="str">
        <f t="shared" si="26"/>
        <v/>
      </c>
      <c r="B166" s="6"/>
      <c r="C166" t="str">
        <f t="shared" si="27"/>
        <v/>
      </c>
      <c r="D166" s="9"/>
      <c r="E166" s="9"/>
      <c r="F166" s="9"/>
      <c r="G166" s="8"/>
      <c r="H166" s="7" t="str">
        <f t="shared" si="28"/>
        <v/>
      </c>
      <c r="I166" s="9"/>
      <c r="J166" s="6"/>
      <c r="K166" t="str">
        <f t="shared" si="29"/>
        <v/>
      </c>
      <c r="L166" s="5" t="str">
        <f t="shared" si="30"/>
        <v/>
      </c>
      <c r="M166" s="5" t="str">
        <f t="shared" si="31"/>
        <v/>
      </c>
      <c r="N166" t="str">
        <f t="shared" si="32"/>
        <v/>
      </c>
      <c r="O166" s="10" t="str">
        <f t="shared" si="33"/>
        <v/>
      </c>
      <c r="P166" s="7" t="str">
        <f t="shared" si="34"/>
        <v/>
      </c>
      <c r="Q166" s="9"/>
      <c r="R166" s="5" t="str">
        <f t="shared" si="35"/>
        <v/>
      </c>
      <c r="S166" s="5" t="str">
        <f t="shared" si="36"/>
        <v/>
      </c>
      <c r="T166" s="7" t="str">
        <f t="shared" si="37"/>
        <v/>
      </c>
      <c r="U166" t="str">
        <f t="shared" si="38"/>
        <v/>
      </c>
    </row>
    <row r="167" spans="1:21">
      <c r="A167" t="str">
        <f t="shared" si="26"/>
        <v/>
      </c>
      <c r="B167" s="6"/>
      <c r="C167" t="str">
        <f t="shared" si="27"/>
        <v/>
      </c>
      <c r="D167" s="9"/>
      <c r="E167" s="9"/>
      <c r="F167" s="9"/>
      <c r="G167" s="8"/>
      <c r="H167" s="7" t="str">
        <f t="shared" si="28"/>
        <v/>
      </c>
      <c r="I167" s="9"/>
      <c r="J167" s="6"/>
      <c r="K167" t="str">
        <f t="shared" si="29"/>
        <v/>
      </c>
      <c r="L167" s="5" t="str">
        <f t="shared" si="30"/>
        <v/>
      </c>
      <c r="M167" s="5" t="str">
        <f t="shared" si="31"/>
        <v/>
      </c>
      <c r="N167" t="str">
        <f t="shared" si="32"/>
        <v/>
      </c>
      <c r="O167" s="10" t="str">
        <f t="shared" si="33"/>
        <v/>
      </c>
      <c r="P167" s="7" t="str">
        <f t="shared" si="34"/>
        <v/>
      </c>
      <c r="Q167" s="9"/>
      <c r="R167" s="5" t="str">
        <f t="shared" si="35"/>
        <v/>
      </c>
      <c r="S167" s="5" t="str">
        <f t="shared" si="36"/>
        <v/>
      </c>
      <c r="T167" s="7" t="str">
        <f t="shared" si="37"/>
        <v/>
      </c>
      <c r="U167" t="str">
        <f t="shared" si="38"/>
        <v/>
      </c>
    </row>
    <row r="168" spans="1:21">
      <c r="A168" t="str">
        <f t="shared" si="26"/>
        <v/>
      </c>
      <c r="B168" s="6"/>
      <c r="C168" t="str">
        <f t="shared" si="27"/>
        <v/>
      </c>
      <c r="D168" s="9"/>
      <c r="E168" s="9"/>
      <c r="F168" s="9"/>
      <c r="G168" s="8"/>
      <c r="H168" s="7" t="str">
        <f t="shared" si="28"/>
        <v/>
      </c>
      <c r="I168" s="9"/>
      <c r="J168" s="6"/>
      <c r="K168" t="str">
        <f t="shared" si="29"/>
        <v/>
      </c>
      <c r="L168" s="5" t="str">
        <f t="shared" si="30"/>
        <v/>
      </c>
      <c r="M168" s="5" t="str">
        <f t="shared" si="31"/>
        <v/>
      </c>
      <c r="N168" t="str">
        <f t="shared" si="32"/>
        <v/>
      </c>
      <c r="O168" s="10" t="str">
        <f t="shared" si="33"/>
        <v/>
      </c>
      <c r="P168" s="7" t="str">
        <f t="shared" si="34"/>
        <v/>
      </c>
      <c r="Q168" s="9"/>
      <c r="R168" s="5" t="str">
        <f t="shared" si="35"/>
        <v/>
      </c>
      <c r="S168" s="5" t="str">
        <f t="shared" si="36"/>
        <v/>
      </c>
      <c r="T168" s="7" t="str">
        <f t="shared" si="37"/>
        <v/>
      </c>
      <c r="U168" t="str">
        <f t="shared" si="38"/>
        <v/>
      </c>
    </row>
    <row r="169" spans="1:21">
      <c r="A169" t="str">
        <f t="shared" si="26"/>
        <v/>
      </c>
      <c r="B169" s="6"/>
      <c r="C169" t="str">
        <f t="shared" si="27"/>
        <v/>
      </c>
      <c r="D169" s="9"/>
      <c r="E169" s="9"/>
      <c r="F169" s="9"/>
      <c r="G169" s="8"/>
      <c r="H169" s="7" t="str">
        <f t="shared" si="28"/>
        <v/>
      </c>
      <c r="I169" s="9"/>
      <c r="J169" s="6"/>
      <c r="K169" t="str">
        <f t="shared" si="29"/>
        <v/>
      </c>
      <c r="L169" s="5" t="str">
        <f t="shared" si="30"/>
        <v/>
      </c>
      <c r="M169" s="5" t="str">
        <f t="shared" si="31"/>
        <v/>
      </c>
      <c r="N169" t="str">
        <f t="shared" si="32"/>
        <v/>
      </c>
      <c r="O169" s="10" t="str">
        <f t="shared" si="33"/>
        <v/>
      </c>
      <c r="P169" s="7" t="str">
        <f t="shared" si="34"/>
        <v/>
      </c>
      <c r="Q169" s="9"/>
      <c r="R169" s="5" t="str">
        <f t="shared" si="35"/>
        <v/>
      </c>
      <c r="S169" s="5" t="str">
        <f t="shared" si="36"/>
        <v/>
      </c>
      <c r="T169" s="7" t="str">
        <f t="shared" si="37"/>
        <v/>
      </c>
      <c r="U169" t="str">
        <f t="shared" si="38"/>
        <v/>
      </c>
    </row>
    <row r="170" spans="1:21">
      <c r="A170" t="str">
        <f t="shared" si="26"/>
        <v/>
      </c>
      <c r="B170" s="6"/>
      <c r="C170" t="str">
        <f t="shared" si="27"/>
        <v/>
      </c>
      <c r="D170" s="9"/>
      <c r="E170" s="9"/>
      <c r="F170" s="9"/>
      <c r="G170" s="8"/>
      <c r="H170" s="7" t="str">
        <f t="shared" si="28"/>
        <v/>
      </c>
      <c r="I170" s="9"/>
      <c r="J170" s="6"/>
      <c r="K170" t="str">
        <f t="shared" si="29"/>
        <v/>
      </c>
      <c r="L170" s="5" t="str">
        <f t="shared" si="30"/>
        <v/>
      </c>
      <c r="M170" s="5" t="str">
        <f t="shared" si="31"/>
        <v/>
      </c>
      <c r="N170" t="str">
        <f t="shared" si="32"/>
        <v/>
      </c>
      <c r="O170" s="10" t="str">
        <f t="shared" si="33"/>
        <v/>
      </c>
      <c r="P170" s="7" t="str">
        <f t="shared" si="34"/>
        <v/>
      </c>
      <c r="Q170" s="9"/>
      <c r="R170" s="5" t="str">
        <f t="shared" si="35"/>
        <v/>
      </c>
      <c r="S170" s="5" t="str">
        <f t="shared" si="36"/>
        <v/>
      </c>
      <c r="T170" s="7" t="str">
        <f t="shared" si="37"/>
        <v/>
      </c>
      <c r="U170" t="str">
        <f t="shared" si="38"/>
        <v/>
      </c>
    </row>
    <row r="171" spans="1:21">
      <c r="A171" t="str">
        <f t="shared" si="26"/>
        <v/>
      </c>
      <c r="B171" s="6"/>
      <c r="C171" t="str">
        <f t="shared" si="27"/>
        <v/>
      </c>
      <c r="D171" s="9"/>
      <c r="E171" s="9"/>
      <c r="F171" s="9"/>
      <c r="G171" s="8"/>
      <c r="H171" s="7" t="str">
        <f t="shared" si="28"/>
        <v/>
      </c>
      <c r="I171" s="9"/>
      <c r="J171" s="6"/>
      <c r="K171" t="str">
        <f t="shared" si="29"/>
        <v/>
      </c>
      <c r="L171" s="5" t="str">
        <f t="shared" si="30"/>
        <v/>
      </c>
      <c r="M171" s="5" t="str">
        <f t="shared" si="31"/>
        <v/>
      </c>
      <c r="N171" t="str">
        <f t="shared" si="32"/>
        <v/>
      </c>
      <c r="O171" s="10" t="str">
        <f t="shared" si="33"/>
        <v/>
      </c>
      <c r="P171" s="7" t="str">
        <f t="shared" si="34"/>
        <v/>
      </c>
      <c r="Q171" s="9"/>
      <c r="R171" s="5" t="str">
        <f t="shared" si="35"/>
        <v/>
      </c>
      <c r="S171" s="5" t="str">
        <f t="shared" si="36"/>
        <v/>
      </c>
      <c r="T171" s="7" t="str">
        <f t="shared" si="37"/>
        <v/>
      </c>
      <c r="U171" t="str">
        <f t="shared" si="38"/>
        <v/>
      </c>
    </row>
    <row r="172" spans="1:21">
      <c r="A172" t="str">
        <f t="shared" si="26"/>
        <v/>
      </c>
      <c r="B172" s="6"/>
      <c r="C172" t="str">
        <f t="shared" si="27"/>
        <v/>
      </c>
      <c r="D172" s="9"/>
      <c r="E172" s="9"/>
      <c r="F172" s="9"/>
      <c r="G172" s="8"/>
      <c r="H172" s="7" t="str">
        <f t="shared" si="28"/>
        <v/>
      </c>
      <c r="I172" s="9"/>
      <c r="J172" s="6"/>
      <c r="K172" t="str">
        <f t="shared" si="29"/>
        <v/>
      </c>
      <c r="L172" s="5" t="str">
        <f t="shared" si="30"/>
        <v/>
      </c>
      <c r="M172" s="5" t="str">
        <f t="shared" si="31"/>
        <v/>
      </c>
      <c r="N172" t="str">
        <f t="shared" si="32"/>
        <v/>
      </c>
      <c r="O172" s="10" t="str">
        <f t="shared" si="33"/>
        <v/>
      </c>
      <c r="P172" s="7" t="str">
        <f t="shared" si="34"/>
        <v/>
      </c>
      <c r="Q172" s="9"/>
      <c r="R172" s="5" t="str">
        <f t="shared" si="35"/>
        <v/>
      </c>
      <c r="S172" s="5" t="str">
        <f t="shared" si="36"/>
        <v/>
      </c>
      <c r="T172" s="7" t="str">
        <f t="shared" si="37"/>
        <v/>
      </c>
      <c r="U172" t="str">
        <f t="shared" si="38"/>
        <v/>
      </c>
    </row>
    <row r="173" spans="1:21">
      <c r="A173" t="str">
        <f t="shared" si="26"/>
        <v/>
      </c>
      <c r="B173" s="6"/>
      <c r="C173" t="str">
        <f t="shared" si="27"/>
        <v/>
      </c>
      <c r="D173" s="9"/>
      <c r="E173" s="9"/>
      <c r="F173" s="9"/>
      <c r="G173" s="8"/>
      <c r="H173" s="7" t="str">
        <f t="shared" si="28"/>
        <v/>
      </c>
      <c r="I173" s="9"/>
      <c r="J173" s="6"/>
      <c r="K173" t="str">
        <f t="shared" si="29"/>
        <v/>
      </c>
      <c r="L173" s="5" t="str">
        <f t="shared" si="30"/>
        <v/>
      </c>
      <c r="M173" s="5" t="str">
        <f t="shared" si="31"/>
        <v/>
      </c>
      <c r="N173" t="str">
        <f t="shared" si="32"/>
        <v/>
      </c>
      <c r="O173" s="10" t="str">
        <f t="shared" si="33"/>
        <v/>
      </c>
      <c r="P173" s="7" t="str">
        <f t="shared" si="34"/>
        <v/>
      </c>
      <c r="Q173" s="9"/>
      <c r="R173" s="5" t="str">
        <f t="shared" si="35"/>
        <v/>
      </c>
      <c r="S173" s="5" t="str">
        <f t="shared" si="36"/>
        <v/>
      </c>
      <c r="T173" s="7" t="str">
        <f t="shared" si="37"/>
        <v/>
      </c>
      <c r="U173" t="str">
        <f t="shared" si="38"/>
        <v/>
      </c>
    </row>
    <row r="174" spans="1:21">
      <c r="A174" t="str">
        <f t="shared" si="26"/>
        <v/>
      </c>
      <c r="B174" s="6"/>
      <c r="C174" t="str">
        <f t="shared" si="27"/>
        <v/>
      </c>
      <c r="D174" s="9"/>
      <c r="E174" s="9"/>
      <c r="F174" s="9"/>
      <c r="G174" s="8"/>
      <c r="H174" s="7" t="str">
        <f t="shared" si="28"/>
        <v/>
      </c>
      <c r="I174" s="9"/>
      <c r="J174" s="6"/>
      <c r="K174" t="str">
        <f t="shared" si="29"/>
        <v/>
      </c>
      <c r="L174" s="5" t="str">
        <f t="shared" si="30"/>
        <v/>
      </c>
      <c r="M174" s="5" t="str">
        <f t="shared" si="31"/>
        <v/>
      </c>
      <c r="N174" t="str">
        <f t="shared" si="32"/>
        <v/>
      </c>
      <c r="O174" s="10" t="str">
        <f t="shared" si="33"/>
        <v/>
      </c>
      <c r="P174" s="7" t="str">
        <f t="shared" si="34"/>
        <v/>
      </c>
      <c r="Q174" s="9"/>
      <c r="R174" s="5" t="str">
        <f t="shared" si="35"/>
        <v/>
      </c>
      <c r="S174" s="5" t="str">
        <f t="shared" si="36"/>
        <v/>
      </c>
      <c r="T174" s="7" t="str">
        <f t="shared" si="37"/>
        <v/>
      </c>
      <c r="U174" t="str">
        <f t="shared" si="38"/>
        <v/>
      </c>
    </row>
    <row r="175" spans="1:21">
      <c r="A175" t="str">
        <f t="shared" si="26"/>
        <v/>
      </c>
      <c r="B175" s="6"/>
      <c r="C175" t="str">
        <f t="shared" si="27"/>
        <v/>
      </c>
      <c r="D175" s="9"/>
      <c r="E175" s="9"/>
      <c r="F175" s="9"/>
      <c r="G175" s="8"/>
      <c r="H175" s="7" t="str">
        <f t="shared" si="28"/>
        <v/>
      </c>
      <c r="I175" s="9"/>
      <c r="J175" s="6"/>
      <c r="K175" t="str">
        <f t="shared" si="29"/>
        <v/>
      </c>
      <c r="L175" s="5" t="str">
        <f t="shared" si="30"/>
        <v/>
      </c>
      <c r="M175" s="5" t="str">
        <f t="shared" si="31"/>
        <v/>
      </c>
      <c r="N175" t="str">
        <f t="shared" si="32"/>
        <v/>
      </c>
      <c r="O175" s="10" t="str">
        <f t="shared" si="33"/>
        <v/>
      </c>
      <c r="P175" s="7" t="str">
        <f t="shared" si="34"/>
        <v/>
      </c>
      <c r="Q175" s="9"/>
      <c r="R175" s="5" t="str">
        <f t="shared" si="35"/>
        <v/>
      </c>
      <c r="S175" s="5" t="str">
        <f t="shared" si="36"/>
        <v/>
      </c>
      <c r="T175" s="7" t="str">
        <f t="shared" si="37"/>
        <v/>
      </c>
      <c r="U175" t="str">
        <f t="shared" si="38"/>
        <v/>
      </c>
    </row>
    <row r="176" spans="1:21">
      <c r="A176" t="str">
        <f t="shared" si="26"/>
        <v/>
      </c>
      <c r="B176" s="6"/>
      <c r="C176" t="str">
        <f t="shared" si="27"/>
        <v/>
      </c>
      <c r="D176" s="9"/>
      <c r="E176" s="9"/>
      <c r="F176" s="9"/>
      <c r="G176" s="8"/>
      <c r="H176" s="7" t="str">
        <f t="shared" si="28"/>
        <v/>
      </c>
      <c r="I176" s="9"/>
      <c r="J176" s="6"/>
      <c r="K176" t="str">
        <f t="shared" si="29"/>
        <v/>
      </c>
      <c r="L176" s="5" t="str">
        <f t="shared" si="30"/>
        <v/>
      </c>
      <c r="M176" s="5" t="str">
        <f t="shared" si="31"/>
        <v/>
      </c>
      <c r="N176" t="str">
        <f t="shared" si="32"/>
        <v/>
      </c>
      <c r="O176" s="10" t="str">
        <f t="shared" si="33"/>
        <v/>
      </c>
      <c r="P176" s="7" t="str">
        <f t="shared" si="34"/>
        <v/>
      </c>
      <c r="Q176" s="9"/>
      <c r="R176" s="5" t="str">
        <f t="shared" si="35"/>
        <v/>
      </c>
      <c r="S176" s="5" t="str">
        <f t="shared" si="36"/>
        <v/>
      </c>
      <c r="T176" s="7" t="str">
        <f t="shared" si="37"/>
        <v/>
      </c>
      <c r="U176" t="str">
        <f t="shared" si="38"/>
        <v/>
      </c>
    </row>
    <row r="177" spans="1:21">
      <c r="A177" t="str">
        <f t="shared" si="26"/>
        <v/>
      </c>
      <c r="B177" s="6"/>
      <c r="C177" t="str">
        <f t="shared" si="27"/>
        <v/>
      </c>
      <c r="D177" s="9"/>
      <c r="E177" s="9"/>
      <c r="F177" s="9"/>
      <c r="G177" s="8"/>
      <c r="H177" s="7" t="str">
        <f t="shared" si="28"/>
        <v/>
      </c>
      <c r="I177" s="9"/>
      <c r="J177" s="6"/>
      <c r="K177" t="str">
        <f t="shared" si="29"/>
        <v/>
      </c>
      <c r="L177" s="5" t="str">
        <f t="shared" si="30"/>
        <v/>
      </c>
      <c r="M177" s="5" t="str">
        <f t="shared" si="31"/>
        <v/>
      </c>
      <c r="N177" t="str">
        <f t="shared" si="32"/>
        <v/>
      </c>
      <c r="O177" s="10" t="str">
        <f t="shared" si="33"/>
        <v/>
      </c>
      <c r="P177" s="7" t="str">
        <f t="shared" si="34"/>
        <v/>
      </c>
      <c r="Q177" s="9"/>
      <c r="R177" s="5" t="str">
        <f t="shared" si="35"/>
        <v/>
      </c>
      <c r="S177" s="5" t="str">
        <f t="shared" si="36"/>
        <v/>
      </c>
      <c r="T177" s="7" t="str">
        <f t="shared" si="37"/>
        <v/>
      </c>
      <c r="U177" t="str">
        <f t="shared" si="38"/>
        <v/>
      </c>
    </row>
    <row r="178" spans="1:21">
      <c r="A178" t="str">
        <f t="shared" si="26"/>
        <v/>
      </c>
      <c r="B178" s="6"/>
      <c r="C178" t="str">
        <f t="shared" si="27"/>
        <v/>
      </c>
      <c r="D178" s="9"/>
      <c r="E178" s="9"/>
      <c r="F178" s="9"/>
      <c r="G178" s="8"/>
      <c r="H178" s="7" t="str">
        <f t="shared" si="28"/>
        <v/>
      </c>
      <c r="I178" s="9"/>
      <c r="J178" s="6"/>
      <c r="K178" t="str">
        <f t="shared" si="29"/>
        <v/>
      </c>
      <c r="L178" s="5" t="str">
        <f t="shared" si="30"/>
        <v/>
      </c>
      <c r="M178" s="5" t="str">
        <f t="shared" si="31"/>
        <v/>
      </c>
      <c r="N178" t="str">
        <f t="shared" si="32"/>
        <v/>
      </c>
      <c r="O178" s="10" t="str">
        <f t="shared" si="33"/>
        <v/>
      </c>
      <c r="P178" s="7" t="str">
        <f t="shared" si="34"/>
        <v/>
      </c>
      <c r="Q178" s="9"/>
      <c r="R178" s="5" t="str">
        <f t="shared" si="35"/>
        <v/>
      </c>
      <c r="S178" s="5" t="str">
        <f t="shared" si="36"/>
        <v/>
      </c>
      <c r="T178" s="7" t="str">
        <f t="shared" si="37"/>
        <v/>
      </c>
      <c r="U178" t="str">
        <f t="shared" si="38"/>
        <v/>
      </c>
    </row>
    <row r="179" spans="1:21">
      <c r="A179" t="str">
        <f t="shared" si="26"/>
        <v/>
      </c>
      <c r="B179" s="6"/>
      <c r="C179" t="str">
        <f t="shared" si="27"/>
        <v/>
      </c>
      <c r="D179" s="9"/>
      <c r="E179" s="9"/>
      <c r="F179" s="9"/>
      <c r="G179" s="8"/>
      <c r="H179" s="7" t="str">
        <f t="shared" si="28"/>
        <v/>
      </c>
      <c r="I179" s="9"/>
      <c r="J179" s="6"/>
      <c r="K179" t="str">
        <f t="shared" si="29"/>
        <v/>
      </c>
      <c r="L179" s="5" t="str">
        <f t="shared" si="30"/>
        <v/>
      </c>
      <c r="M179" s="5" t="str">
        <f t="shared" si="31"/>
        <v/>
      </c>
      <c r="N179" t="str">
        <f t="shared" si="32"/>
        <v/>
      </c>
      <c r="O179" s="10" t="str">
        <f t="shared" si="33"/>
        <v/>
      </c>
      <c r="P179" s="7" t="str">
        <f t="shared" si="34"/>
        <v/>
      </c>
      <c r="Q179" s="9"/>
      <c r="R179" s="5" t="str">
        <f t="shared" si="35"/>
        <v/>
      </c>
      <c r="S179" s="5" t="str">
        <f t="shared" si="36"/>
        <v/>
      </c>
      <c r="T179" s="7" t="str">
        <f t="shared" si="37"/>
        <v/>
      </c>
      <c r="U179" t="str">
        <f t="shared" si="38"/>
        <v/>
      </c>
    </row>
    <row r="180" spans="1:21">
      <c r="A180" t="str">
        <f t="shared" si="26"/>
        <v/>
      </c>
      <c r="B180" s="6"/>
      <c r="C180" t="str">
        <f t="shared" si="27"/>
        <v/>
      </c>
      <c r="D180" s="9"/>
      <c r="E180" s="9"/>
      <c r="F180" s="9"/>
      <c r="G180" s="8"/>
      <c r="H180" s="7" t="str">
        <f t="shared" si="28"/>
        <v/>
      </c>
      <c r="I180" s="9"/>
      <c r="J180" s="6"/>
      <c r="K180" t="str">
        <f t="shared" si="29"/>
        <v/>
      </c>
      <c r="L180" s="5" t="str">
        <f t="shared" si="30"/>
        <v/>
      </c>
      <c r="M180" s="5" t="str">
        <f t="shared" si="31"/>
        <v/>
      </c>
      <c r="N180" t="str">
        <f t="shared" si="32"/>
        <v/>
      </c>
      <c r="O180" s="10" t="str">
        <f t="shared" si="33"/>
        <v/>
      </c>
      <c r="P180" s="7" t="str">
        <f t="shared" si="34"/>
        <v/>
      </c>
      <c r="Q180" s="9"/>
      <c r="R180" s="5" t="str">
        <f t="shared" si="35"/>
        <v/>
      </c>
      <c r="S180" s="5" t="str">
        <f t="shared" si="36"/>
        <v/>
      </c>
      <c r="T180" s="7" t="str">
        <f t="shared" si="37"/>
        <v/>
      </c>
      <c r="U180" t="str">
        <f t="shared" si="38"/>
        <v/>
      </c>
    </row>
    <row r="181" spans="1:21">
      <c r="A181" t="str">
        <f t="shared" si="26"/>
        <v/>
      </c>
      <c r="B181" s="6"/>
      <c r="C181" t="str">
        <f t="shared" si="27"/>
        <v/>
      </c>
      <c r="D181" s="9"/>
      <c r="E181" s="9"/>
      <c r="F181" s="9"/>
      <c r="G181" s="8"/>
      <c r="H181" s="7" t="str">
        <f t="shared" si="28"/>
        <v/>
      </c>
      <c r="I181" s="9"/>
      <c r="J181" s="6"/>
      <c r="K181" t="str">
        <f t="shared" si="29"/>
        <v/>
      </c>
      <c r="L181" s="5" t="str">
        <f t="shared" si="30"/>
        <v/>
      </c>
      <c r="M181" s="5" t="str">
        <f t="shared" si="31"/>
        <v/>
      </c>
      <c r="N181" t="str">
        <f t="shared" si="32"/>
        <v/>
      </c>
      <c r="O181" s="10" t="str">
        <f t="shared" si="33"/>
        <v/>
      </c>
      <c r="P181" s="7" t="str">
        <f t="shared" si="34"/>
        <v/>
      </c>
      <c r="Q181" s="9"/>
      <c r="R181" s="5" t="str">
        <f t="shared" si="35"/>
        <v/>
      </c>
      <c r="S181" s="5" t="str">
        <f t="shared" si="36"/>
        <v/>
      </c>
      <c r="T181" s="7" t="str">
        <f t="shared" si="37"/>
        <v/>
      </c>
      <c r="U181" t="str">
        <f t="shared" si="38"/>
        <v/>
      </c>
    </row>
    <row r="182" spans="1:21">
      <c r="A182" t="str">
        <f t="shared" si="26"/>
        <v/>
      </c>
      <c r="B182" s="6"/>
      <c r="C182" t="str">
        <f t="shared" si="27"/>
        <v/>
      </c>
      <c r="D182" s="9"/>
      <c r="E182" s="9"/>
      <c r="F182" s="9"/>
      <c r="G182" s="8"/>
      <c r="H182" s="7" t="str">
        <f t="shared" si="28"/>
        <v/>
      </c>
      <c r="I182" s="9"/>
      <c r="J182" s="6"/>
      <c r="K182" t="str">
        <f t="shared" si="29"/>
        <v/>
      </c>
      <c r="L182" s="5" t="str">
        <f t="shared" si="30"/>
        <v/>
      </c>
      <c r="M182" s="5" t="str">
        <f t="shared" si="31"/>
        <v/>
      </c>
      <c r="N182" t="str">
        <f t="shared" si="32"/>
        <v/>
      </c>
      <c r="O182" s="10" t="str">
        <f t="shared" si="33"/>
        <v/>
      </c>
      <c r="P182" s="7" t="str">
        <f t="shared" si="34"/>
        <v/>
      </c>
      <c r="Q182" s="9"/>
      <c r="R182" s="5" t="str">
        <f t="shared" si="35"/>
        <v/>
      </c>
      <c r="S182" s="5" t="str">
        <f t="shared" si="36"/>
        <v/>
      </c>
      <c r="T182" s="7" t="str">
        <f t="shared" si="37"/>
        <v/>
      </c>
      <c r="U182" t="str">
        <f t="shared" si="38"/>
        <v/>
      </c>
    </row>
    <row r="183" spans="1:21">
      <c r="A183" t="str">
        <f t="shared" si="26"/>
        <v/>
      </c>
      <c r="B183" s="6"/>
      <c r="C183" t="str">
        <f t="shared" si="27"/>
        <v/>
      </c>
      <c r="D183" s="9"/>
      <c r="E183" s="9"/>
      <c r="F183" s="9"/>
      <c r="G183" s="8"/>
      <c r="H183" s="7" t="str">
        <f t="shared" si="28"/>
        <v/>
      </c>
      <c r="I183" s="9"/>
      <c r="J183" s="6"/>
      <c r="K183" t="str">
        <f t="shared" si="29"/>
        <v/>
      </c>
      <c r="L183" s="5" t="str">
        <f t="shared" si="30"/>
        <v/>
      </c>
      <c r="M183" s="5" t="str">
        <f t="shared" si="31"/>
        <v/>
      </c>
      <c r="N183" t="str">
        <f t="shared" si="32"/>
        <v/>
      </c>
      <c r="O183" s="10" t="str">
        <f t="shared" si="33"/>
        <v/>
      </c>
      <c r="P183" s="7" t="str">
        <f t="shared" si="34"/>
        <v/>
      </c>
      <c r="Q183" s="9"/>
      <c r="R183" s="5" t="str">
        <f t="shared" si="35"/>
        <v/>
      </c>
      <c r="S183" s="5" t="str">
        <f t="shared" si="36"/>
        <v/>
      </c>
      <c r="T183" s="7" t="str">
        <f t="shared" si="37"/>
        <v/>
      </c>
      <c r="U183" t="str">
        <f t="shared" si="38"/>
        <v/>
      </c>
    </row>
    <row r="184" spans="1:21">
      <c r="A184" t="str">
        <f t="shared" si="26"/>
        <v/>
      </c>
      <c r="B184" s="6"/>
      <c r="C184" t="str">
        <f t="shared" si="27"/>
        <v/>
      </c>
      <c r="D184" s="9"/>
      <c r="E184" s="9"/>
      <c r="F184" s="9"/>
      <c r="G184" s="8"/>
      <c r="H184" s="7" t="str">
        <f t="shared" si="28"/>
        <v/>
      </c>
      <c r="I184" s="9"/>
      <c r="J184" s="6"/>
      <c r="K184" t="str">
        <f t="shared" si="29"/>
        <v/>
      </c>
      <c r="L184" s="5" t="str">
        <f t="shared" si="30"/>
        <v/>
      </c>
      <c r="M184" s="5" t="str">
        <f t="shared" si="31"/>
        <v/>
      </c>
      <c r="N184" t="str">
        <f t="shared" si="32"/>
        <v/>
      </c>
      <c r="O184" s="10" t="str">
        <f t="shared" si="33"/>
        <v/>
      </c>
      <c r="P184" s="7" t="str">
        <f t="shared" si="34"/>
        <v/>
      </c>
      <c r="Q184" s="9"/>
      <c r="R184" s="5" t="str">
        <f t="shared" si="35"/>
        <v/>
      </c>
      <c r="S184" s="5" t="str">
        <f t="shared" si="36"/>
        <v/>
      </c>
      <c r="T184" s="7" t="str">
        <f t="shared" si="37"/>
        <v/>
      </c>
      <c r="U184" t="str">
        <f t="shared" si="38"/>
        <v/>
      </c>
    </row>
    <row r="185" spans="1:21">
      <c r="A185" t="str">
        <f t="shared" si="26"/>
        <v/>
      </c>
      <c r="B185" s="6"/>
      <c r="C185" t="str">
        <f t="shared" si="27"/>
        <v/>
      </c>
      <c r="D185" s="9"/>
      <c r="E185" s="9"/>
      <c r="F185" s="9"/>
      <c r="G185" s="8"/>
      <c r="H185" s="7" t="str">
        <f t="shared" si="28"/>
        <v/>
      </c>
      <c r="I185" s="9"/>
      <c r="J185" s="6"/>
      <c r="K185" t="str">
        <f t="shared" si="29"/>
        <v/>
      </c>
      <c r="L185" s="5" t="str">
        <f t="shared" si="30"/>
        <v/>
      </c>
      <c r="M185" s="5" t="str">
        <f t="shared" si="31"/>
        <v/>
      </c>
      <c r="N185" t="str">
        <f t="shared" si="32"/>
        <v/>
      </c>
      <c r="O185" s="10" t="str">
        <f t="shared" si="33"/>
        <v/>
      </c>
      <c r="P185" s="7" t="str">
        <f t="shared" si="34"/>
        <v/>
      </c>
      <c r="Q185" s="9"/>
      <c r="R185" s="5" t="str">
        <f t="shared" si="35"/>
        <v/>
      </c>
      <c r="S185" s="5" t="str">
        <f t="shared" si="36"/>
        <v/>
      </c>
      <c r="T185" s="7" t="str">
        <f t="shared" si="37"/>
        <v/>
      </c>
      <c r="U185" t="str">
        <f t="shared" si="38"/>
        <v/>
      </c>
    </row>
    <row r="186" spans="1:21">
      <c r="A186" t="str">
        <f t="shared" si="26"/>
        <v/>
      </c>
      <c r="B186" s="6"/>
      <c r="C186" t="str">
        <f t="shared" si="27"/>
        <v/>
      </c>
      <c r="D186" s="9"/>
      <c r="E186" s="9"/>
      <c r="F186" s="9"/>
      <c r="G186" s="8"/>
      <c r="H186" s="7" t="str">
        <f t="shared" si="28"/>
        <v/>
      </c>
      <c r="I186" s="9"/>
      <c r="J186" s="6"/>
      <c r="K186" t="str">
        <f t="shared" si="29"/>
        <v/>
      </c>
      <c r="L186" s="5" t="str">
        <f t="shared" si="30"/>
        <v/>
      </c>
      <c r="M186" s="5" t="str">
        <f t="shared" si="31"/>
        <v/>
      </c>
      <c r="N186" t="str">
        <f t="shared" si="32"/>
        <v/>
      </c>
      <c r="O186" s="10" t="str">
        <f t="shared" si="33"/>
        <v/>
      </c>
      <c r="P186" s="7" t="str">
        <f t="shared" si="34"/>
        <v/>
      </c>
      <c r="Q186" s="9"/>
      <c r="R186" s="5" t="str">
        <f t="shared" si="35"/>
        <v/>
      </c>
      <c r="S186" s="5" t="str">
        <f t="shared" si="36"/>
        <v/>
      </c>
      <c r="T186" s="7" t="str">
        <f t="shared" si="37"/>
        <v/>
      </c>
      <c r="U186" t="str">
        <f t="shared" si="38"/>
        <v/>
      </c>
    </row>
    <row r="187" spans="1:21">
      <c r="A187" t="str">
        <f t="shared" si="26"/>
        <v/>
      </c>
      <c r="B187" s="6"/>
      <c r="C187" t="str">
        <f t="shared" si="27"/>
        <v/>
      </c>
      <c r="D187" s="9"/>
      <c r="E187" s="9"/>
      <c r="F187" s="9"/>
      <c r="G187" s="8"/>
      <c r="H187" s="7" t="str">
        <f t="shared" si="28"/>
        <v/>
      </c>
      <c r="I187" s="9"/>
      <c r="J187" s="6"/>
      <c r="K187" t="str">
        <f t="shared" si="29"/>
        <v/>
      </c>
      <c r="L187" s="5" t="str">
        <f t="shared" si="30"/>
        <v/>
      </c>
      <c r="M187" s="5" t="str">
        <f t="shared" si="31"/>
        <v/>
      </c>
      <c r="N187" t="str">
        <f t="shared" si="32"/>
        <v/>
      </c>
      <c r="O187" s="10" t="str">
        <f t="shared" si="33"/>
        <v/>
      </c>
      <c r="P187" s="7" t="str">
        <f t="shared" si="34"/>
        <v/>
      </c>
      <c r="Q187" s="9"/>
      <c r="R187" s="5" t="str">
        <f t="shared" si="35"/>
        <v/>
      </c>
      <c r="S187" s="5" t="str">
        <f t="shared" si="36"/>
        <v/>
      </c>
      <c r="T187" s="7" t="str">
        <f t="shared" si="37"/>
        <v/>
      </c>
      <c r="U187" t="str">
        <f t="shared" si="38"/>
        <v/>
      </c>
    </row>
    <row r="188" spans="1:21">
      <c r="A188" t="str">
        <f t="shared" si="26"/>
        <v/>
      </c>
      <c r="B188" s="6"/>
      <c r="C188" t="str">
        <f t="shared" si="27"/>
        <v/>
      </c>
      <c r="D188" s="9"/>
      <c r="E188" s="9"/>
      <c r="F188" s="9"/>
      <c r="G188" s="8"/>
      <c r="H188" s="7" t="str">
        <f t="shared" si="28"/>
        <v/>
      </c>
      <c r="I188" s="9"/>
      <c r="J188" s="6"/>
      <c r="K188" t="str">
        <f t="shared" si="29"/>
        <v/>
      </c>
      <c r="L188" s="5" t="str">
        <f t="shared" si="30"/>
        <v/>
      </c>
      <c r="M188" s="5" t="str">
        <f t="shared" si="31"/>
        <v/>
      </c>
      <c r="N188" t="str">
        <f t="shared" si="32"/>
        <v/>
      </c>
      <c r="O188" s="10" t="str">
        <f t="shared" si="33"/>
        <v/>
      </c>
      <c r="P188" s="7" t="str">
        <f t="shared" si="34"/>
        <v/>
      </c>
      <c r="Q188" s="9"/>
      <c r="R188" s="5" t="str">
        <f t="shared" si="35"/>
        <v/>
      </c>
      <c r="S188" s="5" t="str">
        <f t="shared" si="36"/>
        <v/>
      </c>
      <c r="T188" s="7" t="str">
        <f t="shared" si="37"/>
        <v/>
      </c>
      <c r="U188" t="str">
        <f t="shared" si="38"/>
        <v/>
      </c>
    </row>
    <row r="189" spans="1:21">
      <c r="A189" t="str">
        <f t="shared" si="26"/>
        <v/>
      </c>
      <c r="B189" s="6"/>
      <c r="C189" t="str">
        <f t="shared" si="27"/>
        <v/>
      </c>
      <c r="D189" s="9"/>
      <c r="E189" s="9"/>
      <c r="F189" s="9"/>
      <c r="G189" s="8"/>
      <c r="H189" s="7" t="str">
        <f t="shared" si="28"/>
        <v/>
      </c>
      <c r="I189" s="9"/>
      <c r="J189" s="6"/>
      <c r="K189" t="str">
        <f t="shared" si="29"/>
        <v/>
      </c>
      <c r="L189" s="5" t="str">
        <f t="shared" si="30"/>
        <v/>
      </c>
      <c r="M189" s="5" t="str">
        <f t="shared" si="31"/>
        <v/>
      </c>
      <c r="N189" t="str">
        <f t="shared" si="32"/>
        <v/>
      </c>
      <c r="O189" s="10" t="str">
        <f t="shared" si="33"/>
        <v/>
      </c>
      <c r="P189" s="7" t="str">
        <f t="shared" si="34"/>
        <v/>
      </c>
      <c r="Q189" s="9"/>
      <c r="R189" s="5" t="str">
        <f t="shared" si="35"/>
        <v/>
      </c>
      <c r="S189" s="5" t="str">
        <f t="shared" si="36"/>
        <v/>
      </c>
      <c r="T189" s="7" t="str">
        <f t="shared" si="37"/>
        <v/>
      </c>
      <c r="U189" t="str">
        <f t="shared" si="38"/>
        <v/>
      </c>
    </row>
    <row r="190" spans="1:21">
      <c r="A190" t="str">
        <f t="shared" si="26"/>
        <v/>
      </c>
      <c r="B190" s="6"/>
      <c r="C190" t="str">
        <f t="shared" si="27"/>
        <v/>
      </c>
      <c r="D190" s="9"/>
      <c r="E190" s="9"/>
      <c r="F190" s="9"/>
      <c r="G190" s="8"/>
      <c r="H190" s="7" t="str">
        <f t="shared" si="28"/>
        <v/>
      </c>
      <c r="I190" s="9"/>
      <c r="J190" s="6"/>
      <c r="K190" t="str">
        <f t="shared" si="29"/>
        <v/>
      </c>
      <c r="L190" s="5" t="str">
        <f t="shared" si="30"/>
        <v/>
      </c>
      <c r="M190" s="5" t="str">
        <f t="shared" si="31"/>
        <v/>
      </c>
      <c r="N190" t="str">
        <f t="shared" si="32"/>
        <v/>
      </c>
      <c r="O190" s="10" t="str">
        <f t="shared" si="33"/>
        <v/>
      </c>
      <c r="P190" s="7" t="str">
        <f t="shared" si="34"/>
        <v/>
      </c>
      <c r="Q190" s="9"/>
      <c r="R190" s="5" t="str">
        <f t="shared" si="35"/>
        <v/>
      </c>
      <c r="S190" s="5" t="str">
        <f t="shared" si="36"/>
        <v/>
      </c>
      <c r="T190" s="7" t="str">
        <f t="shared" si="37"/>
        <v/>
      </c>
      <c r="U190" t="str">
        <f t="shared" si="38"/>
        <v/>
      </c>
    </row>
    <row r="191" spans="1:21">
      <c r="A191" t="str">
        <f t="shared" si="26"/>
        <v/>
      </c>
      <c r="B191" s="6"/>
      <c r="C191" t="str">
        <f t="shared" si="27"/>
        <v/>
      </c>
      <c r="D191" s="9"/>
      <c r="E191" s="9"/>
      <c r="F191" s="9"/>
      <c r="G191" s="8"/>
      <c r="H191" s="7" t="str">
        <f t="shared" si="28"/>
        <v/>
      </c>
      <c r="I191" s="9"/>
      <c r="J191" s="6"/>
      <c r="K191" t="str">
        <f t="shared" si="29"/>
        <v/>
      </c>
      <c r="L191" s="5" t="str">
        <f t="shared" si="30"/>
        <v/>
      </c>
      <c r="M191" s="5" t="str">
        <f t="shared" si="31"/>
        <v/>
      </c>
      <c r="N191" t="str">
        <f t="shared" si="32"/>
        <v/>
      </c>
      <c r="O191" s="10" t="str">
        <f t="shared" si="33"/>
        <v/>
      </c>
      <c r="P191" s="7" t="str">
        <f t="shared" si="34"/>
        <v/>
      </c>
      <c r="Q191" s="9"/>
      <c r="R191" s="5" t="str">
        <f t="shared" si="35"/>
        <v/>
      </c>
      <c r="S191" s="5" t="str">
        <f t="shared" si="36"/>
        <v/>
      </c>
      <c r="T191" s="7" t="str">
        <f t="shared" si="37"/>
        <v/>
      </c>
      <c r="U191" t="str">
        <f t="shared" si="38"/>
        <v/>
      </c>
    </row>
    <row r="192" spans="1:21">
      <c r="A192" t="str">
        <f t="shared" si="26"/>
        <v/>
      </c>
      <c r="B192" s="6"/>
      <c r="C192" t="str">
        <f t="shared" si="27"/>
        <v/>
      </c>
      <c r="D192" s="9"/>
      <c r="E192" s="9"/>
      <c r="F192" s="9"/>
      <c r="G192" s="8"/>
      <c r="H192" s="7" t="str">
        <f t="shared" si="28"/>
        <v/>
      </c>
      <c r="I192" s="9"/>
      <c r="J192" s="6"/>
      <c r="K192" t="str">
        <f t="shared" si="29"/>
        <v/>
      </c>
      <c r="L192" s="5" t="str">
        <f t="shared" si="30"/>
        <v/>
      </c>
      <c r="M192" s="5" t="str">
        <f t="shared" si="31"/>
        <v/>
      </c>
      <c r="N192" t="str">
        <f t="shared" si="32"/>
        <v/>
      </c>
      <c r="O192" s="10" t="str">
        <f t="shared" si="33"/>
        <v/>
      </c>
      <c r="P192" s="7" t="str">
        <f t="shared" si="34"/>
        <v/>
      </c>
      <c r="Q192" s="9"/>
      <c r="R192" s="5" t="str">
        <f t="shared" si="35"/>
        <v/>
      </c>
      <c r="S192" s="5" t="str">
        <f t="shared" si="36"/>
        <v/>
      </c>
      <c r="T192" s="7" t="str">
        <f t="shared" si="37"/>
        <v/>
      </c>
      <c r="U192" t="str">
        <f t="shared" si="38"/>
        <v/>
      </c>
    </row>
    <row r="193" spans="1:21">
      <c r="A193" t="str">
        <f t="shared" si="26"/>
        <v/>
      </c>
      <c r="B193" s="6"/>
      <c r="C193" t="str">
        <f t="shared" si="27"/>
        <v/>
      </c>
      <c r="D193" s="9"/>
      <c r="E193" s="9"/>
      <c r="F193" s="9"/>
      <c r="G193" s="8"/>
      <c r="H193" s="7" t="str">
        <f t="shared" si="28"/>
        <v/>
      </c>
      <c r="I193" s="9"/>
      <c r="J193" s="6"/>
      <c r="K193" t="str">
        <f t="shared" si="29"/>
        <v/>
      </c>
      <c r="L193" s="5" t="str">
        <f t="shared" si="30"/>
        <v/>
      </c>
      <c r="M193" s="5" t="str">
        <f t="shared" si="31"/>
        <v/>
      </c>
      <c r="N193" t="str">
        <f t="shared" si="32"/>
        <v/>
      </c>
      <c r="O193" s="10" t="str">
        <f t="shared" si="33"/>
        <v/>
      </c>
      <c r="P193" s="7" t="str">
        <f t="shared" si="34"/>
        <v/>
      </c>
      <c r="Q193" s="9"/>
      <c r="R193" s="5" t="str">
        <f t="shared" si="35"/>
        <v/>
      </c>
      <c r="S193" s="5" t="str">
        <f t="shared" si="36"/>
        <v/>
      </c>
      <c r="T193" s="7" t="str">
        <f t="shared" si="37"/>
        <v/>
      </c>
      <c r="U193" t="str">
        <f t="shared" si="38"/>
        <v/>
      </c>
    </row>
    <row r="194" spans="1:21">
      <c r="A194" t="str">
        <f t="shared" si="26"/>
        <v/>
      </c>
      <c r="B194" s="6"/>
      <c r="C194" t="str">
        <f t="shared" si="27"/>
        <v/>
      </c>
      <c r="D194" s="9"/>
      <c r="E194" s="9"/>
      <c r="F194" s="9"/>
      <c r="G194" s="8"/>
      <c r="H194" s="7" t="str">
        <f t="shared" si="28"/>
        <v/>
      </c>
      <c r="I194" s="9"/>
      <c r="J194" s="6"/>
      <c r="K194" t="str">
        <f t="shared" si="29"/>
        <v/>
      </c>
      <c r="L194" s="5" t="str">
        <f t="shared" si="30"/>
        <v/>
      </c>
      <c r="M194" s="5" t="str">
        <f t="shared" si="31"/>
        <v/>
      </c>
      <c r="N194" t="str">
        <f t="shared" si="32"/>
        <v/>
      </c>
      <c r="O194" s="10" t="str">
        <f t="shared" si="33"/>
        <v/>
      </c>
      <c r="P194" s="7" t="str">
        <f t="shared" si="34"/>
        <v/>
      </c>
      <c r="Q194" s="9"/>
      <c r="R194" s="5" t="str">
        <f t="shared" si="35"/>
        <v/>
      </c>
      <c r="S194" s="5" t="str">
        <f t="shared" si="36"/>
        <v/>
      </c>
      <c r="T194" s="7" t="str">
        <f t="shared" si="37"/>
        <v/>
      </c>
      <c r="U194" t="str">
        <f t="shared" si="38"/>
        <v/>
      </c>
    </row>
    <row r="195" spans="1:21">
      <c r="A195" t="str">
        <f t="shared" si="26"/>
        <v/>
      </c>
      <c r="B195" s="6"/>
      <c r="C195" t="str">
        <f t="shared" si="27"/>
        <v/>
      </c>
      <c r="D195" s="9"/>
      <c r="E195" s="9"/>
      <c r="F195" s="9"/>
      <c r="G195" s="8"/>
      <c r="H195" s="7" t="str">
        <f t="shared" si="28"/>
        <v/>
      </c>
      <c r="I195" s="9"/>
      <c r="J195" s="6"/>
      <c r="K195" t="str">
        <f t="shared" si="29"/>
        <v/>
      </c>
      <c r="L195" s="5" t="str">
        <f t="shared" si="30"/>
        <v/>
      </c>
      <c r="M195" s="5" t="str">
        <f t="shared" si="31"/>
        <v/>
      </c>
      <c r="N195" t="str">
        <f t="shared" si="32"/>
        <v/>
      </c>
      <c r="O195" s="10" t="str">
        <f t="shared" si="33"/>
        <v/>
      </c>
      <c r="P195" s="7" t="str">
        <f t="shared" si="34"/>
        <v/>
      </c>
      <c r="Q195" s="9"/>
      <c r="R195" s="5" t="str">
        <f t="shared" si="35"/>
        <v/>
      </c>
      <c r="S195" s="5" t="str">
        <f t="shared" si="36"/>
        <v/>
      </c>
      <c r="T195" s="7" t="str">
        <f t="shared" si="37"/>
        <v/>
      </c>
      <c r="U195" t="str">
        <f t="shared" si="38"/>
        <v/>
      </c>
    </row>
    <row r="196" spans="1:21">
      <c r="A196" t="str">
        <f t="shared" si="26"/>
        <v/>
      </c>
      <c r="B196" s="6"/>
      <c r="C196" t="str">
        <f t="shared" si="27"/>
        <v/>
      </c>
      <c r="D196" s="9"/>
      <c r="E196" s="9"/>
      <c r="F196" s="9"/>
      <c r="G196" s="8"/>
      <c r="H196" s="7" t="str">
        <f t="shared" si="28"/>
        <v/>
      </c>
      <c r="I196" s="9"/>
      <c r="J196" s="6"/>
      <c r="K196" t="str">
        <f t="shared" si="29"/>
        <v/>
      </c>
      <c r="L196" s="5" t="str">
        <f t="shared" si="30"/>
        <v/>
      </c>
      <c r="M196" s="5" t="str">
        <f t="shared" si="31"/>
        <v/>
      </c>
      <c r="N196" t="str">
        <f t="shared" si="32"/>
        <v/>
      </c>
      <c r="O196" s="10" t="str">
        <f t="shared" si="33"/>
        <v/>
      </c>
      <c r="P196" s="7" t="str">
        <f t="shared" si="34"/>
        <v/>
      </c>
      <c r="Q196" s="9"/>
      <c r="R196" s="5" t="str">
        <f t="shared" si="35"/>
        <v/>
      </c>
      <c r="S196" s="5" t="str">
        <f t="shared" si="36"/>
        <v/>
      </c>
      <c r="T196" s="7" t="str">
        <f t="shared" si="37"/>
        <v/>
      </c>
      <c r="U196" t="str">
        <f t="shared" si="38"/>
        <v/>
      </c>
    </row>
    <row r="197" spans="1:21">
      <c r="A197" t="str">
        <f t="shared" ref="A197:A260" si="39">IF(B197="","",ROW()-4)</f>
        <v/>
      </c>
      <c r="B197" s="6"/>
      <c r="C197" t="str">
        <f t="shared" ref="C197:C260" si="40">IF(B197="","",TEXT(B197,"ddd"))</f>
        <v/>
      </c>
      <c r="D197" s="9"/>
      <c r="E197" s="9"/>
      <c r="F197" s="9"/>
      <c r="G197" s="8"/>
      <c r="H197" s="7" t="str">
        <f t="shared" ref="H197:H260" si="41">IF(B197="","",IF(G197&lt;&gt;"",G197,IFERROR(INDEX(CajasOrigen,MATCH(D197,Origenes,0)),CajasProm)))</f>
        <v/>
      </c>
      <c r="I197" s="9"/>
      <c r="J197" s="6"/>
      <c r="K197" t="str">
        <f t="shared" ref="K197:K260" si="42">IF(B197="","",IFERROR(INDEX(Lags,MATCH(D197,Origenes,0)),LagBR)+IF(J197&lt;&gt;"",0,AtrasoDias))</f>
        <v/>
      </c>
      <c r="L197" s="5" t="str">
        <f t="shared" ref="L197:L260" si="43">IF(B197="","",IF(J197&lt;&gt;"",J197,B197+K197))</f>
        <v/>
      </c>
      <c r="M197" s="5" t="str">
        <f t="shared" ref="M197:M260" si="44">IF(L197="","",L197-WEEKDAY(L197,2)+1)</f>
        <v/>
      </c>
      <c r="N197" t="str">
        <f t="shared" ref="N197:N260" si="45">IF(L197="","",IF(L197&gt;FechaConteo,1,0)*IF(I197="Supuesto",SupPY,IF(I197="Supuesto BR",SupBR,1)))</f>
        <v/>
      </c>
      <c r="O197" s="10" t="str">
        <f t="shared" ref="O197:O260" si="46">IF(D197="","",IFERROR(INDEX(CostoOrigen,MATCH(D197,Origenes,0)),0))</f>
        <v/>
      </c>
      <c r="P197" s="7" t="str">
        <f t="shared" ref="P197:P260" si="47">IF(H197="","",H197*O197)</f>
        <v/>
      </c>
      <c r="Q197" s="9"/>
      <c r="R197" s="5" t="str">
        <f t="shared" ref="R197:R260" si="48">IF(B197="","",IF(J197&lt;&gt;"",J197,B197+IFERROR(INDEX(LagsP90,MATCH(D197,Origenes,0)),K197)))</f>
        <v/>
      </c>
      <c r="S197" s="5" t="str">
        <f t="shared" ref="S197:S260" si="49">IF(R197="","",R197-WEEKDAY(R197,2)+1)</f>
        <v/>
      </c>
      <c r="T197" s="7" t="str">
        <f t="shared" ref="T197:T260" si="50">IF(B197="","",IF(AND(B197&lt;=FechaHoy,J197="",I197&lt;&gt;"Supuesto",I197&lt;&gt;"Simulado"),H197,0))</f>
        <v/>
      </c>
      <c r="U197" t="str">
        <f t="shared" ref="U197:U260" si="51">IF(J197="","",IF(J197-B197&lt;=K197+1,1,0))</f>
        <v/>
      </c>
    </row>
    <row r="198" spans="1:21">
      <c r="A198" t="str">
        <f t="shared" si="39"/>
        <v/>
      </c>
      <c r="B198" s="6"/>
      <c r="C198" t="str">
        <f t="shared" si="40"/>
        <v/>
      </c>
      <c r="D198" s="9"/>
      <c r="E198" s="9"/>
      <c r="F198" s="9"/>
      <c r="G198" s="8"/>
      <c r="H198" s="7" t="str">
        <f t="shared" si="41"/>
        <v/>
      </c>
      <c r="I198" s="9"/>
      <c r="J198" s="6"/>
      <c r="K198" t="str">
        <f t="shared" si="42"/>
        <v/>
      </c>
      <c r="L198" s="5" t="str">
        <f t="shared" si="43"/>
        <v/>
      </c>
      <c r="M198" s="5" t="str">
        <f t="shared" si="44"/>
        <v/>
      </c>
      <c r="N198" t="str">
        <f t="shared" si="45"/>
        <v/>
      </c>
      <c r="O198" s="10" t="str">
        <f t="shared" si="46"/>
        <v/>
      </c>
      <c r="P198" s="7" t="str">
        <f t="shared" si="47"/>
        <v/>
      </c>
      <c r="Q198" s="9"/>
      <c r="R198" s="5" t="str">
        <f t="shared" si="48"/>
        <v/>
      </c>
      <c r="S198" s="5" t="str">
        <f t="shared" si="49"/>
        <v/>
      </c>
      <c r="T198" s="7" t="str">
        <f t="shared" si="50"/>
        <v/>
      </c>
      <c r="U198" t="str">
        <f t="shared" si="51"/>
        <v/>
      </c>
    </row>
    <row r="199" spans="1:21">
      <c r="A199" t="str">
        <f t="shared" si="39"/>
        <v/>
      </c>
      <c r="B199" s="6"/>
      <c r="C199" t="str">
        <f t="shared" si="40"/>
        <v/>
      </c>
      <c r="D199" s="9"/>
      <c r="E199" s="9"/>
      <c r="F199" s="9"/>
      <c r="G199" s="8"/>
      <c r="H199" s="7" t="str">
        <f t="shared" si="41"/>
        <v/>
      </c>
      <c r="I199" s="9"/>
      <c r="J199" s="6"/>
      <c r="K199" t="str">
        <f t="shared" si="42"/>
        <v/>
      </c>
      <c r="L199" s="5" t="str">
        <f t="shared" si="43"/>
        <v/>
      </c>
      <c r="M199" s="5" t="str">
        <f t="shared" si="44"/>
        <v/>
      </c>
      <c r="N199" t="str">
        <f t="shared" si="45"/>
        <v/>
      </c>
      <c r="O199" s="10" t="str">
        <f t="shared" si="46"/>
        <v/>
      </c>
      <c r="P199" s="7" t="str">
        <f t="shared" si="47"/>
        <v/>
      </c>
      <c r="Q199" s="9"/>
      <c r="R199" s="5" t="str">
        <f t="shared" si="48"/>
        <v/>
      </c>
      <c r="S199" s="5" t="str">
        <f t="shared" si="49"/>
        <v/>
      </c>
      <c r="T199" s="7" t="str">
        <f t="shared" si="50"/>
        <v/>
      </c>
      <c r="U199" t="str">
        <f t="shared" si="51"/>
        <v/>
      </c>
    </row>
    <row r="200" spans="1:21">
      <c r="A200" t="str">
        <f t="shared" si="39"/>
        <v/>
      </c>
      <c r="B200" s="6"/>
      <c r="C200" t="str">
        <f t="shared" si="40"/>
        <v/>
      </c>
      <c r="D200" s="9"/>
      <c r="E200" s="9"/>
      <c r="F200" s="9"/>
      <c r="G200" s="8"/>
      <c r="H200" s="7" t="str">
        <f t="shared" si="41"/>
        <v/>
      </c>
      <c r="I200" s="9"/>
      <c r="J200" s="6"/>
      <c r="K200" t="str">
        <f t="shared" si="42"/>
        <v/>
      </c>
      <c r="L200" s="5" t="str">
        <f t="shared" si="43"/>
        <v/>
      </c>
      <c r="M200" s="5" t="str">
        <f t="shared" si="44"/>
        <v/>
      </c>
      <c r="N200" t="str">
        <f t="shared" si="45"/>
        <v/>
      </c>
      <c r="O200" s="10" t="str">
        <f t="shared" si="46"/>
        <v/>
      </c>
      <c r="P200" s="7" t="str">
        <f t="shared" si="47"/>
        <v/>
      </c>
      <c r="Q200" s="9"/>
      <c r="R200" s="5" t="str">
        <f t="shared" si="48"/>
        <v/>
      </c>
      <c r="S200" s="5" t="str">
        <f t="shared" si="49"/>
        <v/>
      </c>
      <c r="T200" s="7" t="str">
        <f t="shared" si="50"/>
        <v/>
      </c>
      <c r="U200" t="str">
        <f t="shared" si="51"/>
        <v/>
      </c>
    </row>
    <row r="201" spans="1:21">
      <c r="A201" t="str">
        <f t="shared" si="39"/>
        <v/>
      </c>
      <c r="B201" s="6"/>
      <c r="C201" t="str">
        <f t="shared" si="40"/>
        <v/>
      </c>
      <c r="D201" s="9"/>
      <c r="E201" s="9"/>
      <c r="F201" s="9"/>
      <c r="G201" s="8"/>
      <c r="H201" s="7" t="str">
        <f t="shared" si="41"/>
        <v/>
      </c>
      <c r="I201" s="9"/>
      <c r="J201" s="6"/>
      <c r="K201" t="str">
        <f t="shared" si="42"/>
        <v/>
      </c>
      <c r="L201" s="5" t="str">
        <f t="shared" si="43"/>
        <v/>
      </c>
      <c r="M201" s="5" t="str">
        <f t="shared" si="44"/>
        <v/>
      </c>
      <c r="N201" t="str">
        <f t="shared" si="45"/>
        <v/>
      </c>
      <c r="O201" s="10" t="str">
        <f t="shared" si="46"/>
        <v/>
      </c>
      <c r="P201" s="7" t="str">
        <f t="shared" si="47"/>
        <v/>
      </c>
      <c r="Q201" s="9"/>
      <c r="R201" s="5" t="str">
        <f t="shared" si="48"/>
        <v/>
      </c>
      <c r="S201" s="5" t="str">
        <f t="shared" si="49"/>
        <v/>
      </c>
      <c r="T201" s="7" t="str">
        <f t="shared" si="50"/>
        <v/>
      </c>
      <c r="U201" t="str">
        <f t="shared" si="51"/>
        <v/>
      </c>
    </row>
    <row r="202" spans="1:21">
      <c r="A202" t="str">
        <f t="shared" si="39"/>
        <v/>
      </c>
      <c r="B202" s="6"/>
      <c r="C202" t="str">
        <f t="shared" si="40"/>
        <v/>
      </c>
      <c r="D202" s="9"/>
      <c r="E202" s="9"/>
      <c r="F202" s="9"/>
      <c r="G202" s="8"/>
      <c r="H202" s="7" t="str">
        <f t="shared" si="41"/>
        <v/>
      </c>
      <c r="I202" s="9"/>
      <c r="J202" s="6"/>
      <c r="K202" t="str">
        <f t="shared" si="42"/>
        <v/>
      </c>
      <c r="L202" s="5" t="str">
        <f t="shared" si="43"/>
        <v/>
      </c>
      <c r="M202" s="5" t="str">
        <f t="shared" si="44"/>
        <v/>
      </c>
      <c r="N202" t="str">
        <f t="shared" si="45"/>
        <v/>
      </c>
      <c r="O202" s="10" t="str">
        <f t="shared" si="46"/>
        <v/>
      </c>
      <c r="P202" s="7" t="str">
        <f t="shared" si="47"/>
        <v/>
      </c>
      <c r="Q202" s="9"/>
      <c r="R202" s="5" t="str">
        <f t="shared" si="48"/>
        <v/>
      </c>
      <c r="S202" s="5" t="str">
        <f t="shared" si="49"/>
        <v/>
      </c>
      <c r="T202" s="7" t="str">
        <f t="shared" si="50"/>
        <v/>
      </c>
      <c r="U202" t="str">
        <f t="shared" si="51"/>
        <v/>
      </c>
    </row>
    <row r="203" spans="1:21">
      <c r="A203" t="str">
        <f t="shared" si="39"/>
        <v/>
      </c>
      <c r="B203" s="6"/>
      <c r="C203" t="str">
        <f t="shared" si="40"/>
        <v/>
      </c>
      <c r="D203" s="9"/>
      <c r="E203" s="9"/>
      <c r="F203" s="9"/>
      <c r="G203" s="8"/>
      <c r="H203" s="7" t="str">
        <f t="shared" si="41"/>
        <v/>
      </c>
      <c r="I203" s="9"/>
      <c r="J203" s="6"/>
      <c r="K203" t="str">
        <f t="shared" si="42"/>
        <v/>
      </c>
      <c r="L203" s="5" t="str">
        <f t="shared" si="43"/>
        <v/>
      </c>
      <c r="M203" s="5" t="str">
        <f t="shared" si="44"/>
        <v/>
      </c>
      <c r="N203" t="str">
        <f t="shared" si="45"/>
        <v/>
      </c>
      <c r="O203" s="10" t="str">
        <f t="shared" si="46"/>
        <v/>
      </c>
      <c r="P203" s="7" t="str">
        <f t="shared" si="47"/>
        <v/>
      </c>
      <c r="Q203" s="9"/>
      <c r="R203" s="5" t="str">
        <f t="shared" si="48"/>
        <v/>
      </c>
      <c r="S203" s="5" t="str">
        <f t="shared" si="49"/>
        <v/>
      </c>
      <c r="T203" s="7" t="str">
        <f t="shared" si="50"/>
        <v/>
      </c>
      <c r="U203" t="str">
        <f t="shared" si="51"/>
        <v/>
      </c>
    </row>
    <row r="204" spans="1:21">
      <c r="A204" t="str">
        <f t="shared" si="39"/>
        <v/>
      </c>
      <c r="B204" s="6"/>
      <c r="C204" t="str">
        <f t="shared" si="40"/>
        <v/>
      </c>
      <c r="D204" s="9"/>
      <c r="E204" s="9"/>
      <c r="F204" s="9"/>
      <c r="G204" s="8"/>
      <c r="H204" s="7" t="str">
        <f t="shared" si="41"/>
        <v/>
      </c>
      <c r="I204" s="9"/>
      <c r="J204" s="6"/>
      <c r="K204" t="str">
        <f t="shared" si="42"/>
        <v/>
      </c>
      <c r="L204" s="5" t="str">
        <f t="shared" si="43"/>
        <v/>
      </c>
      <c r="M204" s="5" t="str">
        <f t="shared" si="44"/>
        <v/>
      </c>
      <c r="N204" t="str">
        <f t="shared" si="45"/>
        <v/>
      </c>
      <c r="O204" s="10" t="str">
        <f t="shared" si="46"/>
        <v/>
      </c>
      <c r="P204" s="7" t="str">
        <f t="shared" si="47"/>
        <v/>
      </c>
      <c r="Q204" s="9"/>
      <c r="R204" s="5" t="str">
        <f t="shared" si="48"/>
        <v/>
      </c>
      <c r="S204" s="5" t="str">
        <f t="shared" si="49"/>
        <v/>
      </c>
      <c r="T204" s="7" t="str">
        <f t="shared" si="50"/>
        <v/>
      </c>
      <c r="U204" t="str">
        <f t="shared" si="51"/>
        <v/>
      </c>
    </row>
    <row r="205" spans="1:21">
      <c r="A205" t="str">
        <f t="shared" si="39"/>
        <v/>
      </c>
      <c r="B205" s="6"/>
      <c r="C205" t="str">
        <f t="shared" si="40"/>
        <v/>
      </c>
      <c r="D205" s="9"/>
      <c r="E205" s="9"/>
      <c r="F205" s="9"/>
      <c r="G205" s="8"/>
      <c r="H205" s="7" t="str">
        <f t="shared" si="41"/>
        <v/>
      </c>
      <c r="I205" s="9"/>
      <c r="J205" s="6"/>
      <c r="K205" t="str">
        <f t="shared" si="42"/>
        <v/>
      </c>
      <c r="L205" s="5" t="str">
        <f t="shared" si="43"/>
        <v/>
      </c>
      <c r="M205" s="5" t="str">
        <f t="shared" si="44"/>
        <v/>
      </c>
      <c r="N205" t="str">
        <f t="shared" si="45"/>
        <v/>
      </c>
      <c r="O205" s="10" t="str">
        <f t="shared" si="46"/>
        <v/>
      </c>
      <c r="P205" s="7" t="str">
        <f t="shared" si="47"/>
        <v/>
      </c>
      <c r="Q205" s="9"/>
      <c r="R205" s="5" t="str">
        <f t="shared" si="48"/>
        <v/>
      </c>
      <c r="S205" s="5" t="str">
        <f t="shared" si="49"/>
        <v/>
      </c>
      <c r="T205" s="7" t="str">
        <f t="shared" si="50"/>
        <v/>
      </c>
      <c r="U205" t="str">
        <f t="shared" si="51"/>
        <v/>
      </c>
    </row>
    <row r="206" spans="1:21">
      <c r="A206" t="str">
        <f t="shared" si="39"/>
        <v/>
      </c>
      <c r="B206" s="6"/>
      <c r="C206" t="str">
        <f t="shared" si="40"/>
        <v/>
      </c>
      <c r="D206" s="9"/>
      <c r="E206" s="9"/>
      <c r="F206" s="9"/>
      <c r="G206" s="8"/>
      <c r="H206" s="7" t="str">
        <f t="shared" si="41"/>
        <v/>
      </c>
      <c r="I206" s="9"/>
      <c r="J206" s="6"/>
      <c r="K206" t="str">
        <f t="shared" si="42"/>
        <v/>
      </c>
      <c r="L206" s="5" t="str">
        <f t="shared" si="43"/>
        <v/>
      </c>
      <c r="M206" s="5" t="str">
        <f t="shared" si="44"/>
        <v/>
      </c>
      <c r="N206" t="str">
        <f t="shared" si="45"/>
        <v/>
      </c>
      <c r="O206" s="10" t="str">
        <f t="shared" si="46"/>
        <v/>
      </c>
      <c r="P206" s="7" t="str">
        <f t="shared" si="47"/>
        <v/>
      </c>
      <c r="Q206" s="9"/>
      <c r="R206" s="5" t="str">
        <f t="shared" si="48"/>
        <v/>
      </c>
      <c r="S206" s="5" t="str">
        <f t="shared" si="49"/>
        <v/>
      </c>
      <c r="T206" s="7" t="str">
        <f t="shared" si="50"/>
        <v/>
      </c>
      <c r="U206" t="str">
        <f t="shared" si="51"/>
        <v/>
      </c>
    </row>
    <row r="207" spans="1:21">
      <c r="A207" t="str">
        <f t="shared" si="39"/>
        <v/>
      </c>
      <c r="B207" s="6"/>
      <c r="C207" t="str">
        <f t="shared" si="40"/>
        <v/>
      </c>
      <c r="D207" s="9"/>
      <c r="E207" s="9"/>
      <c r="F207" s="9"/>
      <c r="G207" s="8"/>
      <c r="H207" s="7" t="str">
        <f t="shared" si="41"/>
        <v/>
      </c>
      <c r="I207" s="9"/>
      <c r="J207" s="6"/>
      <c r="K207" t="str">
        <f t="shared" si="42"/>
        <v/>
      </c>
      <c r="L207" s="5" t="str">
        <f t="shared" si="43"/>
        <v/>
      </c>
      <c r="M207" s="5" t="str">
        <f t="shared" si="44"/>
        <v/>
      </c>
      <c r="N207" t="str">
        <f t="shared" si="45"/>
        <v/>
      </c>
      <c r="O207" s="10" t="str">
        <f t="shared" si="46"/>
        <v/>
      </c>
      <c r="P207" s="7" t="str">
        <f t="shared" si="47"/>
        <v/>
      </c>
      <c r="Q207" s="9"/>
      <c r="R207" s="5" t="str">
        <f t="shared" si="48"/>
        <v/>
      </c>
      <c r="S207" s="5" t="str">
        <f t="shared" si="49"/>
        <v/>
      </c>
      <c r="T207" s="7" t="str">
        <f t="shared" si="50"/>
        <v/>
      </c>
      <c r="U207" t="str">
        <f t="shared" si="51"/>
        <v/>
      </c>
    </row>
    <row r="208" spans="1:21">
      <c r="A208" t="str">
        <f t="shared" si="39"/>
        <v/>
      </c>
      <c r="B208" s="6"/>
      <c r="C208" t="str">
        <f t="shared" si="40"/>
        <v/>
      </c>
      <c r="D208" s="9"/>
      <c r="E208" s="9"/>
      <c r="F208" s="9"/>
      <c r="G208" s="8"/>
      <c r="H208" s="7" t="str">
        <f t="shared" si="41"/>
        <v/>
      </c>
      <c r="I208" s="9"/>
      <c r="J208" s="6"/>
      <c r="K208" t="str">
        <f t="shared" si="42"/>
        <v/>
      </c>
      <c r="L208" s="5" t="str">
        <f t="shared" si="43"/>
        <v/>
      </c>
      <c r="M208" s="5" t="str">
        <f t="shared" si="44"/>
        <v/>
      </c>
      <c r="N208" t="str">
        <f t="shared" si="45"/>
        <v/>
      </c>
      <c r="O208" s="10" t="str">
        <f t="shared" si="46"/>
        <v/>
      </c>
      <c r="P208" s="7" t="str">
        <f t="shared" si="47"/>
        <v/>
      </c>
      <c r="Q208" s="9"/>
      <c r="R208" s="5" t="str">
        <f t="shared" si="48"/>
        <v/>
      </c>
      <c r="S208" s="5" t="str">
        <f t="shared" si="49"/>
        <v/>
      </c>
      <c r="T208" s="7" t="str">
        <f t="shared" si="50"/>
        <v/>
      </c>
      <c r="U208" t="str">
        <f t="shared" si="51"/>
        <v/>
      </c>
    </row>
    <row r="209" spans="1:21">
      <c r="A209" t="str">
        <f t="shared" si="39"/>
        <v/>
      </c>
      <c r="B209" s="6"/>
      <c r="C209" t="str">
        <f t="shared" si="40"/>
        <v/>
      </c>
      <c r="D209" s="9"/>
      <c r="E209" s="9"/>
      <c r="F209" s="9"/>
      <c r="G209" s="8"/>
      <c r="H209" s="7" t="str">
        <f t="shared" si="41"/>
        <v/>
      </c>
      <c r="I209" s="9"/>
      <c r="J209" s="6"/>
      <c r="K209" t="str">
        <f t="shared" si="42"/>
        <v/>
      </c>
      <c r="L209" s="5" t="str">
        <f t="shared" si="43"/>
        <v/>
      </c>
      <c r="M209" s="5" t="str">
        <f t="shared" si="44"/>
        <v/>
      </c>
      <c r="N209" t="str">
        <f t="shared" si="45"/>
        <v/>
      </c>
      <c r="O209" s="10" t="str">
        <f t="shared" si="46"/>
        <v/>
      </c>
      <c r="P209" s="7" t="str">
        <f t="shared" si="47"/>
        <v/>
      </c>
      <c r="Q209" s="9"/>
      <c r="R209" s="5" t="str">
        <f t="shared" si="48"/>
        <v/>
      </c>
      <c r="S209" s="5" t="str">
        <f t="shared" si="49"/>
        <v/>
      </c>
      <c r="T209" s="7" t="str">
        <f t="shared" si="50"/>
        <v/>
      </c>
      <c r="U209" t="str">
        <f t="shared" si="51"/>
        <v/>
      </c>
    </row>
    <row r="210" spans="1:21">
      <c r="A210" t="str">
        <f t="shared" si="39"/>
        <v/>
      </c>
      <c r="B210" s="6"/>
      <c r="C210" t="str">
        <f t="shared" si="40"/>
        <v/>
      </c>
      <c r="D210" s="9"/>
      <c r="E210" s="9"/>
      <c r="F210" s="9"/>
      <c r="G210" s="8"/>
      <c r="H210" s="7" t="str">
        <f t="shared" si="41"/>
        <v/>
      </c>
      <c r="I210" s="9"/>
      <c r="J210" s="6"/>
      <c r="K210" t="str">
        <f t="shared" si="42"/>
        <v/>
      </c>
      <c r="L210" s="5" t="str">
        <f t="shared" si="43"/>
        <v/>
      </c>
      <c r="M210" s="5" t="str">
        <f t="shared" si="44"/>
        <v/>
      </c>
      <c r="N210" t="str">
        <f t="shared" si="45"/>
        <v/>
      </c>
      <c r="O210" s="10" t="str">
        <f t="shared" si="46"/>
        <v/>
      </c>
      <c r="P210" s="7" t="str">
        <f t="shared" si="47"/>
        <v/>
      </c>
      <c r="Q210" s="9"/>
      <c r="R210" s="5" t="str">
        <f t="shared" si="48"/>
        <v/>
      </c>
      <c r="S210" s="5" t="str">
        <f t="shared" si="49"/>
        <v/>
      </c>
      <c r="T210" s="7" t="str">
        <f t="shared" si="50"/>
        <v/>
      </c>
      <c r="U210" t="str">
        <f t="shared" si="51"/>
        <v/>
      </c>
    </row>
    <row r="211" spans="1:21">
      <c r="A211" t="str">
        <f t="shared" si="39"/>
        <v/>
      </c>
      <c r="B211" s="6"/>
      <c r="C211" t="str">
        <f t="shared" si="40"/>
        <v/>
      </c>
      <c r="D211" s="9"/>
      <c r="E211" s="9"/>
      <c r="F211" s="9"/>
      <c r="G211" s="8"/>
      <c r="H211" s="7" t="str">
        <f t="shared" si="41"/>
        <v/>
      </c>
      <c r="I211" s="9"/>
      <c r="J211" s="6"/>
      <c r="K211" t="str">
        <f t="shared" si="42"/>
        <v/>
      </c>
      <c r="L211" s="5" t="str">
        <f t="shared" si="43"/>
        <v/>
      </c>
      <c r="M211" s="5" t="str">
        <f t="shared" si="44"/>
        <v/>
      </c>
      <c r="N211" t="str">
        <f t="shared" si="45"/>
        <v/>
      </c>
      <c r="O211" s="10" t="str">
        <f t="shared" si="46"/>
        <v/>
      </c>
      <c r="P211" s="7" t="str">
        <f t="shared" si="47"/>
        <v/>
      </c>
      <c r="Q211" s="9"/>
      <c r="R211" s="5" t="str">
        <f t="shared" si="48"/>
        <v/>
      </c>
      <c r="S211" s="5" t="str">
        <f t="shared" si="49"/>
        <v/>
      </c>
      <c r="T211" s="7" t="str">
        <f t="shared" si="50"/>
        <v/>
      </c>
      <c r="U211" t="str">
        <f t="shared" si="51"/>
        <v/>
      </c>
    </row>
    <row r="212" spans="1:21">
      <c r="A212" t="str">
        <f t="shared" si="39"/>
        <v/>
      </c>
      <c r="B212" s="6"/>
      <c r="C212" t="str">
        <f t="shared" si="40"/>
        <v/>
      </c>
      <c r="D212" s="9"/>
      <c r="E212" s="9"/>
      <c r="F212" s="9"/>
      <c r="G212" s="8"/>
      <c r="H212" s="7" t="str">
        <f t="shared" si="41"/>
        <v/>
      </c>
      <c r="I212" s="9"/>
      <c r="J212" s="6"/>
      <c r="K212" t="str">
        <f t="shared" si="42"/>
        <v/>
      </c>
      <c r="L212" s="5" t="str">
        <f t="shared" si="43"/>
        <v/>
      </c>
      <c r="M212" s="5" t="str">
        <f t="shared" si="44"/>
        <v/>
      </c>
      <c r="N212" t="str">
        <f t="shared" si="45"/>
        <v/>
      </c>
      <c r="O212" s="10" t="str">
        <f t="shared" si="46"/>
        <v/>
      </c>
      <c r="P212" s="7" t="str">
        <f t="shared" si="47"/>
        <v/>
      </c>
      <c r="Q212" s="9"/>
      <c r="R212" s="5" t="str">
        <f t="shared" si="48"/>
        <v/>
      </c>
      <c r="S212" s="5" t="str">
        <f t="shared" si="49"/>
        <v/>
      </c>
      <c r="T212" s="7" t="str">
        <f t="shared" si="50"/>
        <v/>
      </c>
      <c r="U212" t="str">
        <f t="shared" si="51"/>
        <v/>
      </c>
    </row>
    <row r="213" spans="1:21">
      <c r="A213" t="str">
        <f t="shared" si="39"/>
        <v/>
      </c>
      <c r="B213" s="6"/>
      <c r="C213" t="str">
        <f t="shared" si="40"/>
        <v/>
      </c>
      <c r="D213" s="9"/>
      <c r="E213" s="9"/>
      <c r="F213" s="9"/>
      <c r="G213" s="8"/>
      <c r="H213" s="7" t="str">
        <f t="shared" si="41"/>
        <v/>
      </c>
      <c r="I213" s="9"/>
      <c r="J213" s="6"/>
      <c r="K213" t="str">
        <f t="shared" si="42"/>
        <v/>
      </c>
      <c r="L213" s="5" t="str">
        <f t="shared" si="43"/>
        <v/>
      </c>
      <c r="M213" s="5" t="str">
        <f t="shared" si="44"/>
        <v/>
      </c>
      <c r="N213" t="str">
        <f t="shared" si="45"/>
        <v/>
      </c>
      <c r="O213" s="10" t="str">
        <f t="shared" si="46"/>
        <v/>
      </c>
      <c r="P213" s="7" t="str">
        <f t="shared" si="47"/>
        <v/>
      </c>
      <c r="Q213" s="9"/>
      <c r="R213" s="5" t="str">
        <f t="shared" si="48"/>
        <v/>
      </c>
      <c r="S213" s="5" t="str">
        <f t="shared" si="49"/>
        <v/>
      </c>
      <c r="T213" s="7" t="str">
        <f t="shared" si="50"/>
        <v/>
      </c>
      <c r="U213" t="str">
        <f t="shared" si="51"/>
        <v/>
      </c>
    </row>
    <row r="214" spans="1:21">
      <c r="A214" t="str">
        <f t="shared" si="39"/>
        <v/>
      </c>
      <c r="B214" s="6"/>
      <c r="C214" t="str">
        <f t="shared" si="40"/>
        <v/>
      </c>
      <c r="D214" s="9"/>
      <c r="E214" s="9"/>
      <c r="F214" s="9"/>
      <c r="G214" s="8"/>
      <c r="H214" s="7" t="str">
        <f t="shared" si="41"/>
        <v/>
      </c>
      <c r="I214" s="9"/>
      <c r="J214" s="6"/>
      <c r="K214" t="str">
        <f t="shared" si="42"/>
        <v/>
      </c>
      <c r="L214" s="5" t="str">
        <f t="shared" si="43"/>
        <v/>
      </c>
      <c r="M214" s="5" t="str">
        <f t="shared" si="44"/>
        <v/>
      </c>
      <c r="N214" t="str">
        <f t="shared" si="45"/>
        <v/>
      </c>
      <c r="O214" s="10" t="str">
        <f t="shared" si="46"/>
        <v/>
      </c>
      <c r="P214" s="7" t="str">
        <f t="shared" si="47"/>
        <v/>
      </c>
      <c r="Q214" s="9"/>
      <c r="R214" s="5" t="str">
        <f t="shared" si="48"/>
        <v/>
      </c>
      <c r="S214" s="5" t="str">
        <f t="shared" si="49"/>
        <v/>
      </c>
      <c r="T214" s="7" t="str">
        <f t="shared" si="50"/>
        <v/>
      </c>
      <c r="U214" t="str">
        <f t="shared" si="51"/>
        <v/>
      </c>
    </row>
    <row r="215" spans="1:21">
      <c r="A215" t="str">
        <f t="shared" si="39"/>
        <v/>
      </c>
      <c r="B215" s="6"/>
      <c r="C215" t="str">
        <f t="shared" si="40"/>
        <v/>
      </c>
      <c r="D215" s="9"/>
      <c r="E215" s="9"/>
      <c r="F215" s="9"/>
      <c r="G215" s="8"/>
      <c r="H215" s="7" t="str">
        <f t="shared" si="41"/>
        <v/>
      </c>
      <c r="I215" s="9"/>
      <c r="J215" s="6"/>
      <c r="K215" t="str">
        <f t="shared" si="42"/>
        <v/>
      </c>
      <c r="L215" s="5" t="str">
        <f t="shared" si="43"/>
        <v/>
      </c>
      <c r="M215" s="5" t="str">
        <f t="shared" si="44"/>
        <v/>
      </c>
      <c r="N215" t="str">
        <f t="shared" si="45"/>
        <v/>
      </c>
      <c r="O215" s="10" t="str">
        <f t="shared" si="46"/>
        <v/>
      </c>
      <c r="P215" s="7" t="str">
        <f t="shared" si="47"/>
        <v/>
      </c>
      <c r="Q215" s="9"/>
      <c r="R215" s="5" t="str">
        <f t="shared" si="48"/>
        <v/>
      </c>
      <c r="S215" s="5" t="str">
        <f t="shared" si="49"/>
        <v/>
      </c>
      <c r="T215" s="7" t="str">
        <f t="shared" si="50"/>
        <v/>
      </c>
      <c r="U215" t="str">
        <f t="shared" si="51"/>
        <v/>
      </c>
    </row>
    <row r="216" spans="1:21">
      <c r="A216" t="str">
        <f t="shared" si="39"/>
        <v/>
      </c>
      <c r="B216" s="6"/>
      <c r="C216" t="str">
        <f t="shared" si="40"/>
        <v/>
      </c>
      <c r="D216" s="9"/>
      <c r="E216" s="9"/>
      <c r="F216" s="9"/>
      <c r="G216" s="8"/>
      <c r="H216" s="7" t="str">
        <f t="shared" si="41"/>
        <v/>
      </c>
      <c r="I216" s="9"/>
      <c r="J216" s="6"/>
      <c r="K216" t="str">
        <f t="shared" si="42"/>
        <v/>
      </c>
      <c r="L216" s="5" t="str">
        <f t="shared" si="43"/>
        <v/>
      </c>
      <c r="M216" s="5" t="str">
        <f t="shared" si="44"/>
        <v/>
      </c>
      <c r="N216" t="str">
        <f t="shared" si="45"/>
        <v/>
      </c>
      <c r="O216" s="10" t="str">
        <f t="shared" si="46"/>
        <v/>
      </c>
      <c r="P216" s="7" t="str">
        <f t="shared" si="47"/>
        <v/>
      </c>
      <c r="Q216" s="9"/>
      <c r="R216" s="5" t="str">
        <f t="shared" si="48"/>
        <v/>
      </c>
      <c r="S216" s="5" t="str">
        <f t="shared" si="49"/>
        <v/>
      </c>
      <c r="T216" s="7" t="str">
        <f t="shared" si="50"/>
        <v/>
      </c>
      <c r="U216" t="str">
        <f t="shared" si="51"/>
        <v/>
      </c>
    </row>
    <row r="217" spans="1:21">
      <c r="A217" t="str">
        <f t="shared" si="39"/>
        <v/>
      </c>
      <c r="B217" s="6"/>
      <c r="C217" t="str">
        <f t="shared" si="40"/>
        <v/>
      </c>
      <c r="D217" s="9"/>
      <c r="E217" s="9"/>
      <c r="F217" s="9"/>
      <c r="G217" s="8"/>
      <c r="H217" s="7" t="str">
        <f t="shared" si="41"/>
        <v/>
      </c>
      <c r="I217" s="9"/>
      <c r="J217" s="6"/>
      <c r="K217" t="str">
        <f t="shared" si="42"/>
        <v/>
      </c>
      <c r="L217" s="5" t="str">
        <f t="shared" si="43"/>
        <v/>
      </c>
      <c r="M217" s="5" t="str">
        <f t="shared" si="44"/>
        <v/>
      </c>
      <c r="N217" t="str">
        <f t="shared" si="45"/>
        <v/>
      </c>
      <c r="O217" s="10" t="str">
        <f t="shared" si="46"/>
        <v/>
      </c>
      <c r="P217" s="7" t="str">
        <f t="shared" si="47"/>
        <v/>
      </c>
      <c r="Q217" s="9"/>
      <c r="R217" s="5" t="str">
        <f t="shared" si="48"/>
        <v/>
      </c>
      <c r="S217" s="5" t="str">
        <f t="shared" si="49"/>
        <v/>
      </c>
      <c r="T217" s="7" t="str">
        <f t="shared" si="50"/>
        <v/>
      </c>
      <c r="U217" t="str">
        <f t="shared" si="51"/>
        <v/>
      </c>
    </row>
    <row r="218" spans="1:21">
      <c r="A218" t="str">
        <f t="shared" si="39"/>
        <v/>
      </c>
      <c r="B218" s="6"/>
      <c r="C218" t="str">
        <f t="shared" si="40"/>
        <v/>
      </c>
      <c r="D218" s="9"/>
      <c r="E218" s="9"/>
      <c r="F218" s="9"/>
      <c r="G218" s="8"/>
      <c r="H218" s="7" t="str">
        <f t="shared" si="41"/>
        <v/>
      </c>
      <c r="I218" s="9"/>
      <c r="J218" s="6"/>
      <c r="K218" t="str">
        <f t="shared" si="42"/>
        <v/>
      </c>
      <c r="L218" s="5" t="str">
        <f t="shared" si="43"/>
        <v/>
      </c>
      <c r="M218" s="5" t="str">
        <f t="shared" si="44"/>
        <v/>
      </c>
      <c r="N218" t="str">
        <f t="shared" si="45"/>
        <v/>
      </c>
      <c r="O218" s="10" t="str">
        <f t="shared" si="46"/>
        <v/>
      </c>
      <c r="P218" s="7" t="str">
        <f t="shared" si="47"/>
        <v/>
      </c>
      <c r="Q218" s="9"/>
      <c r="R218" s="5" t="str">
        <f t="shared" si="48"/>
        <v/>
      </c>
      <c r="S218" s="5" t="str">
        <f t="shared" si="49"/>
        <v/>
      </c>
      <c r="T218" s="7" t="str">
        <f t="shared" si="50"/>
        <v/>
      </c>
      <c r="U218" t="str">
        <f t="shared" si="51"/>
        <v/>
      </c>
    </row>
    <row r="219" spans="1:21">
      <c r="A219" t="str">
        <f t="shared" si="39"/>
        <v/>
      </c>
      <c r="B219" s="6"/>
      <c r="C219" t="str">
        <f t="shared" si="40"/>
        <v/>
      </c>
      <c r="D219" s="9"/>
      <c r="E219" s="9"/>
      <c r="F219" s="9"/>
      <c r="G219" s="8"/>
      <c r="H219" s="7" t="str">
        <f t="shared" si="41"/>
        <v/>
      </c>
      <c r="I219" s="9"/>
      <c r="J219" s="6"/>
      <c r="K219" t="str">
        <f t="shared" si="42"/>
        <v/>
      </c>
      <c r="L219" s="5" t="str">
        <f t="shared" si="43"/>
        <v/>
      </c>
      <c r="M219" s="5" t="str">
        <f t="shared" si="44"/>
        <v/>
      </c>
      <c r="N219" t="str">
        <f t="shared" si="45"/>
        <v/>
      </c>
      <c r="O219" s="10" t="str">
        <f t="shared" si="46"/>
        <v/>
      </c>
      <c r="P219" s="7" t="str">
        <f t="shared" si="47"/>
        <v/>
      </c>
      <c r="Q219" s="9"/>
      <c r="R219" s="5" t="str">
        <f t="shared" si="48"/>
        <v/>
      </c>
      <c r="S219" s="5" t="str">
        <f t="shared" si="49"/>
        <v/>
      </c>
      <c r="T219" s="7" t="str">
        <f t="shared" si="50"/>
        <v/>
      </c>
      <c r="U219" t="str">
        <f t="shared" si="51"/>
        <v/>
      </c>
    </row>
    <row r="220" spans="1:21">
      <c r="A220" t="str">
        <f t="shared" si="39"/>
        <v/>
      </c>
      <c r="B220" s="6"/>
      <c r="C220" t="str">
        <f t="shared" si="40"/>
        <v/>
      </c>
      <c r="D220" s="9"/>
      <c r="E220" s="9"/>
      <c r="F220" s="9"/>
      <c r="G220" s="8"/>
      <c r="H220" s="7" t="str">
        <f t="shared" si="41"/>
        <v/>
      </c>
      <c r="I220" s="9"/>
      <c r="J220" s="6"/>
      <c r="K220" t="str">
        <f t="shared" si="42"/>
        <v/>
      </c>
      <c r="L220" s="5" t="str">
        <f t="shared" si="43"/>
        <v/>
      </c>
      <c r="M220" s="5" t="str">
        <f t="shared" si="44"/>
        <v/>
      </c>
      <c r="N220" t="str">
        <f t="shared" si="45"/>
        <v/>
      </c>
      <c r="O220" s="10" t="str">
        <f t="shared" si="46"/>
        <v/>
      </c>
      <c r="P220" s="7" t="str">
        <f t="shared" si="47"/>
        <v/>
      </c>
      <c r="Q220" s="9"/>
      <c r="R220" s="5" t="str">
        <f t="shared" si="48"/>
        <v/>
      </c>
      <c r="S220" s="5" t="str">
        <f t="shared" si="49"/>
        <v/>
      </c>
      <c r="T220" s="7" t="str">
        <f t="shared" si="50"/>
        <v/>
      </c>
      <c r="U220" t="str">
        <f t="shared" si="51"/>
        <v/>
      </c>
    </row>
    <row r="221" spans="1:21">
      <c r="A221" t="str">
        <f t="shared" si="39"/>
        <v/>
      </c>
      <c r="B221" s="6"/>
      <c r="C221" t="str">
        <f t="shared" si="40"/>
        <v/>
      </c>
      <c r="D221" s="9"/>
      <c r="E221" s="9"/>
      <c r="F221" s="9"/>
      <c r="G221" s="8"/>
      <c r="H221" s="7" t="str">
        <f t="shared" si="41"/>
        <v/>
      </c>
      <c r="I221" s="9"/>
      <c r="J221" s="6"/>
      <c r="K221" t="str">
        <f t="shared" si="42"/>
        <v/>
      </c>
      <c r="L221" s="5" t="str">
        <f t="shared" si="43"/>
        <v/>
      </c>
      <c r="M221" s="5" t="str">
        <f t="shared" si="44"/>
        <v/>
      </c>
      <c r="N221" t="str">
        <f t="shared" si="45"/>
        <v/>
      </c>
      <c r="O221" s="10" t="str">
        <f t="shared" si="46"/>
        <v/>
      </c>
      <c r="P221" s="7" t="str">
        <f t="shared" si="47"/>
        <v/>
      </c>
      <c r="Q221" s="9"/>
      <c r="R221" s="5" t="str">
        <f t="shared" si="48"/>
        <v/>
      </c>
      <c r="S221" s="5" t="str">
        <f t="shared" si="49"/>
        <v/>
      </c>
      <c r="T221" s="7" t="str">
        <f t="shared" si="50"/>
        <v/>
      </c>
      <c r="U221" t="str">
        <f t="shared" si="51"/>
        <v/>
      </c>
    </row>
    <row r="222" spans="1:21">
      <c r="A222" t="str">
        <f t="shared" si="39"/>
        <v/>
      </c>
      <c r="B222" s="6"/>
      <c r="C222" t="str">
        <f t="shared" si="40"/>
        <v/>
      </c>
      <c r="D222" s="9"/>
      <c r="E222" s="9"/>
      <c r="F222" s="9"/>
      <c r="G222" s="8"/>
      <c r="H222" s="7" t="str">
        <f t="shared" si="41"/>
        <v/>
      </c>
      <c r="I222" s="9"/>
      <c r="J222" s="6"/>
      <c r="K222" t="str">
        <f t="shared" si="42"/>
        <v/>
      </c>
      <c r="L222" s="5" t="str">
        <f t="shared" si="43"/>
        <v/>
      </c>
      <c r="M222" s="5" t="str">
        <f t="shared" si="44"/>
        <v/>
      </c>
      <c r="N222" t="str">
        <f t="shared" si="45"/>
        <v/>
      </c>
      <c r="O222" s="10" t="str">
        <f t="shared" si="46"/>
        <v/>
      </c>
      <c r="P222" s="7" t="str">
        <f t="shared" si="47"/>
        <v/>
      </c>
      <c r="Q222" s="9"/>
      <c r="R222" s="5" t="str">
        <f t="shared" si="48"/>
        <v/>
      </c>
      <c r="S222" s="5" t="str">
        <f t="shared" si="49"/>
        <v/>
      </c>
      <c r="T222" s="7" t="str">
        <f t="shared" si="50"/>
        <v/>
      </c>
      <c r="U222" t="str">
        <f t="shared" si="51"/>
        <v/>
      </c>
    </row>
    <row r="223" spans="1:21">
      <c r="A223" t="str">
        <f t="shared" si="39"/>
        <v/>
      </c>
      <c r="B223" s="6"/>
      <c r="C223" t="str">
        <f t="shared" si="40"/>
        <v/>
      </c>
      <c r="D223" s="9"/>
      <c r="E223" s="9"/>
      <c r="F223" s="9"/>
      <c r="G223" s="8"/>
      <c r="H223" s="7" t="str">
        <f t="shared" si="41"/>
        <v/>
      </c>
      <c r="I223" s="9"/>
      <c r="J223" s="6"/>
      <c r="K223" t="str">
        <f t="shared" si="42"/>
        <v/>
      </c>
      <c r="L223" s="5" t="str">
        <f t="shared" si="43"/>
        <v/>
      </c>
      <c r="M223" s="5" t="str">
        <f t="shared" si="44"/>
        <v/>
      </c>
      <c r="N223" t="str">
        <f t="shared" si="45"/>
        <v/>
      </c>
      <c r="O223" s="10" t="str">
        <f t="shared" si="46"/>
        <v/>
      </c>
      <c r="P223" s="7" t="str">
        <f t="shared" si="47"/>
        <v/>
      </c>
      <c r="Q223" s="9"/>
      <c r="R223" s="5" t="str">
        <f t="shared" si="48"/>
        <v/>
      </c>
      <c r="S223" s="5" t="str">
        <f t="shared" si="49"/>
        <v/>
      </c>
      <c r="T223" s="7" t="str">
        <f t="shared" si="50"/>
        <v/>
      </c>
      <c r="U223" t="str">
        <f t="shared" si="51"/>
        <v/>
      </c>
    </row>
    <row r="224" spans="1:21">
      <c r="A224" t="str">
        <f t="shared" si="39"/>
        <v/>
      </c>
      <c r="B224" s="6"/>
      <c r="C224" t="str">
        <f t="shared" si="40"/>
        <v/>
      </c>
      <c r="D224" s="9"/>
      <c r="E224" s="9"/>
      <c r="F224" s="9"/>
      <c r="G224" s="8"/>
      <c r="H224" s="7" t="str">
        <f t="shared" si="41"/>
        <v/>
      </c>
      <c r="I224" s="9"/>
      <c r="J224" s="6"/>
      <c r="K224" t="str">
        <f t="shared" si="42"/>
        <v/>
      </c>
      <c r="L224" s="5" t="str">
        <f t="shared" si="43"/>
        <v/>
      </c>
      <c r="M224" s="5" t="str">
        <f t="shared" si="44"/>
        <v/>
      </c>
      <c r="N224" t="str">
        <f t="shared" si="45"/>
        <v/>
      </c>
      <c r="O224" s="10" t="str">
        <f t="shared" si="46"/>
        <v/>
      </c>
      <c r="P224" s="7" t="str">
        <f t="shared" si="47"/>
        <v/>
      </c>
      <c r="Q224" s="9"/>
      <c r="R224" s="5" t="str">
        <f t="shared" si="48"/>
        <v/>
      </c>
      <c r="S224" s="5" t="str">
        <f t="shared" si="49"/>
        <v/>
      </c>
      <c r="T224" s="7" t="str">
        <f t="shared" si="50"/>
        <v/>
      </c>
      <c r="U224" t="str">
        <f t="shared" si="51"/>
        <v/>
      </c>
    </row>
    <row r="225" spans="1:21">
      <c r="A225" t="str">
        <f t="shared" si="39"/>
        <v/>
      </c>
      <c r="B225" s="6"/>
      <c r="C225" t="str">
        <f t="shared" si="40"/>
        <v/>
      </c>
      <c r="D225" s="9"/>
      <c r="E225" s="9"/>
      <c r="F225" s="9"/>
      <c r="G225" s="8"/>
      <c r="H225" s="7" t="str">
        <f t="shared" si="41"/>
        <v/>
      </c>
      <c r="I225" s="9"/>
      <c r="J225" s="6"/>
      <c r="K225" t="str">
        <f t="shared" si="42"/>
        <v/>
      </c>
      <c r="L225" s="5" t="str">
        <f t="shared" si="43"/>
        <v/>
      </c>
      <c r="M225" s="5" t="str">
        <f t="shared" si="44"/>
        <v/>
      </c>
      <c r="N225" t="str">
        <f t="shared" si="45"/>
        <v/>
      </c>
      <c r="O225" s="10" t="str">
        <f t="shared" si="46"/>
        <v/>
      </c>
      <c r="P225" s="7" t="str">
        <f t="shared" si="47"/>
        <v/>
      </c>
      <c r="Q225" s="9"/>
      <c r="R225" s="5" t="str">
        <f t="shared" si="48"/>
        <v/>
      </c>
      <c r="S225" s="5" t="str">
        <f t="shared" si="49"/>
        <v/>
      </c>
      <c r="T225" s="7" t="str">
        <f t="shared" si="50"/>
        <v/>
      </c>
      <c r="U225" t="str">
        <f t="shared" si="51"/>
        <v/>
      </c>
    </row>
    <row r="226" spans="1:21">
      <c r="A226" t="str">
        <f t="shared" si="39"/>
        <v/>
      </c>
      <c r="B226" s="6"/>
      <c r="C226" t="str">
        <f t="shared" si="40"/>
        <v/>
      </c>
      <c r="D226" s="9"/>
      <c r="E226" s="9"/>
      <c r="F226" s="9"/>
      <c r="G226" s="8"/>
      <c r="H226" s="7" t="str">
        <f t="shared" si="41"/>
        <v/>
      </c>
      <c r="I226" s="9"/>
      <c r="J226" s="6"/>
      <c r="K226" t="str">
        <f t="shared" si="42"/>
        <v/>
      </c>
      <c r="L226" s="5" t="str">
        <f t="shared" si="43"/>
        <v/>
      </c>
      <c r="M226" s="5" t="str">
        <f t="shared" si="44"/>
        <v/>
      </c>
      <c r="N226" t="str">
        <f t="shared" si="45"/>
        <v/>
      </c>
      <c r="O226" s="10" t="str">
        <f t="shared" si="46"/>
        <v/>
      </c>
      <c r="P226" s="7" t="str">
        <f t="shared" si="47"/>
        <v/>
      </c>
      <c r="Q226" s="9"/>
      <c r="R226" s="5" t="str">
        <f t="shared" si="48"/>
        <v/>
      </c>
      <c r="S226" s="5" t="str">
        <f t="shared" si="49"/>
        <v/>
      </c>
      <c r="T226" s="7" t="str">
        <f t="shared" si="50"/>
        <v/>
      </c>
      <c r="U226" t="str">
        <f t="shared" si="51"/>
        <v/>
      </c>
    </row>
    <row r="227" spans="1:21">
      <c r="A227" t="str">
        <f t="shared" si="39"/>
        <v/>
      </c>
      <c r="B227" s="6"/>
      <c r="C227" t="str">
        <f t="shared" si="40"/>
        <v/>
      </c>
      <c r="D227" s="9"/>
      <c r="E227" s="9"/>
      <c r="F227" s="9"/>
      <c r="G227" s="8"/>
      <c r="H227" s="7" t="str">
        <f t="shared" si="41"/>
        <v/>
      </c>
      <c r="I227" s="9"/>
      <c r="J227" s="6"/>
      <c r="K227" t="str">
        <f t="shared" si="42"/>
        <v/>
      </c>
      <c r="L227" s="5" t="str">
        <f t="shared" si="43"/>
        <v/>
      </c>
      <c r="M227" s="5" t="str">
        <f t="shared" si="44"/>
        <v/>
      </c>
      <c r="N227" t="str">
        <f t="shared" si="45"/>
        <v/>
      </c>
      <c r="O227" s="10" t="str">
        <f t="shared" si="46"/>
        <v/>
      </c>
      <c r="P227" s="7" t="str">
        <f t="shared" si="47"/>
        <v/>
      </c>
      <c r="Q227" s="9"/>
      <c r="R227" s="5" t="str">
        <f t="shared" si="48"/>
        <v/>
      </c>
      <c r="S227" s="5" t="str">
        <f t="shared" si="49"/>
        <v/>
      </c>
      <c r="T227" s="7" t="str">
        <f t="shared" si="50"/>
        <v/>
      </c>
      <c r="U227" t="str">
        <f t="shared" si="51"/>
        <v/>
      </c>
    </row>
    <row r="228" spans="1:21">
      <c r="A228" t="str">
        <f t="shared" si="39"/>
        <v/>
      </c>
      <c r="B228" s="6"/>
      <c r="C228" t="str">
        <f t="shared" si="40"/>
        <v/>
      </c>
      <c r="D228" s="9"/>
      <c r="E228" s="9"/>
      <c r="F228" s="9"/>
      <c r="G228" s="8"/>
      <c r="H228" s="7" t="str">
        <f t="shared" si="41"/>
        <v/>
      </c>
      <c r="I228" s="9"/>
      <c r="J228" s="6"/>
      <c r="K228" t="str">
        <f t="shared" si="42"/>
        <v/>
      </c>
      <c r="L228" s="5" t="str">
        <f t="shared" si="43"/>
        <v/>
      </c>
      <c r="M228" s="5" t="str">
        <f t="shared" si="44"/>
        <v/>
      </c>
      <c r="N228" t="str">
        <f t="shared" si="45"/>
        <v/>
      </c>
      <c r="O228" s="10" t="str">
        <f t="shared" si="46"/>
        <v/>
      </c>
      <c r="P228" s="7" t="str">
        <f t="shared" si="47"/>
        <v/>
      </c>
      <c r="Q228" s="9"/>
      <c r="R228" s="5" t="str">
        <f t="shared" si="48"/>
        <v/>
      </c>
      <c r="S228" s="5" t="str">
        <f t="shared" si="49"/>
        <v/>
      </c>
      <c r="T228" s="7" t="str">
        <f t="shared" si="50"/>
        <v/>
      </c>
      <c r="U228" t="str">
        <f t="shared" si="51"/>
        <v/>
      </c>
    </row>
    <row r="229" spans="1:21">
      <c r="A229" t="str">
        <f t="shared" si="39"/>
        <v/>
      </c>
      <c r="B229" s="6"/>
      <c r="C229" t="str">
        <f t="shared" si="40"/>
        <v/>
      </c>
      <c r="D229" s="9"/>
      <c r="E229" s="9"/>
      <c r="F229" s="9"/>
      <c r="G229" s="8"/>
      <c r="H229" s="7" t="str">
        <f t="shared" si="41"/>
        <v/>
      </c>
      <c r="I229" s="9"/>
      <c r="J229" s="6"/>
      <c r="K229" t="str">
        <f t="shared" si="42"/>
        <v/>
      </c>
      <c r="L229" s="5" t="str">
        <f t="shared" si="43"/>
        <v/>
      </c>
      <c r="M229" s="5" t="str">
        <f t="shared" si="44"/>
        <v/>
      </c>
      <c r="N229" t="str">
        <f t="shared" si="45"/>
        <v/>
      </c>
      <c r="O229" s="10" t="str">
        <f t="shared" si="46"/>
        <v/>
      </c>
      <c r="P229" s="7" t="str">
        <f t="shared" si="47"/>
        <v/>
      </c>
      <c r="Q229" s="9"/>
      <c r="R229" s="5" t="str">
        <f t="shared" si="48"/>
        <v/>
      </c>
      <c r="S229" s="5" t="str">
        <f t="shared" si="49"/>
        <v/>
      </c>
      <c r="T229" s="7" t="str">
        <f t="shared" si="50"/>
        <v/>
      </c>
      <c r="U229" t="str">
        <f t="shared" si="51"/>
        <v/>
      </c>
    </row>
    <row r="230" spans="1:21">
      <c r="A230" t="str">
        <f t="shared" si="39"/>
        <v/>
      </c>
      <c r="B230" s="6"/>
      <c r="C230" t="str">
        <f t="shared" si="40"/>
        <v/>
      </c>
      <c r="D230" s="9"/>
      <c r="E230" s="9"/>
      <c r="F230" s="9"/>
      <c r="G230" s="8"/>
      <c r="H230" s="7" t="str">
        <f t="shared" si="41"/>
        <v/>
      </c>
      <c r="I230" s="9"/>
      <c r="J230" s="6"/>
      <c r="K230" t="str">
        <f t="shared" si="42"/>
        <v/>
      </c>
      <c r="L230" s="5" t="str">
        <f t="shared" si="43"/>
        <v/>
      </c>
      <c r="M230" s="5" t="str">
        <f t="shared" si="44"/>
        <v/>
      </c>
      <c r="N230" t="str">
        <f t="shared" si="45"/>
        <v/>
      </c>
      <c r="O230" s="10" t="str">
        <f t="shared" si="46"/>
        <v/>
      </c>
      <c r="P230" s="7" t="str">
        <f t="shared" si="47"/>
        <v/>
      </c>
      <c r="Q230" s="9"/>
      <c r="R230" s="5" t="str">
        <f t="shared" si="48"/>
        <v/>
      </c>
      <c r="S230" s="5" t="str">
        <f t="shared" si="49"/>
        <v/>
      </c>
      <c r="T230" s="7" t="str">
        <f t="shared" si="50"/>
        <v/>
      </c>
      <c r="U230" t="str">
        <f t="shared" si="51"/>
        <v/>
      </c>
    </row>
    <row r="231" spans="1:21">
      <c r="A231" t="str">
        <f t="shared" si="39"/>
        <v/>
      </c>
      <c r="B231" s="6"/>
      <c r="C231" t="str">
        <f t="shared" si="40"/>
        <v/>
      </c>
      <c r="D231" s="9"/>
      <c r="E231" s="9"/>
      <c r="F231" s="9"/>
      <c r="G231" s="8"/>
      <c r="H231" s="7" t="str">
        <f t="shared" si="41"/>
        <v/>
      </c>
      <c r="I231" s="9"/>
      <c r="J231" s="6"/>
      <c r="K231" t="str">
        <f t="shared" si="42"/>
        <v/>
      </c>
      <c r="L231" s="5" t="str">
        <f t="shared" si="43"/>
        <v/>
      </c>
      <c r="M231" s="5" t="str">
        <f t="shared" si="44"/>
        <v/>
      </c>
      <c r="N231" t="str">
        <f t="shared" si="45"/>
        <v/>
      </c>
      <c r="O231" s="10" t="str">
        <f t="shared" si="46"/>
        <v/>
      </c>
      <c r="P231" s="7" t="str">
        <f t="shared" si="47"/>
        <v/>
      </c>
      <c r="Q231" s="9"/>
      <c r="R231" s="5" t="str">
        <f t="shared" si="48"/>
        <v/>
      </c>
      <c r="S231" s="5" t="str">
        <f t="shared" si="49"/>
        <v/>
      </c>
      <c r="T231" s="7" t="str">
        <f t="shared" si="50"/>
        <v/>
      </c>
      <c r="U231" t="str">
        <f t="shared" si="51"/>
        <v/>
      </c>
    </row>
    <row r="232" spans="1:21">
      <c r="A232" t="str">
        <f t="shared" si="39"/>
        <v/>
      </c>
      <c r="B232" s="6"/>
      <c r="C232" t="str">
        <f t="shared" si="40"/>
        <v/>
      </c>
      <c r="D232" s="9"/>
      <c r="E232" s="9"/>
      <c r="F232" s="9"/>
      <c r="G232" s="8"/>
      <c r="H232" s="7" t="str">
        <f t="shared" si="41"/>
        <v/>
      </c>
      <c r="I232" s="9"/>
      <c r="J232" s="6"/>
      <c r="K232" t="str">
        <f t="shared" si="42"/>
        <v/>
      </c>
      <c r="L232" s="5" t="str">
        <f t="shared" si="43"/>
        <v/>
      </c>
      <c r="M232" s="5" t="str">
        <f t="shared" si="44"/>
        <v/>
      </c>
      <c r="N232" t="str">
        <f t="shared" si="45"/>
        <v/>
      </c>
      <c r="O232" s="10" t="str">
        <f t="shared" si="46"/>
        <v/>
      </c>
      <c r="P232" s="7" t="str">
        <f t="shared" si="47"/>
        <v/>
      </c>
      <c r="Q232" s="9"/>
      <c r="R232" s="5" t="str">
        <f t="shared" si="48"/>
        <v/>
      </c>
      <c r="S232" s="5" t="str">
        <f t="shared" si="49"/>
        <v/>
      </c>
      <c r="T232" s="7" t="str">
        <f t="shared" si="50"/>
        <v/>
      </c>
      <c r="U232" t="str">
        <f t="shared" si="51"/>
        <v/>
      </c>
    </row>
    <row r="233" spans="1:21">
      <c r="A233" t="str">
        <f t="shared" si="39"/>
        <v/>
      </c>
      <c r="B233" s="6"/>
      <c r="C233" t="str">
        <f t="shared" si="40"/>
        <v/>
      </c>
      <c r="D233" s="9"/>
      <c r="E233" s="9"/>
      <c r="F233" s="9"/>
      <c r="G233" s="8"/>
      <c r="H233" s="7" t="str">
        <f t="shared" si="41"/>
        <v/>
      </c>
      <c r="I233" s="9"/>
      <c r="J233" s="6"/>
      <c r="K233" t="str">
        <f t="shared" si="42"/>
        <v/>
      </c>
      <c r="L233" s="5" t="str">
        <f t="shared" si="43"/>
        <v/>
      </c>
      <c r="M233" s="5" t="str">
        <f t="shared" si="44"/>
        <v/>
      </c>
      <c r="N233" t="str">
        <f t="shared" si="45"/>
        <v/>
      </c>
      <c r="O233" s="10" t="str">
        <f t="shared" si="46"/>
        <v/>
      </c>
      <c r="P233" s="7" t="str">
        <f t="shared" si="47"/>
        <v/>
      </c>
      <c r="Q233" s="9"/>
      <c r="R233" s="5" t="str">
        <f t="shared" si="48"/>
        <v/>
      </c>
      <c r="S233" s="5" t="str">
        <f t="shared" si="49"/>
        <v/>
      </c>
      <c r="T233" s="7" t="str">
        <f t="shared" si="50"/>
        <v/>
      </c>
      <c r="U233" t="str">
        <f t="shared" si="51"/>
        <v/>
      </c>
    </row>
    <row r="234" spans="1:21">
      <c r="A234" t="str">
        <f t="shared" si="39"/>
        <v/>
      </c>
      <c r="B234" s="6"/>
      <c r="C234" t="str">
        <f t="shared" si="40"/>
        <v/>
      </c>
      <c r="D234" s="9"/>
      <c r="E234" s="9"/>
      <c r="F234" s="9"/>
      <c r="G234" s="8"/>
      <c r="H234" s="7" t="str">
        <f t="shared" si="41"/>
        <v/>
      </c>
      <c r="I234" s="9"/>
      <c r="J234" s="6"/>
      <c r="K234" t="str">
        <f t="shared" si="42"/>
        <v/>
      </c>
      <c r="L234" s="5" t="str">
        <f t="shared" si="43"/>
        <v/>
      </c>
      <c r="M234" s="5" t="str">
        <f t="shared" si="44"/>
        <v/>
      </c>
      <c r="N234" t="str">
        <f t="shared" si="45"/>
        <v/>
      </c>
      <c r="O234" s="10" t="str">
        <f t="shared" si="46"/>
        <v/>
      </c>
      <c r="P234" s="7" t="str">
        <f t="shared" si="47"/>
        <v/>
      </c>
      <c r="Q234" s="9"/>
      <c r="R234" s="5" t="str">
        <f t="shared" si="48"/>
        <v/>
      </c>
      <c r="S234" s="5" t="str">
        <f t="shared" si="49"/>
        <v/>
      </c>
      <c r="T234" s="7" t="str">
        <f t="shared" si="50"/>
        <v/>
      </c>
      <c r="U234" t="str">
        <f t="shared" si="51"/>
        <v/>
      </c>
    </row>
    <row r="235" spans="1:21">
      <c r="A235" t="str">
        <f t="shared" si="39"/>
        <v/>
      </c>
      <c r="B235" s="6"/>
      <c r="C235" t="str">
        <f t="shared" si="40"/>
        <v/>
      </c>
      <c r="D235" s="9"/>
      <c r="E235" s="9"/>
      <c r="F235" s="9"/>
      <c r="G235" s="8"/>
      <c r="H235" s="7" t="str">
        <f t="shared" si="41"/>
        <v/>
      </c>
      <c r="I235" s="9"/>
      <c r="J235" s="6"/>
      <c r="K235" t="str">
        <f t="shared" si="42"/>
        <v/>
      </c>
      <c r="L235" s="5" t="str">
        <f t="shared" si="43"/>
        <v/>
      </c>
      <c r="M235" s="5" t="str">
        <f t="shared" si="44"/>
        <v/>
      </c>
      <c r="N235" t="str">
        <f t="shared" si="45"/>
        <v/>
      </c>
      <c r="O235" s="10" t="str">
        <f t="shared" si="46"/>
        <v/>
      </c>
      <c r="P235" s="7" t="str">
        <f t="shared" si="47"/>
        <v/>
      </c>
      <c r="Q235" s="9"/>
      <c r="R235" s="5" t="str">
        <f t="shared" si="48"/>
        <v/>
      </c>
      <c r="S235" s="5" t="str">
        <f t="shared" si="49"/>
        <v/>
      </c>
      <c r="T235" s="7" t="str">
        <f t="shared" si="50"/>
        <v/>
      </c>
      <c r="U235" t="str">
        <f t="shared" si="51"/>
        <v/>
      </c>
    </row>
    <row r="236" spans="1:21">
      <c r="A236" t="str">
        <f t="shared" si="39"/>
        <v/>
      </c>
      <c r="B236" s="6"/>
      <c r="C236" t="str">
        <f t="shared" si="40"/>
        <v/>
      </c>
      <c r="D236" s="9"/>
      <c r="E236" s="9"/>
      <c r="F236" s="9"/>
      <c r="G236" s="8"/>
      <c r="H236" s="7" t="str">
        <f t="shared" si="41"/>
        <v/>
      </c>
      <c r="I236" s="9"/>
      <c r="J236" s="6"/>
      <c r="K236" t="str">
        <f t="shared" si="42"/>
        <v/>
      </c>
      <c r="L236" s="5" t="str">
        <f t="shared" si="43"/>
        <v/>
      </c>
      <c r="M236" s="5" t="str">
        <f t="shared" si="44"/>
        <v/>
      </c>
      <c r="N236" t="str">
        <f t="shared" si="45"/>
        <v/>
      </c>
      <c r="O236" s="10" t="str">
        <f t="shared" si="46"/>
        <v/>
      </c>
      <c r="P236" s="7" t="str">
        <f t="shared" si="47"/>
        <v/>
      </c>
      <c r="Q236" s="9"/>
      <c r="R236" s="5" t="str">
        <f t="shared" si="48"/>
        <v/>
      </c>
      <c r="S236" s="5" t="str">
        <f t="shared" si="49"/>
        <v/>
      </c>
      <c r="T236" s="7" t="str">
        <f t="shared" si="50"/>
        <v/>
      </c>
      <c r="U236" t="str">
        <f t="shared" si="51"/>
        <v/>
      </c>
    </row>
    <row r="237" spans="1:21">
      <c r="A237" t="str">
        <f t="shared" si="39"/>
        <v/>
      </c>
      <c r="B237" s="6"/>
      <c r="C237" t="str">
        <f t="shared" si="40"/>
        <v/>
      </c>
      <c r="D237" s="9"/>
      <c r="E237" s="9"/>
      <c r="F237" s="9"/>
      <c r="G237" s="8"/>
      <c r="H237" s="7" t="str">
        <f t="shared" si="41"/>
        <v/>
      </c>
      <c r="I237" s="9"/>
      <c r="J237" s="6"/>
      <c r="K237" t="str">
        <f t="shared" si="42"/>
        <v/>
      </c>
      <c r="L237" s="5" t="str">
        <f t="shared" si="43"/>
        <v/>
      </c>
      <c r="M237" s="5" t="str">
        <f t="shared" si="44"/>
        <v/>
      </c>
      <c r="N237" t="str">
        <f t="shared" si="45"/>
        <v/>
      </c>
      <c r="O237" s="10" t="str">
        <f t="shared" si="46"/>
        <v/>
      </c>
      <c r="P237" s="7" t="str">
        <f t="shared" si="47"/>
        <v/>
      </c>
      <c r="Q237" s="9"/>
      <c r="R237" s="5" t="str">
        <f t="shared" si="48"/>
        <v/>
      </c>
      <c r="S237" s="5" t="str">
        <f t="shared" si="49"/>
        <v/>
      </c>
      <c r="T237" s="7" t="str">
        <f t="shared" si="50"/>
        <v/>
      </c>
      <c r="U237" t="str">
        <f t="shared" si="51"/>
        <v/>
      </c>
    </row>
    <row r="238" spans="1:21">
      <c r="A238" t="str">
        <f t="shared" si="39"/>
        <v/>
      </c>
      <c r="B238" s="6"/>
      <c r="C238" t="str">
        <f t="shared" si="40"/>
        <v/>
      </c>
      <c r="D238" s="9"/>
      <c r="E238" s="9"/>
      <c r="F238" s="9"/>
      <c r="G238" s="8"/>
      <c r="H238" s="7" t="str">
        <f t="shared" si="41"/>
        <v/>
      </c>
      <c r="I238" s="9"/>
      <c r="J238" s="6"/>
      <c r="K238" t="str">
        <f t="shared" si="42"/>
        <v/>
      </c>
      <c r="L238" s="5" t="str">
        <f t="shared" si="43"/>
        <v/>
      </c>
      <c r="M238" s="5" t="str">
        <f t="shared" si="44"/>
        <v/>
      </c>
      <c r="N238" t="str">
        <f t="shared" si="45"/>
        <v/>
      </c>
      <c r="O238" s="10" t="str">
        <f t="shared" si="46"/>
        <v/>
      </c>
      <c r="P238" s="7" t="str">
        <f t="shared" si="47"/>
        <v/>
      </c>
      <c r="Q238" s="9"/>
      <c r="R238" s="5" t="str">
        <f t="shared" si="48"/>
        <v/>
      </c>
      <c r="S238" s="5" t="str">
        <f t="shared" si="49"/>
        <v/>
      </c>
      <c r="T238" s="7" t="str">
        <f t="shared" si="50"/>
        <v/>
      </c>
      <c r="U238" t="str">
        <f t="shared" si="51"/>
        <v/>
      </c>
    </row>
    <row r="239" spans="1:21">
      <c r="A239" t="str">
        <f t="shared" si="39"/>
        <v/>
      </c>
      <c r="B239" s="6"/>
      <c r="C239" t="str">
        <f t="shared" si="40"/>
        <v/>
      </c>
      <c r="D239" s="9"/>
      <c r="E239" s="9"/>
      <c r="F239" s="9"/>
      <c r="G239" s="8"/>
      <c r="H239" s="7" t="str">
        <f t="shared" si="41"/>
        <v/>
      </c>
      <c r="I239" s="9"/>
      <c r="J239" s="6"/>
      <c r="K239" t="str">
        <f t="shared" si="42"/>
        <v/>
      </c>
      <c r="L239" s="5" t="str">
        <f t="shared" si="43"/>
        <v/>
      </c>
      <c r="M239" s="5" t="str">
        <f t="shared" si="44"/>
        <v/>
      </c>
      <c r="N239" t="str">
        <f t="shared" si="45"/>
        <v/>
      </c>
      <c r="O239" s="10" t="str">
        <f t="shared" si="46"/>
        <v/>
      </c>
      <c r="P239" s="7" t="str">
        <f t="shared" si="47"/>
        <v/>
      </c>
      <c r="Q239" s="9"/>
      <c r="R239" s="5" t="str">
        <f t="shared" si="48"/>
        <v/>
      </c>
      <c r="S239" s="5" t="str">
        <f t="shared" si="49"/>
        <v/>
      </c>
      <c r="T239" s="7" t="str">
        <f t="shared" si="50"/>
        <v/>
      </c>
      <c r="U239" t="str">
        <f t="shared" si="51"/>
        <v/>
      </c>
    </row>
    <row r="240" spans="1:21">
      <c r="A240" t="str">
        <f t="shared" si="39"/>
        <v/>
      </c>
      <c r="B240" s="6"/>
      <c r="C240" t="str">
        <f t="shared" si="40"/>
        <v/>
      </c>
      <c r="D240" s="9"/>
      <c r="E240" s="9"/>
      <c r="F240" s="9"/>
      <c r="G240" s="8"/>
      <c r="H240" s="7" t="str">
        <f t="shared" si="41"/>
        <v/>
      </c>
      <c r="I240" s="9"/>
      <c r="J240" s="6"/>
      <c r="K240" t="str">
        <f t="shared" si="42"/>
        <v/>
      </c>
      <c r="L240" s="5" t="str">
        <f t="shared" si="43"/>
        <v/>
      </c>
      <c r="M240" s="5" t="str">
        <f t="shared" si="44"/>
        <v/>
      </c>
      <c r="N240" t="str">
        <f t="shared" si="45"/>
        <v/>
      </c>
      <c r="O240" s="10" t="str">
        <f t="shared" si="46"/>
        <v/>
      </c>
      <c r="P240" s="7" t="str">
        <f t="shared" si="47"/>
        <v/>
      </c>
      <c r="Q240" s="9"/>
      <c r="R240" s="5" t="str">
        <f t="shared" si="48"/>
        <v/>
      </c>
      <c r="S240" s="5" t="str">
        <f t="shared" si="49"/>
        <v/>
      </c>
      <c r="T240" s="7" t="str">
        <f t="shared" si="50"/>
        <v/>
      </c>
      <c r="U240" t="str">
        <f t="shared" si="51"/>
        <v/>
      </c>
    </row>
    <row r="241" spans="1:21">
      <c r="A241" t="str">
        <f t="shared" si="39"/>
        <v/>
      </c>
      <c r="B241" s="6"/>
      <c r="C241" t="str">
        <f t="shared" si="40"/>
        <v/>
      </c>
      <c r="D241" s="9"/>
      <c r="E241" s="9"/>
      <c r="F241" s="9"/>
      <c r="G241" s="8"/>
      <c r="H241" s="7" t="str">
        <f t="shared" si="41"/>
        <v/>
      </c>
      <c r="I241" s="9"/>
      <c r="J241" s="6"/>
      <c r="K241" t="str">
        <f t="shared" si="42"/>
        <v/>
      </c>
      <c r="L241" s="5" t="str">
        <f t="shared" si="43"/>
        <v/>
      </c>
      <c r="M241" s="5" t="str">
        <f t="shared" si="44"/>
        <v/>
      </c>
      <c r="N241" t="str">
        <f t="shared" si="45"/>
        <v/>
      </c>
      <c r="O241" s="10" t="str">
        <f t="shared" si="46"/>
        <v/>
      </c>
      <c r="P241" s="7" t="str">
        <f t="shared" si="47"/>
        <v/>
      </c>
      <c r="Q241" s="9"/>
      <c r="R241" s="5" t="str">
        <f t="shared" si="48"/>
        <v/>
      </c>
      <c r="S241" s="5" t="str">
        <f t="shared" si="49"/>
        <v/>
      </c>
      <c r="T241" s="7" t="str">
        <f t="shared" si="50"/>
        <v/>
      </c>
      <c r="U241" t="str">
        <f t="shared" si="51"/>
        <v/>
      </c>
    </row>
    <row r="242" spans="1:21">
      <c r="A242" t="str">
        <f t="shared" si="39"/>
        <v/>
      </c>
      <c r="B242" s="6"/>
      <c r="C242" t="str">
        <f t="shared" si="40"/>
        <v/>
      </c>
      <c r="D242" s="9"/>
      <c r="E242" s="9"/>
      <c r="F242" s="9"/>
      <c r="G242" s="8"/>
      <c r="H242" s="7" t="str">
        <f t="shared" si="41"/>
        <v/>
      </c>
      <c r="I242" s="9"/>
      <c r="J242" s="6"/>
      <c r="K242" t="str">
        <f t="shared" si="42"/>
        <v/>
      </c>
      <c r="L242" s="5" t="str">
        <f t="shared" si="43"/>
        <v/>
      </c>
      <c r="M242" s="5" t="str">
        <f t="shared" si="44"/>
        <v/>
      </c>
      <c r="N242" t="str">
        <f t="shared" si="45"/>
        <v/>
      </c>
      <c r="O242" s="10" t="str">
        <f t="shared" si="46"/>
        <v/>
      </c>
      <c r="P242" s="7" t="str">
        <f t="shared" si="47"/>
        <v/>
      </c>
      <c r="Q242" s="9"/>
      <c r="R242" s="5" t="str">
        <f t="shared" si="48"/>
        <v/>
      </c>
      <c r="S242" s="5" t="str">
        <f t="shared" si="49"/>
        <v/>
      </c>
      <c r="T242" s="7" t="str">
        <f t="shared" si="50"/>
        <v/>
      </c>
      <c r="U242" t="str">
        <f t="shared" si="51"/>
        <v/>
      </c>
    </row>
    <row r="243" spans="1:21">
      <c r="A243" t="str">
        <f t="shared" si="39"/>
        <v/>
      </c>
      <c r="B243" s="6"/>
      <c r="C243" t="str">
        <f t="shared" si="40"/>
        <v/>
      </c>
      <c r="D243" s="9"/>
      <c r="E243" s="9"/>
      <c r="F243" s="9"/>
      <c r="G243" s="8"/>
      <c r="H243" s="7" t="str">
        <f t="shared" si="41"/>
        <v/>
      </c>
      <c r="I243" s="9"/>
      <c r="J243" s="6"/>
      <c r="K243" t="str">
        <f t="shared" si="42"/>
        <v/>
      </c>
      <c r="L243" s="5" t="str">
        <f t="shared" si="43"/>
        <v/>
      </c>
      <c r="M243" s="5" t="str">
        <f t="shared" si="44"/>
        <v/>
      </c>
      <c r="N243" t="str">
        <f t="shared" si="45"/>
        <v/>
      </c>
      <c r="O243" s="10" t="str">
        <f t="shared" si="46"/>
        <v/>
      </c>
      <c r="P243" s="7" t="str">
        <f t="shared" si="47"/>
        <v/>
      </c>
      <c r="Q243" s="9"/>
      <c r="R243" s="5" t="str">
        <f t="shared" si="48"/>
        <v/>
      </c>
      <c r="S243" s="5" t="str">
        <f t="shared" si="49"/>
        <v/>
      </c>
      <c r="T243" s="7" t="str">
        <f t="shared" si="50"/>
        <v/>
      </c>
      <c r="U243" t="str">
        <f t="shared" si="51"/>
        <v/>
      </c>
    </row>
    <row r="244" spans="1:21">
      <c r="A244" t="str">
        <f t="shared" si="39"/>
        <v/>
      </c>
      <c r="B244" s="6"/>
      <c r="C244" t="str">
        <f t="shared" si="40"/>
        <v/>
      </c>
      <c r="D244" s="9"/>
      <c r="E244" s="9"/>
      <c r="F244" s="9"/>
      <c r="G244" s="8"/>
      <c r="H244" s="7" t="str">
        <f t="shared" si="41"/>
        <v/>
      </c>
      <c r="I244" s="9"/>
      <c r="J244" s="6"/>
      <c r="K244" t="str">
        <f t="shared" si="42"/>
        <v/>
      </c>
      <c r="L244" s="5" t="str">
        <f t="shared" si="43"/>
        <v/>
      </c>
      <c r="M244" s="5" t="str">
        <f t="shared" si="44"/>
        <v/>
      </c>
      <c r="N244" t="str">
        <f t="shared" si="45"/>
        <v/>
      </c>
      <c r="O244" s="10" t="str">
        <f t="shared" si="46"/>
        <v/>
      </c>
      <c r="P244" s="7" t="str">
        <f t="shared" si="47"/>
        <v/>
      </c>
      <c r="Q244" s="9"/>
      <c r="R244" s="5" t="str">
        <f t="shared" si="48"/>
        <v/>
      </c>
      <c r="S244" s="5" t="str">
        <f t="shared" si="49"/>
        <v/>
      </c>
      <c r="T244" s="7" t="str">
        <f t="shared" si="50"/>
        <v/>
      </c>
      <c r="U244" t="str">
        <f t="shared" si="51"/>
        <v/>
      </c>
    </row>
    <row r="245" spans="1:21">
      <c r="A245" t="str">
        <f t="shared" si="39"/>
        <v/>
      </c>
      <c r="B245" s="6"/>
      <c r="C245" t="str">
        <f t="shared" si="40"/>
        <v/>
      </c>
      <c r="D245" s="9"/>
      <c r="E245" s="9"/>
      <c r="F245" s="9"/>
      <c r="G245" s="8"/>
      <c r="H245" s="7" t="str">
        <f t="shared" si="41"/>
        <v/>
      </c>
      <c r="I245" s="9"/>
      <c r="J245" s="6"/>
      <c r="K245" t="str">
        <f t="shared" si="42"/>
        <v/>
      </c>
      <c r="L245" s="5" t="str">
        <f t="shared" si="43"/>
        <v/>
      </c>
      <c r="M245" s="5" t="str">
        <f t="shared" si="44"/>
        <v/>
      </c>
      <c r="N245" t="str">
        <f t="shared" si="45"/>
        <v/>
      </c>
      <c r="O245" s="10" t="str">
        <f t="shared" si="46"/>
        <v/>
      </c>
      <c r="P245" s="7" t="str">
        <f t="shared" si="47"/>
        <v/>
      </c>
      <c r="Q245" s="9"/>
      <c r="R245" s="5" t="str">
        <f t="shared" si="48"/>
        <v/>
      </c>
      <c r="S245" s="5" t="str">
        <f t="shared" si="49"/>
        <v/>
      </c>
      <c r="T245" s="7" t="str">
        <f t="shared" si="50"/>
        <v/>
      </c>
      <c r="U245" t="str">
        <f t="shared" si="51"/>
        <v/>
      </c>
    </row>
    <row r="246" spans="1:21">
      <c r="A246" t="str">
        <f t="shared" si="39"/>
        <v/>
      </c>
      <c r="B246" s="6"/>
      <c r="C246" t="str">
        <f t="shared" si="40"/>
        <v/>
      </c>
      <c r="D246" s="9"/>
      <c r="E246" s="9"/>
      <c r="F246" s="9"/>
      <c r="G246" s="8"/>
      <c r="H246" s="7" t="str">
        <f t="shared" si="41"/>
        <v/>
      </c>
      <c r="I246" s="9"/>
      <c r="J246" s="6"/>
      <c r="K246" t="str">
        <f t="shared" si="42"/>
        <v/>
      </c>
      <c r="L246" s="5" t="str">
        <f t="shared" si="43"/>
        <v/>
      </c>
      <c r="M246" s="5" t="str">
        <f t="shared" si="44"/>
        <v/>
      </c>
      <c r="N246" t="str">
        <f t="shared" si="45"/>
        <v/>
      </c>
      <c r="O246" s="10" t="str">
        <f t="shared" si="46"/>
        <v/>
      </c>
      <c r="P246" s="7" t="str">
        <f t="shared" si="47"/>
        <v/>
      </c>
      <c r="Q246" s="9"/>
      <c r="R246" s="5" t="str">
        <f t="shared" si="48"/>
        <v/>
      </c>
      <c r="S246" s="5" t="str">
        <f t="shared" si="49"/>
        <v/>
      </c>
      <c r="T246" s="7" t="str">
        <f t="shared" si="50"/>
        <v/>
      </c>
      <c r="U246" t="str">
        <f t="shared" si="51"/>
        <v/>
      </c>
    </row>
    <row r="247" spans="1:21">
      <c r="A247" t="str">
        <f t="shared" si="39"/>
        <v/>
      </c>
      <c r="B247" s="6"/>
      <c r="C247" t="str">
        <f t="shared" si="40"/>
        <v/>
      </c>
      <c r="D247" s="9"/>
      <c r="E247" s="9"/>
      <c r="F247" s="9"/>
      <c r="G247" s="8"/>
      <c r="H247" s="7" t="str">
        <f t="shared" si="41"/>
        <v/>
      </c>
      <c r="I247" s="9"/>
      <c r="J247" s="6"/>
      <c r="K247" t="str">
        <f t="shared" si="42"/>
        <v/>
      </c>
      <c r="L247" s="5" t="str">
        <f t="shared" si="43"/>
        <v/>
      </c>
      <c r="M247" s="5" t="str">
        <f t="shared" si="44"/>
        <v/>
      </c>
      <c r="N247" t="str">
        <f t="shared" si="45"/>
        <v/>
      </c>
      <c r="O247" s="10" t="str">
        <f t="shared" si="46"/>
        <v/>
      </c>
      <c r="P247" s="7" t="str">
        <f t="shared" si="47"/>
        <v/>
      </c>
      <c r="Q247" s="9"/>
      <c r="R247" s="5" t="str">
        <f t="shared" si="48"/>
        <v/>
      </c>
      <c r="S247" s="5" t="str">
        <f t="shared" si="49"/>
        <v/>
      </c>
      <c r="T247" s="7" t="str">
        <f t="shared" si="50"/>
        <v/>
      </c>
      <c r="U247" t="str">
        <f t="shared" si="51"/>
        <v/>
      </c>
    </row>
    <row r="248" spans="1:21">
      <c r="A248" t="str">
        <f t="shared" si="39"/>
        <v/>
      </c>
      <c r="B248" s="6"/>
      <c r="C248" t="str">
        <f t="shared" si="40"/>
        <v/>
      </c>
      <c r="D248" s="9"/>
      <c r="E248" s="9"/>
      <c r="F248" s="9"/>
      <c r="G248" s="8"/>
      <c r="H248" s="7" t="str">
        <f t="shared" si="41"/>
        <v/>
      </c>
      <c r="I248" s="9"/>
      <c r="J248" s="6"/>
      <c r="K248" t="str">
        <f t="shared" si="42"/>
        <v/>
      </c>
      <c r="L248" s="5" t="str">
        <f t="shared" si="43"/>
        <v/>
      </c>
      <c r="M248" s="5" t="str">
        <f t="shared" si="44"/>
        <v/>
      </c>
      <c r="N248" t="str">
        <f t="shared" si="45"/>
        <v/>
      </c>
      <c r="O248" s="10" t="str">
        <f t="shared" si="46"/>
        <v/>
      </c>
      <c r="P248" s="7" t="str">
        <f t="shared" si="47"/>
        <v/>
      </c>
      <c r="Q248" s="9"/>
      <c r="R248" s="5" t="str">
        <f t="shared" si="48"/>
        <v/>
      </c>
      <c r="S248" s="5" t="str">
        <f t="shared" si="49"/>
        <v/>
      </c>
      <c r="T248" s="7" t="str">
        <f t="shared" si="50"/>
        <v/>
      </c>
      <c r="U248" t="str">
        <f t="shared" si="51"/>
        <v/>
      </c>
    </row>
    <row r="249" spans="1:21">
      <c r="A249" t="str">
        <f t="shared" si="39"/>
        <v/>
      </c>
      <c r="B249" s="6"/>
      <c r="C249" t="str">
        <f t="shared" si="40"/>
        <v/>
      </c>
      <c r="D249" s="9"/>
      <c r="E249" s="9"/>
      <c r="F249" s="9"/>
      <c r="G249" s="8"/>
      <c r="H249" s="7" t="str">
        <f t="shared" si="41"/>
        <v/>
      </c>
      <c r="I249" s="9"/>
      <c r="J249" s="6"/>
      <c r="K249" t="str">
        <f t="shared" si="42"/>
        <v/>
      </c>
      <c r="L249" s="5" t="str">
        <f t="shared" si="43"/>
        <v/>
      </c>
      <c r="M249" s="5" t="str">
        <f t="shared" si="44"/>
        <v/>
      </c>
      <c r="N249" t="str">
        <f t="shared" si="45"/>
        <v/>
      </c>
      <c r="O249" s="10" t="str">
        <f t="shared" si="46"/>
        <v/>
      </c>
      <c r="P249" s="7" t="str">
        <f t="shared" si="47"/>
        <v/>
      </c>
      <c r="Q249" s="9"/>
      <c r="R249" s="5" t="str">
        <f t="shared" si="48"/>
        <v/>
      </c>
      <c r="S249" s="5" t="str">
        <f t="shared" si="49"/>
        <v/>
      </c>
      <c r="T249" s="7" t="str">
        <f t="shared" si="50"/>
        <v/>
      </c>
      <c r="U249" t="str">
        <f t="shared" si="51"/>
        <v/>
      </c>
    </row>
    <row r="250" spans="1:21">
      <c r="A250" t="str">
        <f t="shared" si="39"/>
        <v/>
      </c>
      <c r="B250" s="6"/>
      <c r="C250" t="str">
        <f t="shared" si="40"/>
        <v/>
      </c>
      <c r="D250" s="9"/>
      <c r="E250" s="9"/>
      <c r="F250" s="9"/>
      <c r="G250" s="8"/>
      <c r="H250" s="7" t="str">
        <f t="shared" si="41"/>
        <v/>
      </c>
      <c r="I250" s="9"/>
      <c r="J250" s="6"/>
      <c r="K250" t="str">
        <f t="shared" si="42"/>
        <v/>
      </c>
      <c r="L250" s="5" t="str">
        <f t="shared" si="43"/>
        <v/>
      </c>
      <c r="M250" s="5" t="str">
        <f t="shared" si="44"/>
        <v/>
      </c>
      <c r="N250" t="str">
        <f t="shared" si="45"/>
        <v/>
      </c>
      <c r="O250" s="10" t="str">
        <f t="shared" si="46"/>
        <v/>
      </c>
      <c r="P250" s="7" t="str">
        <f t="shared" si="47"/>
        <v/>
      </c>
      <c r="Q250" s="9"/>
      <c r="R250" s="5" t="str">
        <f t="shared" si="48"/>
        <v/>
      </c>
      <c r="S250" s="5" t="str">
        <f t="shared" si="49"/>
        <v/>
      </c>
      <c r="T250" s="7" t="str">
        <f t="shared" si="50"/>
        <v/>
      </c>
      <c r="U250" t="str">
        <f t="shared" si="51"/>
        <v/>
      </c>
    </row>
    <row r="251" spans="1:21">
      <c r="A251" t="str">
        <f t="shared" si="39"/>
        <v/>
      </c>
      <c r="B251" s="6"/>
      <c r="C251" t="str">
        <f t="shared" si="40"/>
        <v/>
      </c>
      <c r="D251" s="9"/>
      <c r="E251" s="9"/>
      <c r="F251" s="9"/>
      <c r="G251" s="8"/>
      <c r="H251" s="7" t="str">
        <f t="shared" si="41"/>
        <v/>
      </c>
      <c r="I251" s="9"/>
      <c r="J251" s="6"/>
      <c r="K251" t="str">
        <f t="shared" si="42"/>
        <v/>
      </c>
      <c r="L251" s="5" t="str">
        <f t="shared" si="43"/>
        <v/>
      </c>
      <c r="M251" s="5" t="str">
        <f t="shared" si="44"/>
        <v/>
      </c>
      <c r="N251" t="str">
        <f t="shared" si="45"/>
        <v/>
      </c>
      <c r="O251" s="10" t="str">
        <f t="shared" si="46"/>
        <v/>
      </c>
      <c r="P251" s="7" t="str">
        <f t="shared" si="47"/>
        <v/>
      </c>
      <c r="Q251" s="9"/>
      <c r="R251" s="5" t="str">
        <f t="shared" si="48"/>
        <v/>
      </c>
      <c r="S251" s="5" t="str">
        <f t="shared" si="49"/>
        <v/>
      </c>
      <c r="T251" s="7" t="str">
        <f t="shared" si="50"/>
        <v/>
      </c>
      <c r="U251" t="str">
        <f t="shared" si="51"/>
        <v/>
      </c>
    </row>
    <row r="252" spans="1:21">
      <c r="A252" t="str">
        <f t="shared" si="39"/>
        <v/>
      </c>
      <c r="B252" s="6"/>
      <c r="C252" t="str">
        <f t="shared" si="40"/>
        <v/>
      </c>
      <c r="D252" s="9"/>
      <c r="E252" s="9"/>
      <c r="F252" s="9"/>
      <c r="G252" s="8"/>
      <c r="H252" s="7" t="str">
        <f t="shared" si="41"/>
        <v/>
      </c>
      <c r="I252" s="9"/>
      <c r="J252" s="6"/>
      <c r="K252" t="str">
        <f t="shared" si="42"/>
        <v/>
      </c>
      <c r="L252" s="5" t="str">
        <f t="shared" si="43"/>
        <v/>
      </c>
      <c r="M252" s="5" t="str">
        <f t="shared" si="44"/>
        <v/>
      </c>
      <c r="N252" t="str">
        <f t="shared" si="45"/>
        <v/>
      </c>
      <c r="O252" s="10" t="str">
        <f t="shared" si="46"/>
        <v/>
      </c>
      <c r="P252" s="7" t="str">
        <f t="shared" si="47"/>
        <v/>
      </c>
      <c r="Q252" s="9"/>
      <c r="R252" s="5" t="str">
        <f t="shared" si="48"/>
        <v/>
      </c>
      <c r="S252" s="5" t="str">
        <f t="shared" si="49"/>
        <v/>
      </c>
      <c r="T252" s="7" t="str">
        <f t="shared" si="50"/>
        <v/>
      </c>
      <c r="U252" t="str">
        <f t="shared" si="51"/>
        <v/>
      </c>
    </row>
    <row r="253" spans="1:21">
      <c r="A253" t="str">
        <f t="shared" si="39"/>
        <v/>
      </c>
      <c r="B253" s="6"/>
      <c r="C253" t="str">
        <f t="shared" si="40"/>
        <v/>
      </c>
      <c r="D253" s="9"/>
      <c r="E253" s="9"/>
      <c r="F253" s="9"/>
      <c r="G253" s="8"/>
      <c r="H253" s="7" t="str">
        <f t="shared" si="41"/>
        <v/>
      </c>
      <c r="I253" s="9"/>
      <c r="J253" s="6"/>
      <c r="K253" t="str">
        <f t="shared" si="42"/>
        <v/>
      </c>
      <c r="L253" s="5" t="str">
        <f t="shared" si="43"/>
        <v/>
      </c>
      <c r="M253" s="5" t="str">
        <f t="shared" si="44"/>
        <v/>
      </c>
      <c r="N253" t="str">
        <f t="shared" si="45"/>
        <v/>
      </c>
      <c r="O253" s="10" t="str">
        <f t="shared" si="46"/>
        <v/>
      </c>
      <c r="P253" s="7" t="str">
        <f t="shared" si="47"/>
        <v/>
      </c>
      <c r="Q253" s="9"/>
      <c r="R253" s="5" t="str">
        <f t="shared" si="48"/>
        <v/>
      </c>
      <c r="S253" s="5" t="str">
        <f t="shared" si="49"/>
        <v/>
      </c>
      <c r="T253" s="7" t="str">
        <f t="shared" si="50"/>
        <v/>
      </c>
      <c r="U253" t="str">
        <f t="shared" si="51"/>
        <v/>
      </c>
    </row>
    <row r="254" spans="1:21">
      <c r="A254" t="str">
        <f t="shared" si="39"/>
        <v/>
      </c>
      <c r="B254" s="6"/>
      <c r="C254" t="str">
        <f t="shared" si="40"/>
        <v/>
      </c>
      <c r="D254" s="9"/>
      <c r="E254" s="9"/>
      <c r="F254" s="9"/>
      <c r="G254" s="8"/>
      <c r="H254" s="7" t="str">
        <f t="shared" si="41"/>
        <v/>
      </c>
      <c r="I254" s="9"/>
      <c r="J254" s="6"/>
      <c r="K254" t="str">
        <f t="shared" si="42"/>
        <v/>
      </c>
      <c r="L254" s="5" t="str">
        <f t="shared" si="43"/>
        <v/>
      </c>
      <c r="M254" s="5" t="str">
        <f t="shared" si="44"/>
        <v/>
      </c>
      <c r="N254" t="str">
        <f t="shared" si="45"/>
        <v/>
      </c>
      <c r="O254" s="10" t="str">
        <f t="shared" si="46"/>
        <v/>
      </c>
      <c r="P254" s="7" t="str">
        <f t="shared" si="47"/>
        <v/>
      </c>
      <c r="Q254" s="9"/>
      <c r="R254" s="5" t="str">
        <f t="shared" si="48"/>
        <v/>
      </c>
      <c r="S254" s="5" t="str">
        <f t="shared" si="49"/>
        <v/>
      </c>
      <c r="T254" s="7" t="str">
        <f t="shared" si="50"/>
        <v/>
      </c>
      <c r="U254" t="str">
        <f t="shared" si="51"/>
        <v/>
      </c>
    </row>
    <row r="255" spans="1:21">
      <c r="A255" t="str">
        <f t="shared" si="39"/>
        <v/>
      </c>
      <c r="B255" s="6"/>
      <c r="C255" t="str">
        <f t="shared" si="40"/>
        <v/>
      </c>
      <c r="D255" s="9"/>
      <c r="E255" s="9"/>
      <c r="F255" s="9"/>
      <c r="G255" s="8"/>
      <c r="H255" s="7" t="str">
        <f t="shared" si="41"/>
        <v/>
      </c>
      <c r="I255" s="9"/>
      <c r="J255" s="6"/>
      <c r="K255" t="str">
        <f t="shared" si="42"/>
        <v/>
      </c>
      <c r="L255" s="5" t="str">
        <f t="shared" si="43"/>
        <v/>
      </c>
      <c r="M255" s="5" t="str">
        <f t="shared" si="44"/>
        <v/>
      </c>
      <c r="N255" t="str">
        <f t="shared" si="45"/>
        <v/>
      </c>
      <c r="O255" s="10" t="str">
        <f t="shared" si="46"/>
        <v/>
      </c>
      <c r="P255" s="7" t="str">
        <f t="shared" si="47"/>
        <v/>
      </c>
      <c r="Q255" s="9"/>
      <c r="R255" s="5" t="str">
        <f t="shared" si="48"/>
        <v/>
      </c>
      <c r="S255" s="5" t="str">
        <f t="shared" si="49"/>
        <v/>
      </c>
      <c r="T255" s="7" t="str">
        <f t="shared" si="50"/>
        <v/>
      </c>
      <c r="U255" t="str">
        <f t="shared" si="51"/>
        <v/>
      </c>
    </row>
    <row r="256" spans="1:21">
      <c r="A256" t="str">
        <f t="shared" si="39"/>
        <v/>
      </c>
      <c r="B256" s="6"/>
      <c r="C256" t="str">
        <f t="shared" si="40"/>
        <v/>
      </c>
      <c r="D256" s="9"/>
      <c r="E256" s="9"/>
      <c r="F256" s="9"/>
      <c r="G256" s="8"/>
      <c r="H256" s="7" t="str">
        <f t="shared" si="41"/>
        <v/>
      </c>
      <c r="I256" s="9"/>
      <c r="J256" s="6"/>
      <c r="K256" t="str">
        <f t="shared" si="42"/>
        <v/>
      </c>
      <c r="L256" s="5" t="str">
        <f t="shared" si="43"/>
        <v/>
      </c>
      <c r="M256" s="5" t="str">
        <f t="shared" si="44"/>
        <v/>
      </c>
      <c r="N256" t="str">
        <f t="shared" si="45"/>
        <v/>
      </c>
      <c r="O256" s="10" t="str">
        <f t="shared" si="46"/>
        <v/>
      </c>
      <c r="P256" s="7" t="str">
        <f t="shared" si="47"/>
        <v/>
      </c>
      <c r="Q256" s="9"/>
      <c r="R256" s="5" t="str">
        <f t="shared" si="48"/>
        <v/>
      </c>
      <c r="S256" s="5" t="str">
        <f t="shared" si="49"/>
        <v/>
      </c>
      <c r="T256" s="7" t="str">
        <f t="shared" si="50"/>
        <v/>
      </c>
      <c r="U256" t="str">
        <f t="shared" si="51"/>
        <v/>
      </c>
    </row>
    <row r="257" spans="1:21">
      <c r="A257" t="str">
        <f t="shared" si="39"/>
        <v/>
      </c>
      <c r="B257" s="6"/>
      <c r="C257" t="str">
        <f t="shared" si="40"/>
        <v/>
      </c>
      <c r="D257" s="9"/>
      <c r="E257" s="9"/>
      <c r="F257" s="9"/>
      <c r="G257" s="8"/>
      <c r="H257" s="7" t="str">
        <f t="shared" si="41"/>
        <v/>
      </c>
      <c r="I257" s="9"/>
      <c r="J257" s="6"/>
      <c r="K257" t="str">
        <f t="shared" si="42"/>
        <v/>
      </c>
      <c r="L257" s="5" t="str">
        <f t="shared" si="43"/>
        <v/>
      </c>
      <c r="M257" s="5" t="str">
        <f t="shared" si="44"/>
        <v/>
      </c>
      <c r="N257" t="str">
        <f t="shared" si="45"/>
        <v/>
      </c>
      <c r="O257" s="10" t="str">
        <f t="shared" si="46"/>
        <v/>
      </c>
      <c r="P257" s="7" t="str">
        <f t="shared" si="47"/>
        <v/>
      </c>
      <c r="Q257" s="9"/>
      <c r="R257" s="5" t="str">
        <f t="shared" si="48"/>
        <v/>
      </c>
      <c r="S257" s="5" t="str">
        <f t="shared" si="49"/>
        <v/>
      </c>
      <c r="T257" s="7" t="str">
        <f t="shared" si="50"/>
        <v/>
      </c>
      <c r="U257" t="str">
        <f t="shared" si="51"/>
        <v/>
      </c>
    </row>
    <row r="258" spans="1:21">
      <c r="A258" t="str">
        <f t="shared" si="39"/>
        <v/>
      </c>
      <c r="B258" s="6"/>
      <c r="C258" t="str">
        <f t="shared" si="40"/>
        <v/>
      </c>
      <c r="D258" s="9"/>
      <c r="E258" s="9"/>
      <c r="F258" s="9"/>
      <c r="G258" s="8"/>
      <c r="H258" s="7" t="str">
        <f t="shared" si="41"/>
        <v/>
      </c>
      <c r="I258" s="9"/>
      <c r="J258" s="6"/>
      <c r="K258" t="str">
        <f t="shared" si="42"/>
        <v/>
      </c>
      <c r="L258" s="5" t="str">
        <f t="shared" si="43"/>
        <v/>
      </c>
      <c r="M258" s="5" t="str">
        <f t="shared" si="44"/>
        <v/>
      </c>
      <c r="N258" t="str">
        <f t="shared" si="45"/>
        <v/>
      </c>
      <c r="O258" s="10" t="str">
        <f t="shared" si="46"/>
        <v/>
      </c>
      <c r="P258" s="7" t="str">
        <f t="shared" si="47"/>
        <v/>
      </c>
      <c r="Q258" s="9"/>
      <c r="R258" s="5" t="str">
        <f t="shared" si="48"/>
        <v/>
      </c>
      <c r="S258" s="5" t="str">
        <f t="shared" si="49"/>
        <v/>
      </c>
      <c r="T258" s="7" t="str">
        <f t="shared" si="50"/>
        <v/>
      </c>
      <c r="U258" t="str">
        <f t="shared" si="51"/>
        <v/>
      </c>
    </row>
    <row r="259" spans="1:21">
      <c r="A259" t="str">
        <f t="shared" si="39"/>
        <v/>
      </c>
      <c r="B259" s="6"/>
      <c r="C259" t="str">
        <f t="shared" si="40"/>
        <v/>
      </c>
      <c r="D259" s="9"/>
      <c r="E259" s="9"/>
      <c r="F259" s="9"/>
      <c r="G259" s="8"/>
      <c r="H259" s="7" t="str">
        <f t="shared" si="41"/>
        <v/>
      </c>
      <c r="I259" s="9"/>
      <c r="J259" s="6"/>
      <c r="K259" t="str">
        <f t="shared" si="42"/>
        <v/>
      </c>
      <c r="L259" s="5" t="str">
        <f t="shared" si="43"/>
        <v/>
      </c>
      <c r="M259" s="5" t="str">
        <f t="shared" si="44"/>
        <v/>
      </c>
      <c r="N259" t="str">
        <f t="shared" si="45"/>
        <v/>
      </c>
      <c r="O259" s="10" t="str">
        <f t="shared" si="46"/>
        <v/>
      </c>
      <c r="P259" s="7" t="str">
        <f t="shared" si="47"/>
        <v/>
      </c>
      <c r="Q259" s="9"/>
      <c r="R259" s="5" t="str">
        <f t="shared" si="48"/>
        <v/>
      </c>
      <c r="S259" s="5" t="str">
        <f t="shared" si="49"/>
        <v/>
      </c>
      <c r="T259" s="7" t="str">
        <f t="shared" si="50"/>
        <v/>
      </c>
      <c r="U259" t="str">
        <f t="shared" si="51"/>
        <v/>
      </c>
    </row>
    <row r="260" spans="1:21">
      <c r="A260" t="str">
        <f t="shared" si="39"/>
        <v/>
      </c>
      <c r="B260" s="6"/>
      <c r="C260" t="str">
        <f t="shared" si="40"/>
        <v/>
      </c>
      <c r="D260" s="9"/>
      <c r="E260" s="9"/>
      <c r="F260" s="9"/>
      <c r="G260" s="8"/>
      <c r="H260" s="7" t="str">
        <f t="shared" si="41"/>
        <v/>
      </c>
      <c r="I260" s="9"/>
      <c r="J260" s="6"/>
      <c r="K260" t="str">
        <f t="shared" si="42"/>
        <v/>
      </c>
      <c r="L260" s="5" t="str">
        <f t="shared" si="43"/>
        <v/>
      </c>
      <c r="M260" s="5" t="str">
        <f t="shared" si="44"/>
        <v/>
      </c>
      <c r="N260" t="str">
        <f t="shared" si="45"/>
        <v/>
      </c>
      <c r="O260" s="10" t="str">
        <f t="shared" si="46"/>
        <v/>
      </c>
      <c r="P260" s="7" t="str">
        <f t="shared" si="47"/>
        <v/>
      </c>
      <c r="Q260" s="9"/>
      <c r="R260" s="5" t="str">
        <f t="shared" si="48"/>
        <v/>
      </c>
      <c r="S260" s="5" t="str">
        <f t="shared" si="49"/>
        <v/>
      </c>
      <c r="T260" s="7" t="str">
        <f t="shared" si="50"/>
        <v/>
      </c>
      <c r="U260" t="str">
        <f t="shared" si="51"/>
        <v/>
      </c>
    </row>
    <row r="261" spans="1:21">
      <c r="A261" t="str">
        <f t="shared" ref="A261:A324" si="52">IF(B261="","",ROW()-4)</f>
        <v/>
      </c>
      <c r="B261" s="6"/>
      <c r="C261" t="str">
        <f t="shared" ref="C261:C324" si="53">IF(B261="","",TEXT(B261,"ddd"))</f>
        <v/>
      </c>
      <c r="D261" s="9"/>
      <c r="E261" s="9"/>
      <c r="F261" s="9"/>
      <c r="G261" s="8"/>
      <c r="H261" s="7" t="str">
        <f t="shared" ref="H261:H324" si="54">IF(B261="","",IF(G261&lt;&gt;"",G261,IFERROR(INDEX(CajasOrigen,MATCH(D261,Origenes,0)),CajasProm)))</f>
        <v/>
      </c>
      <c r="I261" s="9"/>
      <c r="J261" s="6"/>
      <c r="K261" t="str">
        <f t="shared" ref="K261:K324" si="55">IF(B261="","",IFERROR(INDEX(Lags,MATCH(D261,Origenes,0)),LagBR)+IF(J261&lt;&gt;"",0,AtrasoDias))</f>
        <v/>
      </c>
      <c r="L261" s="5" t="str">
        <f t="shared" ref="L261:L324" si="56">IF(B261="","",IF(J261&lt;&gt;"",J261,B261+K261))</f>
        <v/>
      </c>
      <c r="M261" s="5" t="str">
        <f t="shared" ref="M261:M324" si="57">IF(L261="","",L261-WEEKDAY(L261,2)+1)</f>
        <v/>
      </c>
      <c r="N261" t="str">
        <f t="shared" ref="N261:N300" si="58">IF(L261="","",IF(L261&gt;FechaConteo,1,0)*IF(I261="Supuesto",SupPY,IF(I261="Supuesto BR",SupBR,1)))</f>
        <v/>
      </c>
      <c r="O261" s="10" t="str">
        <f t="shared" ref="O261:O300" si="59">IF(D261="","",IFERROR(INDEX(CostoOrigen,MATCH(D261,Origenes,0)),0))</f>
        <v/>
      </c>
      <c r="P261" s="7" t="str">
        <f t="shared" ref="P261:P324" si="60">IF(H261="","",H261*O261)</f>
        <v/>
      </c>
      <c r="Q261" s="9"/>
      <c r="R261" s="5" t="str">
        <f t="shared" ref="R261:R300" si="61">IF(B261="","",IF(J261&lt;&gt;"",J261,B261+IFERROR(INDEX(LagsP90,MATCH(D261,Origenes,0)),K261)))</f>
        <v/>
      </c>
      <c r="S261" s="5" t="str">
        <f t="shared" ref="S261:S324" si="62">IF(R261="","",R261-WEEKDAY(R261,2)+1)</f>
        <v/>
      </c>
      <c r="T261" s="7" t="str">
        <f t="shared" ref="T261:T300" si="63">IF(B261="","",IF(AND(B261&lt;=FechaHoy,J261="",I261&lt;&gt;"Supuesto",I261&lt;&gt;"Simulado"),H261,0))</f>
        <v/>
      </c>
      <c r="U261" t="str">
        <f t="shared" ref="U261:U300" si="64">IF(J261="","",IF(J261-B261&lt;=K261+1,1,0))</f>
        <v/>
      </c>
    </row>
    <row r="262" spans="1:21">
      <c r="A262" t="str">
        <f t="shared" si="52"/>
        <v/>
      </c>
      <c r="B262" s="6"/>
      <c r="C262" t="str">
        <f t="shared" si="53"/>
        <v/>
      </c>
      <c r="D262" s="9"/>
      <c r="E262" s="9"/>
      <c r="F262" s="9"/>
      <c r="G262" s="8"/>
      <c r="H262" s="7" t="str">
        <f t="shared" si="54"/>
        <v/>
      </c>
      <c r="I262" s="9"/>
      <c r="J262" s="6"/>
      <c r="K262" t="str">
        <f t="shared" si="55"/>
        <v/>
      </c>
      <c r="L262" s="5" t="str">
        <f t="shared" si="56"/>
        <v/>
      </c>
      <c r="M262" s="5" t="str">
        <f t="shared" si="57"/>
        <v/>
      </c>
      <c r="N262" t="str">
        <f t="shared" si="58"/>
        <v/>
      </c>
      <c r="O262" s="10" t="str">
        <f t="shared" si="59"/>
        <v/>
      </c>
      <c r="P262" s="7" t="str">
        <f t="shared" si="60"/>
        <v/>
      </c>
      <c r="Q262" s="9"/>
      <c r="R262" s="5" t="str">
        <f t="shared" si="61"/>
        <v/>
      </c>
      <c r="S262" s="5" t="str">
        <f t="shared" si="62"/>
        <v/>
      </c>
      <c r="T262" s="7" t="str">
        <f t="shared" si="63"/>
        <v/>
      </c>
      <c r="U262" t="str">
        <f t="shared" si="64"/>
        <v/>
      </c>
    </row>
    <row r="263" spans="1:21">
      <c r="A263" t="str">
        <f t="shared" si="52"/>
        <v/>
      </c>
      <c r="B263" s="6"/>
      <c r="C263" t="str">
        <f t="shared" si="53"/>
        <v/>
      </c>
      <c r="D263" s="9"/>
      <c r="E263" s="9"/>
      <c r="F263" s="9"/>
      <c r="G263" s="8"/>
      <c r="H263" s="7" t="str">
        <f t="shared" si="54"/>
        <v/>
      </c>
      <c r="I263" s="9"/>
      <c r="J263" s="6"/>
      <c r="K263" t="str">
        <f t="shared" si="55"/>
        <v/>
      </c>
      <c r="L263" s="5" t="str">
        <f t="shared" si="56"/>
        <v/>
      </c>
      <c r="M263" s="5" t="str">
        <f t="shared" si="57"/>
        <v/>
      </c>
      <c r="N263" t="str">
        <f t="shared" si="58"/>
        <v/>
      </c>
      <c r="O263" s="10" t="str">
        <f t="shared" si="59"/>
        <v/>
      </c>
      <c r="P263" s="7" t="str">
        <f t="shared" si="60"/>
        <v/>
      </c>
      <c r="Q263" s="9"/>
      <c r="R263" s="5" t="str">
        <f t="shared" si="61"/>
        <v/>
      </c>
      <c r="S263" s="5" t="str">
        <f t="shared" si="62"/>
        <v/>
      </c>
      <c r="T263" s="7" t="str">
        <f t="shared" si="63"/>
        <v/>
      </c>
      <c r="U263" t="str">
        <f t="shared" si="64"/>
        <v/>
      </c>
    </row>
    <row r="264" spans="1:21">
      <c r="A264" t="str">
        <f t="shared" si="52"/>
        <v/>
      </c>
      <c r="B264" s="6"/>
      <c r="C264" t="str">
        <f t="shared" si="53"/>
        <v/>
      </c>
      <c r="D264" s="9"/>
      <c r="E264" s="9"/>
      <c r="F264" s="9"/>
      <c r="G264" s="8"/>
      <c r="H264" s="7" t="str">
        <f t="shared" si="54"/>
        <v/>
      </c>
      <c r="I264" s="9"/>
      <c r="J264" s="6"/>
      <c r="K264" t="str">
        <f t="shared" si="55"/>
        <v/>
      </c>
      <c r="L264" s="5" t="str">
        <f t="shared" si="56"/>
        <v/>
      </c>
      <c r="M264" s="5" t="str">
        <f t="shared" si="57"/>
        <v/>
      </c>
      <c r="N264" t="str">
        <f t="shared" si="58"/>
        <v/>
      </c>
      <c r="O264" s="10" t="str">
        <f t="shared" si="59"/>
        <v/>
      </c>
      <c r="P264" s="7" t="str">
        <f t="shared" si="60"/>
        <v/>
      </c>
      <c r="Q264" s="9"/>
      <c r="R264" s="5" t="str">
        <f t="shared" si="61"/>
        <v/>
      </c>
      <c r="S264" s="5" t="str">
        <f t="shared" si="62"/>
        <v/>
      </c>
      <c r="T264" s="7" t="str">
        <f t="shared" si="63"/>
        <v/>
      </c>
      <c r="U264" t="str">
        <f t="shared" si="64"/>
        <v/>
      </c>
    </row>
    <row r="265" spans="1:21">
      <c r="A265" t="str">
        <f t="shared" si="52"/>
        <v/>
      </c>
      <c r="B265" s="6"/>
      <c r="C265" t="str">
        <f t="shared" si="53"/>
        <v/>
      </c>
      <c r="D265" s="9"/>
      <c r="E265" s="9"/>
      <c r="F265" s="9"/>
      <c r="G265" s="8"/>
      <c r="H265" s="7" t="str">
        <f t="shared" si="54"/>
        <v/>
      </c>
      <c r="I265" s="9"/>
      <c r="J265" s="6"/>
      <c r="K265" t="str">
        <f t="shared" si="55"/>
        <v/>
      </c>
      <c r="L265" s="5" t="str">
        <f t="shared" si="56"/>
        <v/>
      </c>
      <c r="M265" s="5" t="str">
        <f t="shared" si="57"/>
        <v/>
      </c>
      <c r="N265" t="str">
        <f t="shared" si="58"/>
        <v/>
      </c>
      <c r="O265" s="10" t="str">
        <f t="shared" si="59"/>
        <v/>
      </c>
      <c r="P265" s="7" t="str">
        <f t="shared" si="60"/>
        <v/>
      </c>
      <c r="Q265" s="9"/>
      <c r="R265" s="5" t="str">
        <f t="shared" si="61"/>
        <v/>
      </c>
      <c r="S265" s="5" t="str">
        <f t="shared" si="62"/>
        <v/>
      </c>
      <c r="T265" s="7" t="str">
        <f t="shared" si="63"/>
        <v/>
      </c>
      <c r="U265" t="str">
        <f t="shared" si="64"/>
        <v/>
      </c>
    </row>
    <row r="266" spans="1:21">
      <c r="A266" t="str">
        <f t="shared" si="52"/>
        <v/>
      </c>
      <c r="B266" s="6"/>
      <c r="C266" t="str">
        <f t="shared" si="53"/>
        <v/>
      </c>
      <c r="D266" s="9"/>
      <c r="E266" s="9"/>
      <c r="F266" s="9"/>
      <c r="G266" s="8"/>
      <c r="H266" s="7" t="str">
        <f t="shared" si="54"/>
        <v/>
      </c>
      <c r="I266" s="9"/>
      <c r="J266" s="6"/>
      <c r="K266" t="str">
        <f t="shared" si="55"/>
        <v/>
      </c>
      <c r="L266" s="5" t="str">
        <f t="shared" si="56"/>
        <v/>
      </c>
      <c r="M266" s="5" t="str">
        <f t="shared" si="57"/>
        <v/>
      </c>
      <c r="N266" t="str">
        <f t="shared" si="58"/>
        <v/>
      </c>
      <c r="O266" s="10" t="str">
        <f t="shared" si="59"/>
        <v/>
      </c>
      <c r="P266" s="7" t="str">
        <f t="shared" si="60"/>
        <v/>
      </c>
      <c r="Q266" s="9"/>
      <c r="R266" s="5" t="str">
        <f t="shared" si="61"/>
        <v/>
      </c>
      <c r="S266" s="5" t="str">
        <f t="shared" si="62"/>
        <v/>
      </c>
      <c r="T266" s="7" t="str">
        <f t="shared" si="63"/>
        <v/>
      </c>
      <c r="U266" t="str">
        <f t="shared" si="64"/>
        <v/>
      </c>
    </row>
    <row r="267" spans="1:21">
      <c r="A267" t="str">
        <f t="shared" si="52"/>
        <v/>
      </c>
      <c r="B267" s="6"/>
      <c r="C267" t="str">
        <f t="shared" si="53"/>
        <v/>
      </c>
      <c r="D267" s="9"/>
      <c r="E267" s="9"/>
      <c r="F267" s="9"/>
      <c r="G267" s="8"/>
      <c r="H267" s="7" t="str">
        <f t="shared" si="54"/>
        <v/>
      </c>
      <c r="I267" s="9"/>
      <c r="J267" s="6"/>
      <c r="K267" t="str">
        <f t="shared" si="55"/>
        <v/>
      </c>
      <c r="L267" s="5" t="str">
        <f t="shared" si="56"/>
        <v/>
      </c>
      <c r="M267" s="5" t="str">
        <f t="shared" si="57"/>
        <v/>
      </c>
      <c r="N267" t="str">
        <f t="shared" si="58"/>
        <v/>
      </c>
      <c r="O267" s="10" t="str">
        <f t="shared" si="59"/>
        <v/>
      </c>
      <c r="P267" s="7" t="str">
        <f t="shared" si="60"/>
        <v/>
      </c>
      <c r="Q267" s="9"/>
      <c r="R267" s="5" t="str">
        <f t="shared" si="61"/>
        <v/>
      </c>
      <c r="S267" s="5" t="str">
        <f t="shared" si="62"/>
        <v/>
      </c>
      <c r="T267" s="7" t="str">
        <f t="shared" si="63"/>
        <v/>
      </c>
      <c r="U267" t="str">
        <f t="shared" si="64"/>
        <v/>
      </c>
    </row>
    <row r="268" spans="1:21">
      <c r="A268" t="str">
        <f t="shared" si="52"/>
        <v/>
      </c>
      <c r="B268" s="6"/>
      <c r="C268" t="str">
        <f t="shared" si="53"/>
        <v/>
      </c>
      <c r="D268" s="9"/>
      <c r="E268" s="9"/>
      <c r="F268" s="9"/>
      <c r="G268" s="8"/>
      <c r="H268" s="7" t="str">
        <f t="shared" si="54"/>
        <v/>
      </c>
      <c r="I268" s="9"/>
      <c r="J268" s="6"/>
      <c r="K268" t="str">
        <f t="shared" si="55"/>
        <v/>
      </c>
      <c r="L268" s="5" t="str">
        <f t="shared" si="56"/>
        <v/>
      </c>
      <c r="M268" s="5" t="str">
        <f t="shared" si="57"/>
        <v/>
      </c>
      <c r="N268" t="str">
        <f t="shared" si="58"/>
        <v/>
      </c>
      <c r="O268" s="10" t="str">
        <f t="shared" si="59"/>
        <v/>
      </c>
      <c r="P268" s="7" t="str">
        <f t="shared" si="60"/>
        <v/>
      </c>
      <c r="Q268" s="9"/>
      <c r="R268" s="5" t="str">
        <f t="shared" si="61"/>
        <v/>
      </c>
      <c r="S268" s="5" t="str">
        <f t="shared" si="62"/>
        <v/>
      </c>
      <c r="T268" s="7" t="str">
        <f t="shared" si="63"/>
        <v/>
      </c>
      <c r="U268" t="str">
        <f t="shared" si="64"/>
        <v/>
      </c>
    </row>
    <row r="269" spans="1:21">
      <c r="A269" t="str">
        <f t="shared" si="52"/>
        <v/>
      </c>
      <c r="B269" s="6"/>
      <c r="C269" t="str">
        <f t="shared" si="53"/>
        <v/>
      </c>
      <c r="D269" s="9"/>
      <c r="E269" s="9"/>
      <c r="F269" s="9"/>
      <c r="G269" s="8"/>
      <c r="H269" s="7" t="str">
        <f t="shared" si="54"/>
        <v/>
      </c>
      <c r="I269" s="9"/>
      <c r="J269" s="6"/>
      <c r="K269" t="str">
        <f t="shared" si="55"/>
        <v/>
      </c>
      <c r="L269" s="5" t="str">
        <f t="shared" si="56"/>
        <v/>
      </c>
      <c r="M269" s="5" t="str">
        <f t="shared" si="57"/>
        <v/>
      </c>
      <c r="N269" t="str">
        <f t="shared" si="58"/>
        <v/>
      </c>
      <c r="O269" s="10" t="str">
        <f t="shared" si="59"/>
        <v/>
      </c>
      <c r="P269" s="7" t="str">
        <f t="shared" si="60"/>
        <v/>
      </c>
      <c r="Q269" s="9"/>
      <c r="R269" s="5" t="str">
        <f t="shared" si="61"/>
        <v/>
      </c>
      <c r="S269" s="5" t="str">
        <f t="shared" si="62"/>
        <v/>
      </c>
      <c r="T269" s="7" t="str">
        <f t="shared" si="63"/>
        <v/>
      </c>
      <c r="U269" t="str">
        <f t="shared" si="64"/>
        <v/>
      </c>
    </row>
    <row r="270" spans="1:21">
      <c r="A270" t="str">
        <f t="shared" si="52"/>
        <v/>
      </c>
      <c r="B270" s="6"/>
      <c r="C270" t="str">
        <f t="shared" si="53"/>
        <v/>
      </c>
      <c r="D270" s="9"/>
      <c r="E270" s="9"/>
      <c r="F270" s="9"/>
      <c r="G270" s="8"/>
      <c r="H270" s="7" t="str">
        <f t="shared" si="54"/>
        <v/>
      </c>
      <c r="I270" s="9"/>
      <c r="J270" s="6"/>
      <c r="K270" t="str">
        <f t="shared" si="55"/>
        <v/>
      </c>
      <c r="L270" s="5" t="str">
        <f t="shared" si="56"/>
        <v/>
      </c>
      <c r="M270" s="5" t="str">
        <f t="shared" si="57"/>
        <v/>
      </c>
      <c r="N270" t="str">
        <f t="shared" si="58"/>
        <v/>
      </c>
      <c r="O270" s="10" t="str">
        <f t="shared" si="59"/>
        <v/>
      </c>
      <c r="P270" s="7" t="str">
        <f t="shared" si="60"/>
        <v/>
      </c>
      <c r="Q270" s="9"/>
      <c r="R270" s="5" t="str">
        <f t="shared" si="61"/>
        <v/>
      </c>
      <c r="S270" s="5" t="str">
        <f t="shared" si="62"/>
        <v/>
      </c>
      <c r="T270" s="7" t="str">
        <f t="shared" si="63"/>
        <v/>
      </c>
      <c r="U270" t="str">
        <f t="shared" si="64"/>
        <v/>
      </c>
    </row>
    <row r="271" spans="1:21">
      <c r="A271" t="str">
        <f t="shared" si="52"/>
        <v/>
      </c>
      <c r="B271" s="6"/>
      <c r="C271" t="str">
        <f t="shared" si="53"/>
        <v/>
      </c>
      <c r="D271" s="9"/>
      <c r="E271" s="9"/>
      <c r="F271" s="9"/>
      <c r="G271" s="8"/>
      <c r="H271" s="7" t="str">
        <f t="shared" si="54"/>
        <v/>
      </c>
      <c r="I271" s="9"/>
      <c r="J271" s="6"/>
      <c r="K271" t="str">
        <f t="shared" si="55"/>
        <v/>
      </c>
      <c r="L271" s="5" t="str">
        <f t="shared" si="56"/>
        <v/>
      </c>
      <c r="M271" s="5" t="str">
        <f t="shared" si="57"/>
        <v/>
      </c>
      <c r="N271" t="str">
        <f t="shared" si="58"/>
        <v/>
      </c>
      <c r="O271" s="10" t="str">
        <f t="shared" si="59"/>
        <v/>
      </c>
      <c r="P271" s="7" t="str">
        <f t="shared" si="60"/>
        <v/>
      </c>
      <c r="Q271" s="9"/>
      <c r="R271" s="5" t="str">
        <f t="shared" si="61"/>
        <v/>
      </c>
      <c r="S271" s="5" t="str">
        <f t="shared" si="62"/>
        <v/>
      </c>
      <c r="T271" s="7" t="str">
        <f t="shared" si="63"/>
        <v/>
      </c>
      <c r="U271" t="str">
        <f t="shared" si="64"/>
        <v/>
      </c>
    </row>
    <row r="272" spans="1:21">
      <c r="A272" t="str">
        <f t="shared" si="52"/>
        <v/>
      </c>
      <c r="B272" s="6"/>
      <c r="C272" t="str">
        <f t="shared" si="53"/>
        <v/>
      </c>
      <c r="D272" s="9"/>
      <c r="E272" s="9"/>
      <c r="F272" s="9"/>
      <c r="G272" s="8"/>
      <c r="H272" s="7" t="str">
        <f t="shared" si="54"/>
        <v/>
      </c>
      <c r="I272" s="9"/>
      <c r="J272" s="6"/>
      <c r="K272" t="str">
        <f t="shared" si="55"/>
        <v/>
      </c>
      <c r="L272" s="5" t="str">
        <f t="shared" si="56"/>
        <v/>
      </c>
      <c r="M272" s="5" t="str">
        <f t="shared" si="57"/>
        <v/>
      </c>
      <c r="N272" t="str">
        <f t="shared" si="58"/>
        <v/>
      </c>
      <c r="O272" s="10" t="str">
        <f t="shared" si="59"/>
        <v/>
      </c>
      <c r="P272" s="7" t="str">
        <f t="shared" si="60"/>
        <v/>
      </c>
      <c r="Q272" s="9"/>
      <c r="R272" s="5" t="str">
        <f t="shared" si="61"/>
        <v/>
      </c>
      <c r="S272" s="5" t="str">
        <f t="shared" si="62"/>
        <v/>
      </c>
      <c r="T272" s="7" t="str">
        <f t="shared" si="63"/>
        <v/>
      </c>
      <c r="U272" t="str">
        <f t="shared" si="64"/>
        <v/>
      </c>
    </row>
    <row r="273" spans="1:21">
      <c r="A273" t="str">
        <f t="shared" si="52"/>
        <v/>
      </c>
      <c r="B273" s="6"/>
      <c r="C273" t="str">
        <f t="shared" si="53"/>
        <v/>
      </c>
      <c r="D273" s="9"/>
      <c r="E273" s="9"/>
      <c r="F273" s="9"/>
      <c r="G273" s="8"/>
      <c r="H273" s="7" t="str">
        <f t="shared" si="54"/>
        <v/>
      </c>
      <c r="I273" s="9"/>
      <c r="J273" s="6"/>
      <c r="K273" t="str">
        <f t="shared" si="55"/>
        <v/>
      </c>
      <c r="L273" s="5" t="str">
        <f t="shared" si="56"/>
        <v/>
      </c>
      <c r="M273" s="5" t="str">
        <f t="shared" si="57"/>
        <v/>
      </c>
      <c r="N273" t="str">
        <f t="shared" si="58"/>
        <v/>
      </c>
      <c r="O273" s="10" t="str">
        <f t="shared" si="59"/>
        <v/>
      </c>
      <c r="P273" s="7" t="str">
        <f t="shared" si="60"/>
        <v/>
      </c>
      <c r="Q273" s="9"/>
      <c r="R273" s="5" t="str">
        <f t="shared" si="61"/>
        <v/>
      </c>
      <c r="S273" s="5" t="str">
        <f t="shared" si="62"/>
        <v/>
      </c>
      <c r="T273" s="7" t="str">
        <f t="shared" si="63"/>
        <v/>
      </c>
      <c r="U273" t="str">
        <f t="shared" si="64"/>
        <v/>
      </c>
    </row>
    <row r="274" spans="1:21">
      <c r="A274" t="str">
        <f t="shared" si="52"/>
        <v/>
      </c>
      <c r="B274" s="6"/>
      <c r="C274" t="str">
        <f t="shared" si="53"/>
        <v/>
      </c>
      <c r="D274" s="9"/>
      <c r="E274" s="9"/>
      <c r="F274" s="9"/>
      <c r="G274" s="8"/>
      <c r="H274" s="7" t="str">
        <f t="shared" si="54"/>
        <v/>
      </c>
      <c r="I274" s="9"/>
      <c r="J274" s="6"/>
      <c r="K274" t="str">
        <f t="shared" si="55"/>
        <v/>
      </c>
      <c r="L274" s="5" t="str">
        <f t="shared" si="56"/>
        <v/>
      </c>
      <c r="M274" s="5" t="str">
        <f t="shared" si="57"/>
        <v/>
      </c>
      <c r="N274" t="str">
        <f t="shared" si="58"/>
        <v/>
      </c>
      <c r="O274" s="10" t="str">
        <f t="shared" si="59"/>
        <v/>
      </c>
      <c r="P274" s="7" t="str">
        <f t="shared" si="60"/>
        <v/>
      </c>
      <c r="Q274" s="9"/>
      <c r="R274" s="5" t="str">
        <f t="shared" si="61"/>
        <v/>
      </c>
      <c r="S274" s="5" t="str">
        <f t="shared" si="62"/>
        <v/>
      </c>
      <c r="T274" s="7" t="str">
        <f t="shared" si="63"/>
        <v/>
      </c>
      <c r="U274" t="str">
        <f t="shared" si="64"/>
        <v/>
      </c>
    </row>
    <row r="275" spans="1:21">
      <c r="A275" t="str">
        <f t="shared" si="52"/>
        <v/>
      </c>
      <c r="B275" s="6"/>
      <c r="C275" t="str">
        <f t="shared" si="53"/>
        <v/>
      </c>
      <c r="D275" s="9"/>
      <c r="E275" s="9"/>
      <c r="F275" s="9"/>
      <c r="G275" s="8"/>
      <c r="H275" s="7" t="str">
        <f t="shared" si="54"/>
        <v/>
      </c>
      <c r="I275" s="9"/>
      <c r="J275" s="6"/>
      <c r="K275" t="str">
        <f t="shared" si="55"/>
        <v/>
      </c>
      <c r="L275" s="5" t="str">
        <f t="shared" si="56"/>
        <v/>
      </c>
      <c r="M275" s="5" t="str">
        <f t="shared" si="57"/>
        <v/>
      </c>
      <c r="N275" t="str">
        <f t="shared" si="58"/>
        <v/>
      </c>
      <c r="O275" s="10" t="str">
        <f t="shared" si="59"/>
        <v/>
      </c>
      <c r="P275" s="7" t="str">
        <f t="shared" si="60"/>
        <v/>
      </c>
      <c r="Q275" s="9"/>
      <c r="R275" s="5" t="str">
        <f t="shared" si="61"/>
        <v/>
      </c>
      <c r="S275" s="5" t="str">
        <f t="shared" si="62"/>
        <v/>
      </c>
      <c r="T275" s="7" t="str">
        <f t="shared" si="63"/>
        <v/>
      </c>
      <c r="U275" t="str">
        <f t="shared" si="64"/>
        <v/>
      </c>
    </row>
    <row r="276" spans="1:21">
      <c r="A276" t="str">
        <f t="shared" si="52"/>
        <v/>
      </c>
      <c r="B276" s="6"/>
      <c r="C276" t="str">
        <f t="shared" si="53"/>
        <v/>
      </c>
      <c r="D276" s="9"/>
      <c r="E276" s="9"/>
      <c r="F276" s="9"/>
      <c r="G276" s="8"/>
      <c r="H276" s="7" t="str">
        <f t="shared" si="54"/>
        <v/>
      </c>
      <c r="I276" s="9"/>
      <c r="J276" s="6"/>
      <c r="K276" t="str">
        <f t="shared" si="55"/>
        <v/>
      </c>
      <c r="L276" s="5" t="str">
        <f t="shared" si="56"/>
        <v/>
      </c>
      <c r="M276" s="5" t="str">
        <f t="shared" si="57"/>
        <v/>
      </c>
      <c r="N276" t="str">
        <f t="shared" si="58"/>
        <v/>
      </c>
      <c r="O276" s="10" t="str">
        <f t="shared" si="59"/>
        <v/>
      </c>
      <c r="P276" s="7" t="str">
        <f t="shared" si="60"/>
        <v/>
      </c>
      <c r="Q276" s="9"/>
      <c r="R276" s="5" t="str">
        <f t="shared" si="61"/>
        <v/>
      </c>
      <c r="S276" s="5" t="str">
        <f t="shared" si="62"/>
        <v/>
      </c>
      <c r="T276" s="7" t="str">
        <f t="shared" si="63"/>
        <v/>
      </c>
      <c r="U276" t="str">
        <f t="shared" si="64"/>
        <v/>
      </c>
    </row>
    <row r="277" spans="1:21">
      <c r="A277" t="str">
        <f t="shared" si="52"/>
        <v/>
      </c>
      <c r="B277" s="6"/>
      <c r="C277" t="str">
        <f t="shared" si="53"/>
        <v/>
      </c>
      <c r="D277" s="9"/>
      <c r="E277" s="9"/>
      <c r="F277" s="9"/>
      <c r="G277" s="8"/>
      <c r="H277" s="7" t="str">
        <f t="shared" si="54"/>
        <v/>
      </c>
      <c r="I277" s="9"/>
      <c r="J277" s="6"/>
      <c r="K277" t="str">
        <f t="shared" si="55"/>
        <v/>
      </c>
      <c r="L277" s="5" t="str">
        <f t="shared" si="56"/>
        <v/>
      </c>
      <c r="M277" s="5" t="str">
        <f t="shared" si="57"/>
        <v/>
      </c>
      <c r="N277" t="str">
        <f t="shared" si="58"/>
        <v/>
      </c>
      <c r="O277" s="10" t="str">
        <f t="shared" si="59"/>
        <v/>
      </c>
      <c r="P277" s="7" t="str">
        <f t="shared" si="60"/>
        <v/>
      </c>
      <c r="Q277" s="9"/>
      <c r="R277" s="5" t="str">
        <f t="shared" si="61"/>
        <v/>
      </c>
      <c r="S277" s="5" t="str">
        <f t="shared" si="62"/>
        <v/>
      </c>
      <c r="T277" s="7" t="str">
        <f t="shared" si="63"/>
        <v/>
      </c>
      <c r="U277" t="str">
        <f t="shared" si="64"/>
        <v/>
      </c>
    </row>
    <row r="278" spans="1:21">
      <c r="A278" t="str">
        <f t="shared" si="52"/>
        <v/>
      </c>
      <c r="B278" s="6"/>
      <c r="C278" t="str">
        <f t="shared" si="53"/>
        <v/>
      </c>
      <c r="D278" s="9"/>
      <c r="E278" s="9"/>
      <c r="F278" s="9"/>
      <c r="G278" s="8"/>
      <c r="H278" s="7" t="str">
        <f t="shared" si="54"/>
        <v/>
      </c>
      <c r="I278" s="9"/>
      <c r="J278" s="6"/>
      <c r="K278" t="str">
        <f t="shared" si="55"/>
        <v/>
      </c>
      <c r="L278" s="5" t="str">
        <f t="shared" si="56"/>
        <v/>
      </c>
      <c r="M278" s="5" t="str">
        <f t="shared" si="57"/>
        <v/>
      </c>
      <c r="N278" t="str">
        <f t="shared" si="58"/>
        <v/>
      </c>
      <c r="O278" s="10" t="str">
        <f t="shared" si="59"/>
        <v/>
      </c>
      <c r="P278" s="7" t="str">
        <f t="shared" si="60"/>
        <v/>
      </c>
      <c r="Q278" s="9"/>
      <c r="R278" s="5" t="str">
        <f t="shared" si="61"/>
        <v/>
      </c>
      <c r="S278" s="5" t="str">
        <f t="shared" si="62"/>
        <v/>
      </c>
      <c r="T278" s="7" t="str">
        <f t="shared" si="63"/>
        <v/>
      </c>
      <c r="U278" t="str">
        <f t="shared" si="64"/>
        <v/>
      </c>
    </row>
    <row r="279" spans="1:21">
      <c r="A279" t="str">
        <f t="shared" si="52"/>
        <v/>
      </c>
      <c r="B279" s="6"/>
      <c r="C279" t="str">
        <f t="shared" si="53"/>
        <v/>
      </c>
      <c r="D279" s="9"/>
      <c r="E279" s="9"/>
      <c r="F279" s="9"/>
      <c r="G279" s="8"/>
      <c r="H279" s="7" t="str">
        <f t="shared" si="54"/>
        <v/>
      </c>
      <c r="I279" s="9"/>
      <c r="J279" s="6"/>
      <c r="K279" t="str">
        <f t="shared" si="55"/>
        <v/>
      </c>
      <c r="L279" s="5" t="str">
        <f t="shared" si="56"/>
        <v/>
      </c>
      <c r="M279" s="5" t="str">
        <f t="shared" si="57"/>
        <v/>
      </c>
      <c r="N279" t="str">
        <f t="shared" si="58"/>
        <v/>
      </c>
      <c r="O279" s="10" t="str">
        <f t="shared" si="59"/>
        <v/>
      </c>
      <c r="P279" s="7" t="str">
        <f t="shared" si="60"/>
        <v/>
      </c>
      <c r="Q279" s="9"/>
      <c r="R279" s="5" t="str">
        <f t="shared" si="61"/>
        <v/>
      </c>
      <c r="S279" s="5" t="str">
        <f t="shared" si="62"/>
        <v/>
      </c>
      <c r="T279" s="7" t="str">
        <f t="shared" si="63"/>
        <v/>
      </c>
      <c r="U279" t="str">
        <f t="shared" si="64"/>
        <v/>
      </c>
    </row>
    <row r="280" spans="1:21">
      <c r="A280" t="str">
        <f t="shared" si="52"/>
        <v/>
      </c>
      <c r="B280" s="6"/>
      <c r="C280" t="str">
        <f t="shared" si="53"/>
        <v/>
      </c>
      <c r="D280" s="9"/>
      <c r="E280" s="9"/>
      <c r="F280" s="9"/>
      <c r="G280" s="8"/>
      <c r="H280" s="7" t="str">
        <f t="shared" si="54"/>
        <v/>
      </c>
      <c r="I280" s="9"/>
      <c r="J280" s="6"/>
      <c r="K280" t="str">
        <f t="shared" si="55"/>
        <v/>
      </c>
      <c r="L280" s="5" t="str">
        <f t="shared" si="56"/>
        <v/>
      </c>
      <c r="M280" s="5" t="str">
        <f t="shared" si="57"/>
        <v/>
      </c>
      <c r="N280" t="str">
        <f t="shared" si="58"/>
        <v/>
      </c>
      <c r="O280" s="10" t="str">
        <f t="shared" si="59"/>
        <v/>
      </c>
      <c r="P280" s="7" t="str">
        <f t="shared" si="60"/>
        <v/>
      </c>
      <c r="Q280" s="9"/>
      <c r="R280" s="5" t="str">
        <f t="shared" si="61"/>
        <v/>
      </c>
      <c r="S280" s="5" t="str">
        <f t="shared" si="62"/>
        <v/>
      </c>
      <c r="T280" s="7" t="str">
        <f t="shared" si="63"/>
        <v/>
      </c>
      <c r="U280" t="str">
        <f t="shared" si="64"/>
        <v/>
      </c>
    </row>
    <row r="281" spans="1:21">
      <c r="A281" t="str">
        <f t="shared" si="52"/>
        <v/>
      </c>
      <c r="B281" s="6"/>
      <c r="C281" t="str">
        <f t="shared" si="53"/>
        <v/>
      </c>
      <c r="D281" s="9"/>
      <c r="E281" s="9"/>
      <c r="F281" s="9"/>
      <c r="G281" s="8"/>
      <c r="H281" s="7" t="str">
        <f t="shared" si="54"/>
        <v/>
      </c>
      <c r="I281" s="9"/>
      <c r="J281" s="6"/>
      <c r="K281" t="str">
        <f t="shared" si="55"/>
        <v/>
      </c>
      <c r="L281" s="5" t="str">
        <f t="shared" si="56"/>
        <v/>
      </c>
      <c r="M281" s="5" t="str">
        <f t="shared" si="57"/>
        <v/>
      </c>
      <c r="N281" t="str">
        <f t="shared" si="58"/>
        <v/>
      </c>
      <c r="O281" s="10" t="str">
        <f t="shared" si="59"/>
        <v/>
      </c>
      <c r="P281" s="7" t="str">
        <f t="shared" si="60"/>
        <v/>
      </c>
      <c r="Q281" s="9"/>
      <c r="R281" s="5" t="str">
        <f t="shared" si="61"/>
        <v/>
      </c>
      <c r="S281" s="5" t="str">
        <f t="shared" si="62"/>
        <v/>
      </c>
      <c r="T281" s="7" t="str">
        <f t="shared" si="63"/>
        <v/>
      </c>
      <c r="U281" t="str">
        <f t="shared" si="64"/>
        <v/>
      </c>
    </row>
    <row r="282" spans="1:21">
      <c r="A282" t="str">
        <f t="shared" si="52"/>
        <v/>
      </c>
      <c r="B282" s="6"/>
      <c r="C282" t="str">
        <f t="shared" si="53"/>
        <v/>
      </c>
      <c r="D282" s="9"/>
      <c r="E282" s="9"/>
      <c r="F282" s="9"/>
      <c r="G282" s="8"/>
      <c r="H282" s="7" t="str">
        <f t="shared" si="54"/>
        <v/>
      </c>
      <c r="I282" s="9"/>
      <c r="J282" s="6"/>
      <c r="K282" t="str">
        <f t="shared" si="55"/>
        <v/>
      </c>
      <c r="L282" s="5" t="str">
        <f t="shared" si="56"/>
        <v/>
      </c>
      <c r="M282" s="5" t="str">
        <f t="shared" si="57"/>
        <v/>
      </c>
      <c r="N282" t="str">
        <f t="shared" si="58"/>
        <v/>
      </c>
      <c r="O282" s="10" t="str">
        <f t="shared" si="59"/>
        <v/>
      </c>
      <c r="P282" s="7" t="str">
        <f t="shared" si="60"/>
        <v/>
      </c>
      <c r="Q282" s="9"/>
      <c r="R282" s="5" t="str">
        <f t="shared" si="61"/>
        <v/>
      </c>
      <c r="S282" s="5" t="str">
        <f t="shared" si="62"/>
        <v/>
      </c>
      <c r="T282" s="7" t="str">
        <f t="shared" si="63"/>
        <v/>
      </c>
      <c r="U282" t="str">
        <f t="shared" si="64"/>
        <v/>
      </c>
    </row>
    <row r="283" spans="1:21">
      <c r="A283" t="str">
        <f t="shared" si="52"/>
        <v/>
      </c>
      <c r="B283" s="6"/>
      <c r="C283" t="str">
        <f t="shared" si="53"/>
        <v/>
      </c>
      <c r="D283" s="9"/>
      <c r="E283" s="9"/>
      <c r="F283" s="9"/>
      <c r="G283" s="8"/>
      <c r="H283" s="7" t="str">
        <f t="shared" si="54"/>
        <v/>
      </c>
      <c r="I283" s="9"/>
      <c r="J283" s="6"/>
      <c r="K283" t="str">
        <f t="shared" si="55"/>
        <v/>
      </c>
      <c r="L283" s="5" t="str">
        <f t="shared" si="56"/>
        <v/>
      </c>
      <c r="M283" s="5" t="str">
        <f t="shared" si="57"/>
        <v/>
      </c>
      <c r="N283" t="str">
        <f t="shared" si="58"/>
        <v/>
      </c>
      <c r="O283" s="10" t="str">
        <f t="shared" si="59"/>
        <v/>
      </c>
      <c r="P283" s="7" t="str">
        <f t="shared" si="60"/>
        <v/>
      </c>
      <c r="Q283" s="9"/>
      <c r="R283" s="5" t="str">
        <f t="shared" si="61"/>
        <v/>
      </c>
      <c r="S283" s="5" t="str">
        <f t="shared" si="62"/>
        <v/>
      </c>
      <c r="T283" s="7" t="str">
        <f t="shared" si="63"/>
        <v/>
      </c>
      <c r="U283" t="str">
        <f t="shared" si="64"/>
        <v/>
      </c>
    </row>
    <row r="284" spans="1:21">
      <c r="A284" t="str">
        <f t="shared" si="52"/>
        <v/>
      </c>
      <c r="B284" s="6"/>
      <c r="C284" t="str">
        <f t="shared" si="53"/>
        <v/>
      </c>
      <c r="D284" s="9"/>
      <c r="E284" s="9"/>
      <c r="F284" s="9"/>
      <c r="G284" s="8"/>
      <c r="H284" s="7" t="str">
        <f t="shared" si="54"/>
        <v/>
      </c>
      <c r="I284" s="9"/>
      <c r="J284" s="6"/>
      <c r="K284" t="str">
        <f t="shared" si="55"/>
        <v/>
      </c>
      <c r="L284" s="5" t="str">
        <f t="shared" si="56"/>
        <v/>
      </c>
      <c r="M284" s="5" t="str">
        <f t="shared" si="57"/>
        <v/>
      </c>
      <c r="N284" t="str">
        <f t="shared" si="58"/>
        <v/>
      </c>
      <c r="O284" s="10" t="str">
        <f t="shared" si="59"/>
        <v/>
      </c>
      <c r="P284" s="7" t="str">
        <f t="shared" si="60"/>
        <v/>
      </c>
      <c r="Q284" s="9"/>
      <c r="R284" s="5" t="str">
        <f t="shared" si="61"/>
        <v/>
      </c>
      <c r="S284" s="5" t="str">
        <f t="shared" si="62"/>
        <v/>
      </c>
      <c r="T284" s="7" t="str">
        <f t="shared" si="63"/>
        <v/>
      </c>
      <c r="U284" t="str">
        <f t="shared" si="64"/>
        <v/>
      </c>
    </row>
    <row r="285" spans="1:21">
      <c r="A285" t="str">
        <f t="shared" si="52"/>
        <v/>
      </c>
      <c r="B285" s="6"/>
      <c r="C285" t="str">
        <f t="shared" si="53"/>
        <v/>
      </c>
      <c r="D285" s="9"/>
      <c r="E285" s="9"/>
      <c r="F285" s="9"/>
      <c r="G285" s="8"/>
      <c r="H285" s="7" t="str">
        <f t="shared" si="54"/>
        <v/>
      </c>
      <c r="I285" s="9"/>
      <c r="J285" s="6"/>
      <c r="K285" t="str">
        <f t="shared" si="55"/>
        <v/>
      </c>
      <c r="L285" s="5" t="str">
        <f t="shared" si="56"/>
        <v/>
      </c>
      <c r="M285" s="5" t="str">
        <f t="shared" si="57"/>
        <v/>
      </c>
      <c r="N285" t="str">
        <f t="shared" si="58"/>
        <v/>
      </c>
      <c r="O285" s="10" t="str">
        <f t="shared" si="59"/>
        <v/>
      </c>
      <c r="P285" s="7" t="str">
        <f t="shared" si="60"/>
        <v/>
      </c>
      <c r="Q285" s="9"/>
      <c r="R285" s="5" t="str">
        <f t="shared" si="61"/>
        <v/>
      </c>
      <c r="S285" s="5" t="str">
        <f t="shared" si="62"/>
        <v/>
      </c>
      <c r="T285" s="7" t="str">
        <f t="shared" si="63"/>
        <v/>
      </c>
      <c r="U285" t="str">
        <f t="shared" si="64"/>
        <v/>
      </c>
    </row>
    <row r="286" spans="1:21">
      <c r="A286" t="str">
        <f t="shared" si="52"/>
        <v/>
      </c>
      <c r="B286" s="6"/>
      <c r="C286" t="str">
        <f t="shared" si="53"/>
        <v/>
      </c>
      <c r="D286" s="9"/>
      <c r="E286" s="9"/>
      <c r="F286" s="9"/>
      <c r="G286" s="8"/>
      <c r="H286" s="7" t="str">
        <f t="shared" si="54"/>
        <v/>
      </c>
      <c r="I286" s="9"/>
      <c r="J286" s="6"/>
      <c r="K286" t="str">
        <f t="shared" si="55"/>
        <v/>
      </c>
      <c r="L286" s="5" t="str">
        <f t="shared" si="56"/>
        <v/>
      </c>
      <c r="M286" s="5" t="str">
        <f t="shared" si="57"/>
        <v/>
      </c>
      <c r="N286" t="str">
        <f t="shared" si="58"/>
        <v/>
      </c>
      <c r="O286" s="10" t="str">
        <f t="shared" si="59"/>
        <v/>
      </c>
      <c r="P286" s="7" t="str">
        <f t="shared" si="60"/>
        <v/>
      </c>
      <c r="Q286" s="9"/>
      <c r="R286" s="5" t="str">
        <f t="shared" si="61"/>
        <v/>
      </c>
      <c r="S286" s="5" t="str">
        <f t="shared" si="62"/>
        <v/>
      </c>
      <c r="T286" s="7" t="str">
        <f t="shared" si="63"/>
        <v/>
      </c>
      <c r="U286" t="str">
        <f t="shared" si="64"/>
        <v/>
      </c>
    </row>
    <row r="287" spans="1:21">
      <c r="A287" t="str">
        <f t="shared" si="52"/>
        <v/>
      </c>
      <c r="B287" s="6"/>
      <c r="C287" t="str">
        <f t="shared" si="53"/>
        <v/>
      </c>
      <c r="D287" s="9"/>
      <c r="E287" s="9"/>
      <c r="F287" s="9"/>
      <c r="G287" s="8"/>
      <c r="H287" s="7" t="str">
        <f t="shared" si="54"/>
        <v/>
      </c>
      <c r="I287" s="9"/>
      <c r="J287" s="6"/>
      <c r="K287" t="str">
        <f t="shared" si="55"/>
        <v/>
      </c>
      <c r="L287" s="5" t="str">
        <f t="shared" si="56"/>
        <v/>
      </c>
      <c r="M287" s="5" t="str">
        <f t="shared" si="57"/>
        <v/>
      </c>
      <c r="N287" t="str">
        <f t="shared" si="58"/>
        <v/>
      </c>
      <c r="O287" s="10" t="str">
        <f t="shared" si="59"/>
        <v/>
      </c>
      <c r="P287" s="7" t="str">
        <f t="shared" si="60"/>
        <v/>
      </c>
      <c r="Q287" s="9"/>
      <c r="R287" s="5" t="str">
        <f t="shared" si="61"/>
        <v/>
      </c>
      <c r="S287" s="5" t="str">
        <f t="shared" si="62"/>
        <v/>
      </c>
      <c r="T287" s="7" t="str">
        <f t="shared" si="63"/>
        <v/>
      </c>
      <c r="U287" t="str">
        <f t="shared" si="64"/>
        <v/>
      </c>
    </row>
    <row r="288" spans="1:21">
      <c r="A288" t="str">
        <f t="shared" si="52"/>
        <v/>
      </c>
      <c r="B288" s="6"/>
      <c r="C288" t="str">
        <f t="shared" si="53"/>
        <v/>
      </c>
      <c r="D288" s="9"/>
      <c r="E288" s="9"/>
      <c r="F288" s="9"/>
      <c r="G288" s="8"/>
      <c r="H288" s="7" t="str">
        <f t="shared" si="54"/>
        <v/>
      </c>
      <c r="I288" s="9"/>
      <c r="J288" s="6"/>
      <c r="K288" t="str">
        <f t="shared" si="55"/>
        <v/>
      </c>
      <c r="L288" s="5" t="str">
        <f t="shared" si="56"/>
        <v/>
      </c>
      <c r="M288" s="5" t="str">
        <f t="shared" si="57"/>
        <v/>
      </c>
      <c r="N288" t="str">
        <f t="shared" si="58"/>
        <v/>
      </c>
      <c r="O288" s="10" t="str">
        <f t="shared" si="59"/>
        <v/>
      </c>
      <c r="P288" s="7" t="str">
        <f t="shared" si="60"/>
        <v/>
      </c>
      <c r="Q288" s="9"/>
      <c r="R288" s="5" t="str">
        <f t="shared" si="61"/>
        <v/>
      </c>
      <c r="S288" s="5" t="str">
        <f t="shared" si="62"/>
        <v/>
      </c>
      <c r="T288" s="7" t="str">
        <f t="shared" si="63"/>
        <v/>
      </c>
      <c r="U288" t="str">
        <f t="shared" si="64"/>
        <v/>
      </c>
    </row>
    <row r="289" spans="1:21">
      <c r="A289" t="str">
        <f t="shared" si="52"/>
        <v/>
      </c>
      <c r="B289" s="6"/>
      <c r="C289" t="str">
        <f t="shared" si="53"/>
        <v/>
      </c>
      <c r="D289" s="9"/>
      <c r="E289" s="9"/>
      <c r="F289" s="9"/>
      <c r="G289" s="8"/>
      <c r="H289" s="7" t="str">
        <f t="shared" si="54"/>
        <v/>
      </c>
      <c r="I289" s="9"/>
      <c r="J289" s="6"/>
      <c r="K289" t="str">
        <f t="shared" si="55"/>
        <v/>
      </c>
      <c r="L289" s="5" t="str">
        <f t="shared" si="56"/>
        <v/>
      </c>
      <c r="M289" s="5" t="str">
        <f t="shared" si="57"/>
        <v/>
      </c>
      <c r="N289" t="str">
        <f t="shared" si="58"/>
        <v/>
      </c>
      <c r="O289" s="10" t="str">
        <f t="shared" si="59"/>
        <v/>
      </c>
      <c r="P289" s="7" t="str">
        <f t="shared" si="60"/>
        <v/>
      </c>
      <c r="Q289" s="9"/>
      <c r="R289" s="5" t="str">
        <f t="shared" si="61"/>
        <v/>
      </c>
      <c r="S289" s="5" t="str">
        <f t="shared" si="62"/>
        <v/>
      </c>
      <c r="T289" s="7" t="str">
        <f t="shared" si="63"/>
        <v/>
      </c>
      <c r="U289" t="str">
        <f t="shared" si="64"/>
        <v/>
      </c>
    </row>
    <row r="290" spans="1:21">
      <c r="A290" t="str">
        <f t="shared" si="52"/>
        <v/>
      </c>
      <c r="B290" s="6"/>
      <c r="C290" t="str">
        <f t="shared" si="53"/>
        <v/>
      </c>
      <c r="D290" s="9"/>
      <c r="E290" s="9"/>
      <c r="F290" s="9"/>
      <c r="G290" s="8"/>
      <c r="H290" s="7" t="str">
        <f t="shared" si="54"/>
        <v/>
      </c>
      <c r="I290" s="9"/>
      <c r="J290" s="6"/>
      <c r="K290" t="str">
        <f t="shared" si="55"/>
        <v/>
      </c>
      <c r="L290" s="5" t="str">
        <f t="shared" si="56"/>
        <v/>
      </c>
      <c r="M290" s="5" t="str">
        <f t="shared" si="57"/>
        <v/>
      </c>
      <c r="N290" t="str">
        <f t="shared" si="58"/>
        <v/>
      </c>
      <c r="O290" s="10" t="str">
        <f t="shared" si="59"/>
        <v/>
      </c>
      <c r="P290" s="7" t="str">
        <f t="shared" si="60"/>
        <v/>
      </c>
      <c r="Q290" s="9"/>
      <c r="R290" s="5" t="str">
        <f t="shared" si="61"/>
        <v/>
      </c>
      <c r="S290" s="5" t="str">
        <f t="shared" si="62"/>
        <v/>
      </c>
      <c r="T290" s="7" t="str">
        <f t="shared" si="63"/>
        <v/>
      </c>
      <c r="U290" t="str">
        <f t="shared" si="64"/>
        <v/>
      </c>
    </row>
    <row r="291" spans="1:21">
      <c r="A291" t="str">
        <f t="shared" si="52"/>
        <v/>
      </c>
      <c r="B291" s="6"/>
      <c r="C291" t="str">
        <f t="shared" si="53"/>
        <v/>
      </c>
      <c r="D291" s="9"/>
      <c r="E291" s="9"/>
      <c r="F291" s="9"/>
      <c r="G291" s="8"/>
      <c r="H291" s="7" t="str">
        <f t="shared" si="54"/>
        <v/>
      </c>
      <c r="I291" s="9"/>
      <c r="J291" s="6"/>
      <c r="K291" t="str">
        <f t="shared" si="55"/>
        <v/>
      </c>
      <c r="L291" s="5" t="str">
        <f t="shared" si="56"/>
        <v/>
      </c>
      <c r="M291" s="5" t="str">
        <f t="shared" si="57"/>
        <v/>
      </c>
      <c r="N291" t="str">
        <f t="shared" si="58"/>
        <v/>
      </c>
      <c r="O291" s="10" t="str">
        <f t="shared" si="59"/>
        <v/>
      </c>
      <c r="P291" s="7" t="str">
        <f t="shared" si="60"/>
        <v/>
      </c>
      <c r="Q291" s="9"/>
      <c r="R291" s="5" t="str">
        <f t="shared" si="61"/>
        <v/>
      </c>
      <c r="S291" s="5" t="str">
        <f t="shared" si="62"/>
        <v/>
      </c>
      <c r="T291" s="7" t="str">
        <f t="shared" si="63"/>
        <v/>
      </c>
      <c r="U291" t="str">
        <f t="shared" si="64"/>
        <v/>
      </c>
    </row>
    <row r="292" spans="1:21">
      <c r="A292" t="str">
        <f t="shared" si="52"/>
        <v/>
      </c>
      <c r="B292" s="6"/>
      <c r="C292" t="str">
        <f t="shared" si="53"/>
        <v/>
      </c>
      <c r="D292" s="9"/>
      <c r="E292" s="9"/>
      <c r="F292" s="9"/>
      <c r="G292" s="8"/>
      <c r="H292" s="7" t="str">
        <f t="shared" si="54"/>
        <v/>
      </c>
      <c r="I292" s="9"/>
      <c r="J292" s="6"/>
      <c r="K292" t="str">
        <f t="shared" si="55"/>
        <v/>
      </c>
      <c r="L292" s="5" t="str">
        <f t="shared" si="56"/>
        <v/>
      </c>
      <c r="M292" s="5" t="str">
        <f t="shared" si="57"/>
        <v/>
      </c>
      <c r="N292" t="str">
        <f t="shared" si="58"/>
        <v/>
      </c>
      <c r="O292" s="10" t="str">
        <f t="shared" si="59"/>
        <v/>
      </c>
      <c r="P292" s="7" t="str">
        <f t="shared" si="60"/>
        <v/>
      </c>
      <c r="Q292" s="9"/>
      <c r="R292" s="5" t="str">
        <f t="shared" si="61"/>
        <v/>
      </c>
      <c r="S292" s="5" t="str">
        <f t="shared" si="62"/>
        <v/>
      </c>
      <c r="T292" s="7" t="str">
        <f t="shared" si="63"/>
        <v/>
      </c>
      <c r="U292" t="str">
        <f t="shared" si="64"/>
        <v/>
      </c>
    </row>
    <row r="293" spans="1:21">
      <c r="A293" t="str">
        <f t="shared" si="52"/>
        <v/>
      </c>
      <c r="B293" s="6"/>
      <c r="C293" t="str">
        <f t="shared" si="53"/>
        <v/>
      </c>
      <c r="D293" s="9"/>
      <c r="E293" s="9"/>
      <c r="F293" s="9"/>
      <c r="G293" s="8"/>
      <c r="H293" s="7" t="str">
        <f t="shared" si="54"/>
        <v/>
      </c>
      <c r="I293" s="9"/>
      <c r="J293" s="6"/>
      <c r="K293" t="str">
        <f t="shared" si="55"/>
        <v/>
      </c>
      <c r="L293" s="5" t="str">
        <f t="shared" si="56"/>
        <v/>
      </c>
      <c r="M293" s="5" t="str">
        <f t="shared" si="57"/>
        <v/>
      </c>
      <c r="N293" t="str">
        <f t="shared" si="58"/>
        <v/>
      </c>
      <c r="O293" s="10" t="str">
        <f t="shared" si="59"/>
        <v/>
      </c>
      <c r="P293" s="7" t="str">
        <f t="shared" si="60"/>
        <v/>
      </c>
      <c r="Q293" s="9"/>
      <c r="R293" s="5" t="str">
        <f t="shared" si="61"/>
        <v/>
      </c>
      <c r="S293" s="5" t="str">
        <f t="shared" si="62"/>
        <v/>
      </c>
      <c r="T293" s="7" t="str">
        <f t="shared" si="63"/>
        <v/>
      </c>
      <c r="U293" t="str">
        <f t="shared" si="64"/>
        <v/>
      </c>
    </row>
    <row r="294" spans="1:21">
      <c r="A294" t="str">
        <f t="shared" si="52"/>
        <v/>
      </c>
      <c r="B294" s="6"/>
      <c r="C294" t="str">
        <f t="shared" si="53"/>
        <v/>
      </c>
      <c r="D294" s="9"/>
      <c r="E294" s="9"/>
      <c r="F294" s="9"/>
      <c r="G294" s="8"/>
      <c r="H294" s="7" t="str">
        <f t="shared" si="54"/>
        <v/>
      </c>
      <c r="I294" s="9"/>
      <c r="J294" s="6"/>
      <c r="K294" t="str">
        <f t="shared" si="55"/>
        <v/>
      </c>
      <c r="L294" s="5" t="str">
        <f t="shared" si="56"/>
        <v/>
      </c>
      <c r="M294" s="5" t="str">
        <f t="shared" si="57"/>
        <v/>
      </c>
      <c r="N294" t="str">
        <f t="shared" si="58"/>
        <v/>
      </c>
      <c r="O294" s="10" t="str">
        <f t="shared" si="59"/>
        <v/>
      </c>
      <c r="P294" s="7" t="str">
        <f t="shared" si="60"/>
        <v/>
      </c>
      <c r="Q294" s="9"/>
      <c r="R294" s="5" t="str">
        <f t="shared" si="61"/>
        <v/>
      </c>
      <c r="S294" s="5" t="str">
        <f t="shared" si="62"/>
        <v/>
      </c>
      <c r="T294" s="7" t="str">
        <f t="shared" si="63"/>
        <v/>
      </c>
      <c r="U294" t="str">
        <f t="shared" si="64"/>
        <v/>
      </c>
    </row>
    <row r="295" spans="1:21">
      <c r="A295" t="str">
        <f t="shared" si="52"/>
        <v/>
      </c>
      <c r="B295" s="6"/>
      <c r="C295" t="str">
        <f t="shared" si="53"/>
        <v/>
      </c>
      <c r="D295" s="9"/>
      <c r="E295" s="9"/>
      <c r="F295" s="9"/>
      <c r="G295" s="8"/>
      <c r="H295" s="7" t="str">
        <f t="shared" si="54"/>
        <v/>
      </c>
      <c r="I295" s="9"/>
      <c r="J295" s="6"/>
      <c r="K295" t="str">
        <f t="shared" si="55"/>
        <v/>
      </c>
      <c r="L295" s="5" t="str">
        <f t="shared" si="56"/>
        <v/>
      </c>
      <c r="M295" s="5" t="str">
        <f t="shared" si="57"/>
        <v/>
      </c>
      <c r="N295" t="str">
        <f t="shared" si="58"/>
        <v/>
      </c>
      <c r="O295" s="10" t="str">
        <f t="shared" si="59"/>
        <v/>
      </c>
      <c r="P295" s="7" t="str">
        <f t="shared" si="60"/>
        <v/>
      </c>
      <c r="Q295" s="9"/>
      <c r="R295" s="5" t="str">
        <f t="shared" si="61"/>
        <v/>
      </c>
      <c r="S295" s="5" t="str">
        <f t="shared" si="62"/>
        <v/>
      </c>
      <c r="T295" s="7" t="str">
        <f t="shared" si="63"/>
        <v/>
      </c>
      <c r="U295" t="str">
        <f t="shared" si="64"/>
        <v/>
      </c>
    </row>
    <row r="296" spans="1:21">
      <c r="A296" t="str">
        <f t="shared" si="52"/>
        <v/>
      </c>
      <c r="B296" s="6"/>
      <c r="C296" t="str">
        <f t="shared" si="53"/>
        <v/>
      </c>
      <c r="D296" s="9"/>
      <c r="E296" s="9"/>
      <c r="F296" s="9"/>
      <c r="G296" s="8"/>
      <c r="H296" s="7" t="str">
        <f t="shared" si="54"/>
        <v/>
      </c>
      <c r="I296" s="9"/>
      <c r="J296" s="6"/>
      <c r="K296" t="str">
        <f t="shared" si="55"/>
        <v/>
      </c>
      <c r="L296" s="5" t="str">
        <f t="shared" si="56"/>
        <v/>
      </c>
      <c r="M296" s="5" t="str">
        <f t="shared" si="57"/>
        <v/>
      </c>
      <c r="N296" t="str">
        <f t="shared" si="58"/>
        <v/>
      </c>
      <c r="O296" s="10" t="str">
        <f t="shared" si="59"/>
        <v/>
      </c>
      <c r="P296" s="7" t="str">
        <f t="shared" si="60"/>
        <v/>
      </c>
      <c r="Q296" s="9"/>
      <c r="R296" s="5" t="str">
        <f t="shared" si="61"/>
        <v/>
      </c>
      <c r="S296" s="5" t="str">
        <f t="shared" si="62"/>
        <v/>
      </c>
      <c r="T296" s="7" t="str">
        <f t="shared" si="63"/>
        <v/>
      </c>
      <c r="U296" t="str">
        <f t="shared" si="64"/>
        <v/>
      </c>
    </row>
    <row r="297" spans="1:21">
      <c r="A297" t="str">
        <f t="shared" si="52"/>
        <v/>
      </c>
      <c r="B297" s="6"/>
      <c r="C297" t="str">
        <f t="shared" si="53"/>
        <v/>
      </c>
      <c r="D297" s="9"/>
      <c r="E297" s="9"/>
      <c r="F297" s="9"/>
      <c r="G297" s="8"/>
      <c r="H297" s="7" t="str">
        <f t="shared" si="54"/>
        <v/>
      </c>
      <c r="I297" s="9"/>
      <c r="J297" s="6"/>
      <c r="K297" t="str">
        <f t="shared" si="55"/>
        <v/>
      </c>
      <c r="L297" s="5" t="str">
        <f t="shared" si="56"/>
        <v/>
      </c>
      <c r="M297" s="5" t="str">
        <f t="shared" si="57"/>
        <v/>
      </c>
      <c r="N297" t="str">
        <f t="shared" si="58"/>
        <v/>
      </c>
      <c r="O297" s="10" t="str">
        <f t="shared" si="59"/>
        <v/>
      </c>
      <c r="P297" s="7" t="str">
        <f t="shared" si="60"/>
        <v/>
      </c>
      <c r="Q297" s="9"/>
      <c r="R297" s="5" t="str">
        <f t="shared" si="61"/>
        <v/>
      </c>
      <c r="S297" s="5" t="str">
        <f t="shared" si="62"/>
        <v/>
      </c>
      <c r="T297" s="7" t="str">
        <f t="shared" si="63"/>
        <v/>
      </c>
      <c r="U297" t="str">
        <f t="shared" si="64"/>
        <v/>
      </c>
    </row>
    <row r="298" spans="1:21">
      <c r="A298" t="str">
        <f t="shared" si="52"/>
        <v/>
      </c>
      <c r="B298" s="6"/>
      <c r="C298" t="str">
        <f t="shared" si="53"/>
        <v/>
      </c>
      <c r="D298" s="9"/>
      <c r="E298" s="9"/>
      <c r="F298" s="9"/>
      <c r="G298" s="8"/>
      <c r="H298" s="7" t="str">
        <f t="shared" si="54"/>
        <v/>
      </c>
      <c r="I298" s="9"/>
      <c r="J298" s="6"/>
      <c r="K298" t="str">
        <f t="shared" si="55"/>
        <v/>
      </c>
      <c r="L298" s="5" t="str">
        <f t="shared" si="56"/>
        <v/>
      </c>
      <c r="M298" s="5" t="str">
        <f t="shared" si="57"/>
        <v/>
      </c>
      <c r="N298" t="str">
        <f t="shared" si="58"/>
        <v/>
      </c>
      <c r="O298" s="10" t="str">
        <f t="shared" si="59"/>
        <v/>
      </c>
      <c r="P298" s="7" t="str">
        <f t="shared" si="60"/>
        <v/>
      </c>
      <c r="Q298" s="9"/>
      <c r="R298" s="5" t="str">
        <f t="shared" si="61"/>
        <v/>
      </c>
      <c r="S298" s="5" t="str">
        <f t="shared" si="62"/>
        <v/>
      </c>
      <c r="T298" s="7" t="str">
        <f t="shared" si="63"/>
        <v/>
      </c>
      <c r="U298" t="str">
        <f t="shared" si="64"/>
        <v/>
      </c>
    </row>
    <row r="299" spans="1:21">
      <c r="A299" t="str">
        <f t="shared" si="52"/>
        <v/>
      </c>
      <c r="B299" s="6"/>
      <c r="C299" t="str">
        <f t="shared" si="53"/>
        <v/>
      </c>
      <c r="D299" s="9"/>
      <c r="E299" s="9"/>
      <c r="F299" s="9"/>
      <c r="G299" s="8"/>
      <c r="H299" s="7" t="str">
        <f t="shared" si="54"/>
        <v/>
      </c>
      <c r="I299" s="9"/>
      <c r="J299" s="6"/>
      <c r="K299" t="str">
        <f t="shared" si="55"/>
        <v/>
      </c>
      <c r="L299" s="5" t="str">
        <f t="shared" si="56"/>
        <v/>
      </c>
      <c r="M299" s="5" t="str">
        <f t="shared" si="57"/>
        <v/>
      </c>
      <c r="N299" t="str">
        <f t="shared" si="58"/>
        <v/>
      </c>
      <c r="O299" s="10" t="str">
        <f t="shared" si="59"/>
        <v/>
      </c>
      <c r="P299" s="7" t="str">
        <f t="shared" si="60"/>
        <v/>
      </c>
      <c r="Q299" s="9"/>
      <c r="R299" s="5" t="str">
        <f t="shared" si="61"/>
        <v/>
      </c>
      <c r="S299" s="5" t="str">
        <f t="shared" si="62"/>
        <v/>
      </c>
      <c r="T299" s="7" t="str">
        <f t="shared" si="63"/>
        <v/>
      </c>
      <c r="U299" t="str">
        <f t="shared" si="64"/>
        <v/>
      </c>
    </row>
    <row r="300" spans="1:21">
      <c r="A300" t="str">
        <f t="shared" si="52"/>
        <v/>
      </c>
      <c r="B300" s="6"/>
      <c r="C300" t="str">
        <f t="shared" si="53"/>
        <v/>
      </c>
      <c r="D300" s="9"/>
      <c r="E300" s="9"/>
      <c r="F300" s="9"/>
      <c r="G300" s="8"/>
      <c r="H300" s="7" t="str">
        <f t="shared" si="54"/>
        <v/>
      </c>
      <c r="I300" s="9"/>
      <c r="J300" s="6"/>
      <c r="K300" t="str">
        <f t="shared" si="55"/>
        <v/>
      </c>
      <c r="L300" s="5" t="str">
        <f t="shared" si="56"/>
        <v/>
      </c>
      <c r="M300" s="5" t="str">
        <f t="shared" si="57"/>
        <v/>
      </c>
      <c r="N300" t="str">
        <f t="shared" si="58"/>
        <v/>
      </c>
      <c r="O300" s="10" t="str">
        <f t="shared" si="59"/>
        <v/>
      </c>
      <c r="P300" s="7" t="str">
        <f t="shared" si="60"/>
        <v/>
      </c>
      <c r="Q300" s="9"/>
      <c r="R300" s="5" t="str">
        <f t="shared" si="61"/>
        <v/>
      </c>
      <c r="S300" s="5" t="str">
        <f t="shared" si="62"/>
        <v/>
      </c>
      <c r="T300" s="7" t="str">
        <f t="shared" si="63"/>
        <v/>
      </c>
      <c r="U300" t="str">
        <f t="shared" si="64"/>
        <v/>
      </c>
    </row>
  </sheetData>
  <conditionalFormatting sqref="A5:Q300">
    <cfRule type="expression" dxfId="124" priority="1">
      <formula>LEFT($I5,8)="Supuesto"</formula>
    </cfRule>
    <cfRule type="expression" dxfId="123" priority="2">
      <formula>$I5="Simulado"</formula>
    </cfRule>
  </conditionalFormatting>
  <conditionalFormatting sqref="N5:N300">
    <cfRule type="expression" dxfId="122" priority="3">
      <formula>N5=0</formula>
    </cfRule>
  </conditionalFormatting>
  <dataValidations count="2">
    <dataValidation type="list" showErrorMessage="1" errorTitle="Valor no valido" error="Elegi un valor de la lista" sqref="D5:D300" xr:uid="{00000000-0002-0000-0400-000000000000}">
      <formula1>"BR,PY,BO"</formula1>
    </dataValidation>
    <dataValidation type="list" showErrorMessage="1" errorTitle="Valor no valido" error="Elegi un valor de la lista" sqref="I5:I300" xr:uid="{00000000-0002-0000-0400-000001000000}">
      <formula1>"Aloha,Dictado,Supuesto,Supuesto BR,Simulado"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18"/>
  <sheetViews>
    <sheetView workbookViewId="0">
      <pane xSplit="2" ySplit="5" topLeftCell="C6" activePane="bottomRight" state="frozen"/>
      <selection pane="topRight" activeCell="C1" sqref="C1"/>
      <selection pane="bottomLeft" activeCell="A6" sqref="A6"/>
      <selection pane="bottomRight"/>
    </sheetView>
  </sheetViews>
  <sheetFormatPr baseColWidth="10" defaultColWidth="9.140625" defaultRowHeight="15"/>
  <cols>
    <col min="1" max="1" width="12" customWidth="1"/>
    <col min="2" max="3" width="11" customWidth="1"/>
    <col min="4" max="4" width="10" customWidth="1"/>
    <col min="5" max="5" width="11" customWidth="1"/>
    <col min="6" max="6" width="10" customWidth="1"/>
    <col min="7" max="8" width="12" customWidth="1"/>
    <col min="9" max="9" width="13" customWidth="1"/>
    <col min="10" max="10" width="12" customWidth="1"/>
    <col min="11" max="11" width="11" customWidth="1"/>
    <col min="12" max="12" width="12" customWidth="1"/>
    <col min="13" max="13" width="10" customWidth="1"/>
    <col min="14" max="14" width="22" customWidth="1"/>
    <col min="15" max="15" width="10" customWidth="1"/>
    <col min="16" max="16" width="7" customWidth="1"/>
    <col min="17" max="17" width="10" customWidth="1"/>
    <col min="18" max="18" width="7" customWidth="1"/>
    <col min="19" max="19" width="10" customWidth="1"/>
    <col min="20" max="20" width="7" customWidth="1"/>
    <col min="21" max="21" width="12" customWidth="1"/>
  </cols>
  <sheetData>
    <row r="1" spans="1:21" ht="21">
      <c r="A1" s="1" t="s">
        <v>228</v>
      </c>
    </row>
    <row r="2" spans="1:21">
      <c r="A2" s="2" t="s">
        <v>229</v>
      </c>
    </row>
    <row r="5" spans="1:21" ht="75">
      <c r="A5" s="11" t="s">
        <v>139</v>
      </c>
      <c r="B5" s="11" t="s">
        <v>160</v>
      </c>
      <c r="C5" s="11" t="s">
        <v>230</v>
      </c>
      <c r="D5" s="11" t="s">
        <v>231</v>
      </c>
      <c r="E5" s="11" t="s">
        <v>232</v>
      </c>
      <c r="F5" s="11" t="s">
        <v>233</v>
      </c>
      <c r="G5" s="11" t="s">
        <v>234</v>
      </c>
      <c r="H5" s="11" t="s">
        <v>235</v>
      </c>
      <c r="I5" s="11" t="s">
        <v>236</v>
      </c>
      <c r="J5" s="11" t="s">
        <v>237</v>
      </c>
      <c r="K5" s="11" t="s">
        <v>238</v>
      </c>
      <c r="L5" s="11" t="s">
        <v>239</v>
      </c>
      <c r="M5" s="11" t="s">
        <v>240</v>
      </c>
      <c r="N5" s="11" t="s">
        <v>178</v>
      </c>
      <c r="O5" s="11" t="s">
        <v>241</v>
      </c>
      <c r="P5" s="11" t="s">
        <v>242</v>
      </c>
      <c r="Q5" s="11" t="s">
        <v>243</v>
      </c>
      <c r="R5" s="11" t="s">
        <v>244</v>
      </c>
      <c r="S5" s="11" t="s">
        <v>245</v>
      </c>
      <c r="T5" s="11" t="s">
        <v>246</v>
      </c>
      <c r="U5" s="11" t="s">
        <v>247</v>
      </c>
    </row>
    <row r="6" spans="1:21">
      <c r="A6" s="5">
        <f>Demanda!A6</f>
        <v>46286</v>
      </c>
      <c r="B6" s="5">
        <f t="shared" ref="B6:B18" si="0">A6+5</f>
        <v>46291</v>
      </c>
      <c r="C6" s="7">
        <f>ConteoTotal</f>
        <v>26972</v>
      </c>
      <c r="D6" s="7">
        <f t="shared" ref="D6:D18" si="1">COUNTIFS(CgSemana,A6,CgCuenta,1)</f>
        <v>1</v>
      </c>
      <c r="E6" s="7">
        <f t="shared" ref="E6:E18" si="2">SUMIFS(CgCajas,CgSemana,A6,CgCuenta,1)</f>
        <v>980</v>
      </c>
      <c r="F6" s="7">
        <f>ROUND(Demanda!H6*MAX(0,MIN(DiasVenta,B6-FechaConteo))/DiasVenta,0)</f>
        <v>0</v>
      </c>
      <c r="G6" s="7">
        <f t="shared" ref="G6:G18" si="3">C6+E6-F6</f>
        <v>27952</v>
      </c>
      <c r="H6" s="7">
        <f>0</f>
        <v>0</v>
      </c>
      <c r="I6" s="12">
        <f t="shared" ref="I6:I18" si="4">G6+H6</f>
        <v>27952</v>
      </c>
      <c r="J6" s="21">
        <f t="shared" ref="J6:J18" si="5">B6-MAX(LagBR,LagPY)-AtrasoDias</f>
        <v>46287</v>
      </c>
      <c r="K6" s="3">
        <f t="shared" ref="K6:K18" ca="1" si="6">IF(AND(I6&lt;MinimoSabado,J6&gt;=FechaHoy),ROUNDUP((MinimoSabado-I6)/CajasProm,0),0)</f>
        <v>0</v>
      </c>
      <c r="L6" s="7">
        <f t="shared" ref="L6:L18" ca="1" si="7">I6+K6*CajasProm</f>
        <v>27952</v>
      </c>
      <c r="M6" s="22">
        <f ca="1">IF(Demanda!H7=0,"",L6/(Demanda!H7/DiasVenta))</f>
        <v>10.482000000000001</v>
      </c>
      <c r="N6" t="str">
        <f t="shared" ref="N6:N18" ca="1" si="8">IF(I6&lt;0,"FALTA",IF(K6&gt;0,"CARGAR "&amp;K6,IF(I6&lt;MinimoSabado,"BAJO MINIMO (limite pasado)",IF(AND(M6&lt;&gt;"",M6&gt;VidaVerde),"EXCESO (merma)","OK"))))</f>
        <v>OK</v>
      </c>
      <c r="O6" s="7">
        <f>ConteoBR+SUMIFS(CgCajas,CgSemana,A6,CgCuenta,1,CgOrigen,"BR")-ROUND(Demanda!L6*MAX(0,MIN(DiasVenta,B6-FechaConteo))/DiasVenta,0)</f>
        <v>11653</v>
      </c>
      <c r="P6" s="22">
        <f>IF(Demanda!L7=0,"",O6/(Demanda!L7/DiasVenta))</f>
        <v>8.0923611111111118</v>
      </c>
      <c r="Q6" s="7">
        <f>ConteoPY+SUMIFS(CgCajas,CgSemana,A6,CgCuenta,1,CgOrigen,"PY")-ROUND(Demanda!M6*MAX(0,MIN(DiasVenta,B6-FechaConteo))/DiasVenta,0)</f>
        <v>14653</v>
      </c>
      <c r="R6" s="22">
        <f>IF(Demanda!M7=0,"",Q6/(Demanda!M7/DiasVenta))</f>
        <v>13.946383248730964</v>
      </c>
      <c r="S6" s="7">
        <f>ConteoBO+SUMIFS(CgCajas,CgSemana,A6,CgCuenta,1,CgOrigen,"BO")-ROUND(Demanda!N6*MAX(0,MIN(DiasVenta,B6-FechaConteo))/DiasVenta,0)</f>
        <v>1646</v>
      </c>
      <c r="T6" s="22">
        <f>IF(Demanda!N7=0,"",S6/(Demanda!N7/DiasVenta))</f>
        <v>9.3522727272727266</v>
      </c>
      <c r="U6" t="str">
        <f t="shared" ref="U6:U18" si="9">IF(P6=MIN(P6,R6,T6),"Brasil",IF(R6=MIN(P6,R6,T6),"Paraguay","Bolivia"))</f>
        <v>Brasil</v>
      </c>
    </row>
    <row r="7" spans="1:21">
      <c r="A7" s="5">
        <f>Demanda!A7</f>
        <v>46293</v>
      </c>
      <c r="B7" s="5">
        <f t="shared" si="0"/>
        <v>46298</v>
      </c>
      <c r="C7" s="7">
        <f t="shared" ref="C7:C18" si="10">G6</f>
        <v>27952</v>
      </c>
      <c r="D7" s="7">
        <f t="shared" si="1"/>
        <v>11</v>
      </c>
      <c r="E7" s="7">
        <f t="shared" si="2"/>
        <v>10946</v>
      </c>
      <c r="F7" s="7">
        <f>ROUND(Demanda!H7,0)</f>
        <v>16000</v>
      </c>
      <c r="G7" s="7">
        <f t="shared" si="3"/>
        <v>22898</v>
      </c>
      <c r="H7" s="7">
        <f ca="1">SUM($K$6:K6)*CajasProm</f>
        <v>0</v>
      </c>
      <c r="I7" s="12">
        <f t="shared" ca="1" si="4"/>
        <v>22898</v>
      </c>
      <c r="J7" s="21">
        <f t="shared" si="5"/>
        <v>46294</v>
      </c>
      <c r="K7" s="3">
        <f t="shared" ca="1" si="6"/>
        <v>0</v>
      </c>
      <c r="L7" s="7">
        <f t="shared" ca="1" si="7"/>
        <v>22898</v>
      </c>
      <c r="M7" s="22">
        <f ca="1">IF(Demanda!H8=0,"",L7/(Demanda!H8/DiasVenta))</f>
        <v>8.0816470588235294</v>
      </c>
      <c r="N7" t="str">
        <f t="shared" ca="1" si="8"/>
        <v>OK</v>
      </c>
      <c r="O7" s="7">
        <f>O6+SUMIFS(CgCajas,CgSemana,A7,CgCuenta,1,CgOrigen,"BR")-ROUND(Demanda!L7,0)</f>
        <v>8989</v>
      </c>
      <c r="P7" s="22">
        <f>IF(Demanda!L8=0,"",O7/(Demanda!L8/DiasVenta))</f>
        <v>5.1419582419677754</v>
      </c>
      <c r="Q7" s="7">
        <f>Q6+SUMIFS(CgCajas,CgSemana,A7,CgCuenta,1,CgOrigen,"PY")-ROUND(Demanda!M7,0)</f>
        <v>12269</v>
      </c>
      <c r="R7" s="22">
        <f>IF(Demanda!M8=0,"",Q7/(Demanda!M8/DiasVenta))</f>
        <v>13.878959276018099</v>
      </c>
      <c r="S7" s="7">
        <f>S6+SUMIFS(CgCajas,CgSemana,A7,CgCuenta,1,CgOrigen,"BO")-ROUND(Demanda!N7,0)</f>
        <v>1640</v>
      </c>
      <c r="T7" s="22">
        <f>IF(Demanda!N8=0,"",S7/(Demanda!N8/DiasVenta))</f>
        <v>8.1524440762220394</v>
      </c>
      <c r="U7" t="str">
        <f t="shared" si="9"/>
        <v>Brasil</v>
      </c>
    </row>
    <row r="8" spans="1:21">
      <c r="A8" s="5">
        <f>Demanda!A8</f>
        <v>46300</v>
      </c>
      <c r="B8" s="5">
        <f t="shared" si="0"/>
        <v>46305</v>
      </c>
      <c r="C8" s="7">
        <f t="shared" si="10"/>
        <v>22898</v>
      </c>
      <c r="D8" s="7">
        <f t="shared" si="1"/>
        <v>13</v>
      </c>
      <c r="E8" s="7">
        <f t="shared" si="2"/>
        <v>12892</v>
      </c>
      <c r="F8" s="7">
        <f>ROUND(Demanda!H8,0)</f>
        <v>17000</v>
      </c>
      <c r="G8" s="7">
        <f t="shared" si="3"/>
        <v>18790</v>
      </c>
      <c r="H8" s="7">
        <f ca="1">SUM($K$6:K7)*CajasProm</f>
        <v>0</v>
      </c>
      <c r="I8" s="12">
        <f t="shared" ca="1" si="4"/>
        <v>18790</v>
      </c>
      <c r="J8" s="21">
        <f t="shared" si="5"/>
        <v>46301</v>
      </c>
      <c r="K8" s="3">
        <f t="shared" ca="1" si="6"/>
        <v>4</v>
      </c>
      <c r="L8" s="7">
        <f t="shared" ca="1" si="7"/>
        <v>22790</v>
      </c>
      <c r="M8" s="22">
        <f ca="1">IF(Demanda!H9=0,"",L8/(Demanda!H9/DiasVenta))</f>
        <v>8.0435294117647054</v>
      </c>
      <c r="N8" t="str">
        <f t="shared" ca="1" si="8"/>
        <v>CARGAR 4</v>
      </c>
      <c r="O8" s="7">
        <f>O7+SUMIFS(CgCajas,CgSemana,A8,CgCuenta,1,CgOrigen,"BR")-ROUND(Demanda!L8,0)</f>
        <v>6492</v>
      </c>
      <c r="P8" s="22">
        <f>IF(Demanda!L9=0,"",O8/(Demanda!L9/DiasVenta))</f>
        <v>3.7136047287634661</v>
      </c>
      <c r="Q8" s="7">
        <f>Q7+SUMIFS(CgCajas,CgSemana,A8,CgCuenta,1,CgOrigen,"PY")-ROUND(Demanda!M8,0)</f>
        <v>11865</v>
      </c>
      <c r="R8" s="22">
        <f>IF(Demanda!M9=0,"",Q8/(Demanda!M9/DiasVenta))</f>
        <v>13.421945701357465</v>
      </c>
      <c r="S8" s="7">
        <f>S7+SUMIFS(CgCajas,CgSemana,A8,CgCuenta,1,CgOrigen,"BO")-ROUND(Demanda!N8,0)</f>
        <v>433</v>
      </c>
      <c r="T8" s="22">
        <f>IF(Demanda!N9=0,"",S8/(Demanda!N9/DiasVenta))</f>
        <v>2.152444076222038</v>
      </c>
      <c r="U8" t="str">
        <f t="shared" si="9"/>
        <v>Bolivia</v>
      </c>
    </row>
    <row r="9" spans="1:21">
      <c r="A9" s="5">
        <f>Demanda!A9</f>
        <v>46307</v>
      </c>
      <c r="B9" s="5">
        <f t="shared" si="0"/>
        <v>46312</v>
      </c>
      <c r="C9" s="7">
        <f t="shared" si="10"/>
        <v>18790</v>
      </c>
      <c r="D9" s="7">
        <f t="shared" si="1"/>
        <v>13</v>
      </c>
      <c r="E9" s="7">
        <f t="shared" si="2"/>
        <v>12964</v>
      </c>
      <c r="F9" s="7">
        <f>ROUND(Demanda!H9,0)</f>
        <v>17000</v>
      </c>
      <c r="G9" s="7">
        <f t="shared" si="3"/>
        <v>14754</v>
      </c>
      <c r="H9" s="7">
        <f ca="1">SUM($K$6:K8)*CajasProm</f>
        <v>4000</v>
      </c>
      <c r="I9" s="12">
        <f t="shared" ca="1" si="4"/>
        <v>18754</v>
      </c>
      <c r="J9" s="21">
        <f t="shared" si="5"/>
        <v>46308</v>
      </c>
      <c r="K9" s="3">
        <f t="shared" ca="1" si="6"/>
        <v>4</v>
      </c>
      <c r="L9" s="7">
        <f t="shared" ca="1" si="7"/>
        <v>22754</v>
      </c>
      <c r="M9" s="22">
        <f ca="1">IF(Demanda!H10=0,"",L9/(Demanda!H10/DiasVenta))</f>
        <v>8.030823529411764</v>
      </c>
      <c r="N9" t="str">
        <f t="shared" ca="1" si="8"/>
        <v>CARGAR 4</v>
      </c>
      <c r="O9" s="7">
        <f>O8+SUMIFS(CgCajas,CgSemana,A9,CgCuenta,1,CgOrigen,"BR")-ROUND(Demanda!L9,0)</f>
        <v>4067</v>
      </c>
      <c r="P9" s="22">
        <f>IF(Demanda!L10=0,"",O9/(Demanda!L10/DiasVenta))</f>
        <v>2.3264372199447041</v>
      </c>
      <c r="Q9" s="7">
        <f>Q8+SUMIFS(CgCajas,CgSemana,A9,CgCuenta,1,CgOrigen,"PY")-ROUND(Demanda!M9,0)</f>
        <v>11461</v>
      </c>
      <c r="R9" s="22">
        <f>IF(Demanda!M10=0,"",Q9/(Demanda!M10/DiasVenta))</f>
        <v>12.964932126696832</v>
      </c>
      <c r="S9" s="7">
        <f>S8+SUMIFS(CgCajas,CgSemana,A9,CgCuenta,1,CgOrigen,"BO")-ROUND(Demanda!N9,0)</f>
        <v>-774</v>
      </c>
      <c r="T9" s="22">
        <f>IF(Demanda!N10=0,"",S9/(Demanda!N10/DiasVenta))</f>
        <v>-3.847555923777962</v>
      </c>
      <c r="U9" t="str">
        <f t="shared" si="9"/>
        <v>Bolivia</v>
      </c>
    </row>
    <row r="10" spans="1:21">
      <c r="A10" s="5">
        <f>Demanda!A10</f>
        <v>46314</v>
      </c>
      <c r="B10" s="5">
        <f t="shared" si="0"/>
        <v>46319</v>
      </c>
      <c r="C10" s="7">
        <f t="shared" si="10"/>
        <v>14754</v>
      </c>
      <c r="D10" s="7">
        <f t="shared" si="1"/>
        <v>13</v>
      </c>
      <c r="E10" s="7">
        <f t="shared" si="2"/>
        <v>12964</v>
      </c>
      <c r="F10" s="7">
        <f>ROUND(Demanda!H10,0)</f>
        <v>17000</v>
      </c>
      <c r="G10" s="7">
        <f t="shared" si="3"/>
        <v>10718</v>
      </c>
      <c r="H10" s="7">
        <f ca="1">SUM($K$6:K9)*CajasProm</f>
        <v>8000</v>
      </c>
      <c r="I10" s="12">
        <f t="shared" ca="1" si="4"/>
        <v>18718</v>
      </c>
      <c r="J10" s="21">
        <f t="shared" si="5"/>
        <v>46315</v>
      </c>
      <c r="K10" s="3">
        <f t="shared" ca="1" si="6"/>
        <v>4</v>
      </c>
      <c r="L10" s="7">
        <f t="shared" ca="1" si="7"/>
        <v>22718</v>
      </c>
      <c r="M10" s="22">
        <f ca="1">IF(Demanda!H11=0,"",L10/(Demanda!H11/DiasVenta))</f>
        <v>8.0181176470588227</v>
      </c>
      <c r="N10" t="str">
        <f t="shared" ca="1" si="8"/>
        <v>CARGAR 4</v>
      </c>
      <c r="O10" s="7">
        <f>O9+SUMIFS(CgCajas,CgSemana,A10,CgCuenta,1,CgOrigen,"BR")-ROUND(Demanda!L10,0)</f>
        <v>1642</v>
      </c>
      <c r="P10" s="22">
        <f>IF(Demanda!L11=0,"",O10/(Demanda!L11/DiasVenta))</f>
        <v>0.93926971112594138</v>
      </c>
      <c r="Q10" s="7">
        <f>Q9+SUMIFS(CgCajas,CgSemana,A10,CgCuenta,1,CgOrigen,"PY")-ROUND(Demanda!M10,0)</f>
        <v>11057</v>
      </c>
      <c r="R10" s="22">
        <f>IF(Demanda!M11=0,"",Q10/(Demanda!M11/DiasVenta))</f>
        <v>12.5079185520362</v>
      </c>
      <c r="S10" s="7">
        <f>S9+SUMIFS(CgCajas,CgSemana,A10,CgCuenta,1,CgOrigen,"BO")-ROUND(Demanda!N10,0)</f>
        <v>-1981</v>
      </c>
      <c r="T10" s="22">
        <f>IF(Demanda!N11=0,"",S10/(Demanda!N11/DiasVenta))</f>
        <v>-9.8475559237779624</v>
      </c>
      <c r="U10" t="str">
        <f t="shared" si="9"/>
        <v>Bolivia</v>
      </c>
    </row>
    <row r="11" spans="1:21">
      <c r="A11" s="5">
        <f>Demanda!A11</f>
        <v>46321</v>
      </c>
      <c r="B11" s="5">
        <f t="shared" si="0"/>
        <v>46326</v>
      </c>
      <c r="C11" s="7">
        <f t="shared" si="10"/>
        <v>10718</v>
      </c>
      <c r="D11" s="7">
        <f t="shared" si="1"/>
        <v>8</v>
      </c>
      <c r="E11" s="7">
        <f t="shared" si="2"/>
        <v>8064</v>
      </c>
      <c r="F11" s="7">
        <f>ROUND(Demanda!H11,0)</f>
        <v>17000</v>
      </c>
      <c r="G11" s="7">
        <f t="shared" si="3"/>
        <v>1782</v>
      </c>
      <c r="H11" s="7">
        <f ca="1">SUM($K$6:K10)*CajasProm</f>
        <v>12000</v>
      </c>
      <c r="I11" s="12">
        <f t="shared" ca="1" si="4"/>
        <v>13782</v>
      </c>
      <c r="J11" s="21">
        <f t="shared" si="5"/>
        <v>46322</v>
      </c>
      <c r="K11" s="3">
        <f t="shared" ca="1" si="6"/>
        <v>9</v>
      </c>
      <c r="L11" s="7">
        <f t="shared" ca="1" si="7"/>
        <v>22782</v>
      </c>
      <c r="M11" s="22">
        <f ca="1">IF(Demanda!H12=0,"",L11/(Demanda!H12/DiasVenta))</f>
        <v>8.04070588235294</v>
      </c>
      <c r="N11" t="str">
        <f t="shared" ca="1" si="8"/>
        <v>CARGAR 9</v>
      </c>
      <c r="O11" s="7">
        <f>O10+SUMIFS(CgCajas,CgSemana,A11,CgCuenta,1,CgOrigen,"BR")-ROUND(Demanda!L11,0)</f>
        <v>-783</v>
      </c>
      <c r="P11" s="22">
        <f>IF(Demanda!L12=0,"",O11/(Demanda!L12/DiasVenta))</f>
        <v>-0.44789779769282101</v>
      </c>
      <c r="Q11" s="7">
        <f>Q10+SUMIFS(CgCajas,CgSemana,A11,CgCuenta,1,CgOrigen,"PY")-ROUND(Demanda!M11,0)</f>
        <v>5753</v>
      </c>
      <c r="R11" s="22">
        <f>IF(Demanda!M12=0,"",Q11/(Demanda!M12/DiasVenta))</f>
        <v>6.5079185520361991</v>
      </c>
      <c r="S11" s="7">
        <f>S10+SUMIFS(CgCajas,CgSemana,A11,CgCuenta,1,CgOrigen,"BO")-ROUND(Demanda!N11,0)</f>
        <v>-3188</v>
      </c>
      <c r="T11" s="22">
        <f>IF(Demanda!N12=0,"",S11/(Demanda!N12/DiasVenta))</f>
        <v>-15.847555923777962</v>
      </c>
      <c r="U11" t="str">
        <f t="shared" si="9"/>
        <v>Bolivia</v>
      </c>
    </row>
    <row r="12" spans="1:21">
      <c r="A12" s="5">
        <f>Demanda!A12</f>
        <v>46328</v>
      </c>
      <c r="B12" s="5">
        <f t="shared" si="0"/>
        <v>46333</v>
      </c>
      <c r="C12" s="7">
        <f t="shared" si="10"/>
        <v>1782</v>
      </c>
      <c r="D12" s="7">
        <f t="shared" si="1"/>
        <v>8</v>
      </c>
      <c r="E12" s="7">
        <f t="shared" si="2"/>
        <v>8064</v>
      </c>
      <c r="F12" s="7">
        <f>ROUND(Demanda!H12,0)</f>
        <v>17000</v>
      </c>
      <c r="G12" s="7">
        <f t="shared" si="3"/>
        <v>-7154</v>
      </c>
      <c r="H12" s="7">
        <f ca="1">SUM($K$6:K11)*CajasProm</f>
        <v>21000</v>
      </c>
      <c r="I12" s="12">
        <f t="shared" ca="1" si="4"/>
        <v>13846</v>
      </c>
      <c r="J12" s="21">
        <f t="shared" si="5"/>
        <v>46329</v>
      </c>
      <c r="K12" s="3">
        <f t="shared" ca="1" si="6"/>
        <v>9</v>
      </c>
      <c r="L12" s="7">
        <f t="shared" ca="1" si="7"/>
        <v>22846</v>
      </c>
      <c r="M12" s="22">
        <f ca="1">IF(Demanda!H13=0,"",L12/(Demanda!H13/DiasVenta))</f>
        <v>8.0632941176470592</v>
      </c>
      <c r="N12" t="str">
        <f t="shared" ca="1" si="8"/>
        <v>CARGAR 9</v>
      </c>
      <c r="O12" s="7">
        <f>O11+SUMIFS(CgCajas,CgSemana,A12,CgCuenta,1,CgOrigen,"BR")-ROUND(Demanda!L12,0)</f>
        <v>-3208</v>
      </c>
      <c r="P12" s="22">
        <f>IF(Demanda!L13=0,"",O12/(Demanda!L13/DiasVenta))</f>
        <v>-1.8350653065115834</v>
      </c>
      <c r="Q12" s="7">
        <f>Q11+SUMIFS(CgCajas,CgSemana,A12,CgCuenta,1,CgOrigen,"PY")-ROUND(Demanda!M12,0)</f>
        <v>449</v>
      </c>
      <c r="R12" s="22">
        <f>IF(Demanda!M13=0,"",Q12/(Demanda!M13/DiasVenta))</f>
        <v>0.50791855203619907</v>
      </c>
      <c r="S12" s="7">
        <f>S11+SUMIFS(CgCajas,CgSemana,A12,CgCuenta,1,CgOrigen,"BO")-ROUND(Demanda!N12,0)</f>
        <v>-4395</v>
      </c>
      <c r="T12" s="22">
        <f>IF(Demanda!N13=0,"",S12/(Demanda!N13/DiasVenta))</f>
        <v>-21.847555923777964</v>
      </c>
      <c r="U12" t="str">
        <f t="shared" si="9"/>
        <v>Bolivia</v>
      </c>
    </row>
    <row r="13" spans="1:21">
      <c r="A13" s="5">
        <f>Demanda!A13</f>
        <v>46335</v>
      </c>
      <c r="B13" s="5">
        <f t="shared" si="0"/>
        <v>46340</v>
      </c>
      <c r="C13" s="7">
        <f t="shared" si="10"/>
        <v>-7154</v>
      </c>
      <c r="D13" s="7">
        <f t="shared" si="1"/>
        <v>8</v>
      </c>
      <c r="E13" s="7">
        <f t="shared" si="2"/>
        <v>8064</v>
      </c>
      <c r="F13" s="7">
        <f>ROUND(Demanda!H13,0)</f>
        <v>17000</v>
      </c>
      <c r="G13" s="7">
        <f t="shared" si="3"/>
        <v>-16090</v>
      </c>
      <c r="H13" s="7">
        <f ca="1">SUM($K$6:K12)*CajasProm</f>
        <v>30000</v>
      </c>
      <c r="I13" s="12">
        <f t="shared" ca="1" si="4"/>
        <v>13910</v>
      </c>
      <c r="J13" s="21">
        <f t="shared" si="5"/>
        <v>46336</v>
      </c>
      <c r="K13" s="3">
        <f t="shared" ca="1" si="6"/>
        <v>9</v>
      </c>
      <c r="L13" s="7">
        <f t="shared" ca="1" si="7"/>
        <v>22910</v>
      </c>
      <c r="M13" s="22">
        <f ca="1">IF(Demanda!H14=0,"",L13/(Demanda!H14/DiasVenta))</f>
        <v>8.0858823529411765</v>
      </c>
      <c r="N13" t="str">
        <f t="shared" ca="1" si="8"/>
        <v>CARGAR 9</v>
      </c>
      <c r="O13" s="7">
        <f>O12+SUMIFS(CgCajas,CgSemana,A13,CgCuenta,1,CgOrigen,"BR")-ROUND(Demanda!L13,0)</f>
        <v>-5633</v>
      </c>
      <c r="P13" s="22">
        <f>IF(Demanda!L14=0,"",O13/(Demanda!L14/DiasVenta))</f>
        <v>-3.2222328153303459</v>
      </c>
      <c r="Q13" s="7">
        <f>Q12+SUMIFS(CgCajas,CgSemana,A13,CgCuenta,1,CgOrigen,"PY")-ROUND(Demanda!M13,0)</f>
        <v>-4855</v>
      </c>
      <c r="R13" s="22">
        <f>IF(Demanda!M14=0,"",Q13/(Demanda!M14/DiasVenta))</f>
        <v>-5.4920814479638009</v>
      </c>
      <c r="S13" s="7">
        <f>S12+SUMIFS(CgCajas,CgSemana,A13,CgCuenta,1,CgOrigen,"BO")-ROUND(Demanda!N13,0)</f>
        <v>-5602</v>
      </c>
      <c r="T13" s="22">
        <f>IF(Demanda!N14=0,"",S13/(Demanda!N14/DiasVenta))</f>
        <v>-27.847555923777964</v>
      </c>
      <c r="U13" t="str">
        <f t="shared" si="9"/>
        <v>Bolivia</v>
      </c>
    </row>
    <row r="14" spans="1:21">
      <c r="A14" s="5">
        <f>Demanda!A14</f>
        <v>46342</v>
      </c>
      <c r="B14" s="5">
        <f t="shared" si="0"/>
        <v>46347</v>
      </c>
      <c r="C14" s="7">
        <f t="shared" si="10"/>
        <v>-16090</v>
      </c>
      <c r="D14" s="7">
        <f t="shared" si="1"/>
        <v>8</v>
      </c>
      <c r="E14" s="7">
        <f t="shared" si="2"/>
        <v>8064</v>
      </c>
      <c r="F14" s="7">
        <f>ROUND(Demanda!H14,0)</f>
        <v>17000</v>
      </c>
      <c r="G14" s="7">
        <f t="shared" si="3"/>
        <v>-25026</v>
      </c>
      <c r="H14" s="7">
        <f ca="1">SUM($K$6:K13)*CajasProm</f>
        <v>39000</v>
      </c>
      <c r="I14" s="12">
        <f t="shared" ca="1" si="4"/>
        <v>13974</v>
      </c>
      <c r="J14" s="21">
        <f t="shared" si="5"/>
        <v>46343</v>
      </c>
      <c r="K14" s="3">
        <f t="shared" ca="1" si="6"/>
        <v>9</v>
      </c>
      <c r="L14" s="7">
        <f t="shared" ca="1" si="7"/>
        <v>22974</v>
      </c>
      <c r="M14" s="22">
        <f ca="1">IF(Demanda!H15=0,"",L14/(Demanda!H15/DiasVenta))</f>
        <v>8.1084705882352939</v>
      </c>
      <c r="N14" t="str">
        <f t="shared" ca="1" si="8"/>
        <v>CARGAR 9</v>
      </c>
      <c r="O14" s="7">
        <f>O13+SUMIFS(CgCajas,CgSemana,A14,CgCuenta,1,CgOrigen,"BR")-ROUND(Demanda!L14,0)</f>
        <v>-8058</v>
      </c>
      <c r="P14" s="22">
        <f>IF(Demanda!L15=0,"",O14/(Demanda!L15/DiasVenta))</f>
        <v>-4.6094003241491084</v>
      </c>
      <c r="Q14" s="7">
        <f>Q13+SUMIFS(CgCajas,CgSemana,A14,CgCuenta,1,CgOrigen,"PY")-ROUND(Demanda!M14,0)</f>
        <v>-10159</v>
      </c>
      <c r="R14" s="22">
        <f>IF(Demanda!M15=0,"",Q14/(Demanda!M15/DiasVenta))</f>
        <v>-11.4920814479638</v>
      </c>
      <c r="S14" s="7">
        <f>S13+SUMIFS(CgCajas,CgSemana,A14,CgCuenta,1,CgOrigen,"BO")-ROUND(Demanda!N14,0)</f>
        <v>-6809</v>
      </c>
      <c r="T14" s="22">
        <f>IF(Demanda!N15=0,"",S14/(Demanda!N15/DiasVenta))</f>
        <v>-33.847555923777961</v>
      </c>
      <c r="U14" t="str">
        <f t="shared" si="9"/>
        <v>Bolivia</v>
      </c>
    </row>
    <row r="15" spans="1:21">
      <c r="A15" s="5">
        <f>Demanda!A15</f>
        <v>46349</v>
      </c>
      <c r="B15" s="5">
        <f t="shared" si="0"/>
        <v>46354</v>
      </c>
      <c r="C15" s="7">
        <f t="shared" si="10"/>
        <v>-25026</v>
      </c>
      <c r="D15" s="7">
        <f t="shared" si="1"/>
        <v>8</v>
      </c>
      <c r="E15" s="7">
        <f t="shared" si="2"/>
        <v>8064</v>
      </c>
      <c r="F15" s="7">
        <f>ROUND(Demanda!H15,0)</f>
        <v>17000</v>
      </c>
      <c r="G15" s="7">
        <f t="shared" si="3"/>
        <v>-33962</v>
      </c>
      <c r="H15" s="7">
        <f ca="1">SUM($K$6:K14)*CajasProm</f>
        <v>48000</v>
      </c>
      <c r="I15" s="12">
        <f t="shared" ca="1" si="4"/>
        <v>14038</v>
      </c>
      <c r="J15" s="21">
        <f t="shared" si="5"/>
        <v>46350</v>
      </c>
      <c r="K15" s="3">
        <f t="shared" ca="1" si="6"/>
        <v>9</v>
      </c>
      <c r="L15" s="7">
        <f t="shared" ca="1" si="7"/>
        <v>23038</v>
      </c>
      <c r="M15" s="22">
        <f ca="1">IF(Demanda!H16=0,"",L15/(Demanda!H16/DiasVenta))</f>
        <v>8.1310588235294112</v>
      </c>
      <c r="N15" t="str">
        <f t="shared" ca="1" si="8"/>
        <v>CARGAR 9</v>
      </c>
      <c r="O15" s="7">
        <f>O14+SUMIFS(CgCajas,CgSemana,A15,CgCuenta,1,CgOrigen,"BR")-ROUND(Demanda!L15,0)</f>
        <v>-10483</v>
      </c>
      <c r="P15" s="22">
        <f>IF(Demanda!L16=0,"",O15/(Demanda!L16/DiasVenta))</f>
        <v>-5.9965678329678704</v>
      </c>
      <c r="Q15" s="7">
        <f>Q14+SUMIFS(CgCajas,CgSemana,A15,CgCuenta,1,CgOrigen,"PY")-ROUND(Demanda!M15,0)</f>
        <v>-15463</v>
      </c>
      <c r="R15" s="22">
        <f>IF(Demanda!M16=0,"",Q15/(Demanda!M16/DiasVenta))</f>
        <v>-17.492081447963802</v>
      </c>
      <c r="S15" s="7">
        <f>S14+SUMIFS(CgCajas,CgSemana,A15,CgCuenta,1,CgOrigen,"BO")-ROUND(Demanda!N15,0)</f>
        <v>-8016</v>
      </c>
      <c r="T15" s="22">
        <f>IF(Demanda!N16=0,"",S15/(Demanda!N16/DiasVenta))</f>
        <v>-39.847555923777961</v>
      </c>
      <c r="U15" t="str">
        <f t="shared" si="9"/>
        <v>Bolivia</v>
      </c>
    </row>
    <row r="16" spans="1:21">
      <c r="A16" s="5">
        <f>Demanda!A16</f>
        <v>46356</v>
      </c>
      <c r="B16" s="5">
        <f t="shared" si="0"/>
        <v>46361</v>
      </c>
      <c r="C16" s="7">
        <f t="shared" si="10"/>
        <v>-33962</v>
      </c>
      <c r="D16" s="7">
        <f t="shared" si="1"/>
        <v>8</v>
      </c>
      <c r="E16" s="7">
        <f t="shared" si="2"/>
        <v>8064</v>
      </c>
      <c r="F16" s="7">
        <f>ROUND(Demanda!H16,0)</f>
        <v>17000</v>
      </c>
      <c r="G16" s="7">
        <f t="shared" si="3"/>
        <v>-42898</v>
      </c>
      <c r="H16" s="7">
        <f ca="1">SUM($K$6:K15)*CajasProm</f>
        <v>57000</v>
      </c>
      <c r="I16" s="12">
        <f t="shared" ca="1" si="4"/>
        <v>14102</v>
      </c>
      <c r="J16" s="21">
        <f t="shared" si="5"/>
        <v>46357</v>
      </c>
      <c r="K16" s="3">
        <f t="shared" ca="1" si="6"/>
        <v>9</v>
      </c>
      <c r="L16" s="7">
        <f t="shared" ca="1" si="7"/>
        <v>23102</v>
      </c>
      <c r="M16" s="22">
        <f ca="1">IF(Demanda!H17=0,"",L16/(Demanda!H17/DiasVenta))</f>
        <v>8.1536470588235286</v>
      </c>
      <c r="N16" t="str">
        <f t="shared" ca="1" si="8"/>
        <v>CARGAR 9</v>
      </c>
      <c r="O16" s="7">
        <f>O15+SUMIFS(CgCajas,CgSemana,A16,CgCuenta,1,CgOrigen,"BR")-ROUND(Demanda!L16,0)</f>
        <v>-12908</v>
      </c>
      <c r="P16" s="22">
        <f>IF(Demanda!L17=0,"",O16/(Demanda!L17/DiasVenta))</f>
        <v>-7.3837353417866334</v>
      </c>
      <c r="Q16" s="7">
        <f>Q15+SUMIFS(CgCajas,CgSemana,A16,CgCuenta,1,CgOrigen,"PY")-ROUND(Demanda!M16,0)</f>
        <v>-20767</v>
      </c>
      <c r="R16" s="22">
        <f>IF(Demanda!M17=0,"",Q16/(Demanda!M17/DiasVenta))</f>
        <v>-23.492081447963802</v>
      </c>
      <c r="S16" s="7">
        <f>S15+SUMIFS(CgCajas,CgSemana,A16,CgCuenta,1,CgOrigen,"BO")-ROUND(Demanda!N16,0)</f>
        <v>-9223</v>
      </c>
      <c r="T16" s="22">
        <f>IF(Demanda!N17=0,"",S16/(Demanda!N17/DiasVenta))</f>
        <v>-45.847555923777961</v>
      </c>
      <c r="U16" t="str">
        <f t="shared" si="9"/>
        <v>Bolivia</v>
      </c>
    </row>
    <row r="17" spans="1:21">
      <c r="A17" s="5">
        <f>Demanda!A17</f>
        <v>46363</v>
      </c>
      <c r="B17" s="5">
        <f t="shared" si="0"/>
        <v>46368</v>
      </c>
      <c r="C17" s="7">
        <f t="shared" si="10"/>
        <v>-42898</v>
      </c>
      <c r="D17" s="7">
        <f t="shared" si="1"/>
        <v>8</v>
      </c>
      <c r="E17" s="7">
        <f t="shared" si="2"/>
        <v>8064</v>
      </c>
      <c r="F17" s="7">
        <f>ROUND(Demanda!H17,0)</f>
        <v>17000</v>
      </c>
      <c r="G17" s="7">
        <f t="shared" si="3"/>
        <v>-51834</v>
      </c>
      <c r="H17" s="7">
        <f ca="1">SUM($K$6:K16)*CajasProm</f>
        <v>66000</v>
      </c>
      <c r="I17" s="12">
        <f t="shared" ca="1" si="4"/>
        <v>14166</v>
      </c>
      <c r="J17" s="21">
        <f t="shared" si="5"/>
        <v>46364</v>
      </c>
      <c r="K17" s="3">
        <f t="shared" ca="1" si="6"/>
        <v>9</v>
      </c>
      <c r="L17" s="7">
        <f t="shared" ca="1" si="7"/>
        <v>23166</v>
      </c>
      <c r="M17" s="22">
        <f ca="1">IF(Demanda!H18=0,"",L17/(Demanda!H18/DiasVenta))</f>
        <v>8.1762352941176459</v>
      </c>
      <c r="N17" t="str">
        <f t="shared" ca="1" si="8"/>
        <v>CARGAR 9</v>
      </c>
      <c r="O17" s="7">
        <f>O16+SUMIFS(CgCajas,CgSemana,A17,CgCuenta,1,CgOrigen,"BR")-ROUND(Demanda!L17,0)</f>
        <v>-15333</v>
      </c>
      <c r="P17" s="22">
        <f>IF(Demanda!L18=0,"",O17/(Demanda!L18/DiasVenta))</f>
        <v>-8.7709028506053954</v>
      </c>
      <c r="Q17" s="7">
        <f>Q16+SUMIFS(CgCajas,CgSemana,A17,CgCuenta,1,CgOrigen,"PY")-ROUND(Demanda!M17,0)</f>
        <v>-26071</v>
      </c>
      <c r="R17" s="22">
        <f>IF(Demanda!M18=0,"",Q17/(Demanda!M18/DiasVenta))</f>
        <v>-29.492081447963802</v>
      </c>
      <c r="S17" s="7">
        <f>S16+SUMIFS(CgCajas,CgSemana,A17,CgCuenta,1,CgOrigen,"BO")-ROUND(Demanda!N17,0)</f>
        <v>-10430</v>
      </c>
      <c r="T17" s="22">
        <f>IF(Demanda!N18=0,"",S17/(Demanda!N18/DiasVenta))</f>
        <v>-51.847555923777968</v>
      </c>
      <c r="U17" t="str">
        <f t="shared" si="9"/>
        <v>Bolivia</v>
      </c>
    </row>
    <row r="18" spans="1:21">
      <c r="A18" s="5">
        <f>Demanda!A18</f>
        <v>46370</v>
      </c>
      <c r="B18" s="5">
        <f t="shared" si="0"/>
        <v>46375</v>
      </c>
      <c r="C18" s="7">
        <f t="shared" si="10"/>
        <v>-51834</v>
      </c>
      <c r="D18" s="7">
        <f t="shared" si="1"/>
        <v>8</v>
      </c>
      <c r="E18" s="7">
        <f t="shared" si="2"/>
        <v>8064</v>
      </c>
      <c r="F18" s="7">
        <f>ROUND(Demanda!H18,0)</f>
        <v>17000</v>
      </c>
      <c r="G18" s="7">
        <f t="shared" si="3"/>
        <v>-60770</v>
      </c>
      <c r="H18" s="7">
        <f ca="1">SUM($K$6:K17)*CajasProm</f>
        <v>75000</v>
      </c>
      <c r="I18" s="12">
        <f t="shared" ca="1" si="4"/>
        <v>14230</v>
      </c>
      <c r="J18" s="21">
        <f t="shared" si="5"/>
        <v>46371</v>
      </c>
      <c r="K18" s="3">
        <f t="shared" ca="1" si="6"/>
        <v>9</v>
      </c>
      <c r="L18" s="7">
        <f t="shared" ca="1" si="7"/>
        <v>23230</v>
      </c>
      <c r="M18" s="22">
        <f ca="1">IF(Demanda!H18=0,"",L18/(Demanda!H18/DiasVenta))</f>
        <v>8.1988235294117651</v>
      </c>
      <c r="N18" t="str">
        <f t="shared" ca="1" si="8"/>
        <v>CARGAR 9</v>
      </c>
      <c r="O18" s="7">
        <f>O17+SUMIFS(CgCajas,CgSemana,A18,CgCuenta,1,CgOrigen,"BR")-ROUND(Demanda!L18,0)</f>
        <v>-17758</v>
      </c>
      <c r="P18" s="22">
        <f>IF(Demanda!L18=0,"",O18/(Demanda!L18/DiasVenta))</f>
        <v>-10.158070359424158</v>
      </c>
      <c r="Q18" s="7">
        <f>Q17+SUMIFS(CgCajas,CgSemana,A18,CgCuenta,1,CgOrigen,"PY")-ROUND(Demanda!M18,0)</f>
        <v>-31375</v>
      </c>
      <c r="R18" s="22">
        <f>IF(Demanda!M18=0,"",Q18/(Demanda!M18/DiasVenta))</f>
        <v>-35.492081447963798</v>
      </c>
      <c r="S18" s="7">
        <f>S17+SUMIFS(CgCajas,CgSemana,A18,CgCuenta,1,CgOrigen,"BO")-ROUND(Demanda!N18,0)</f>
        <v>-11637</v>
      </c>
      <c r="T18" s="22">
        <f>IF(Demanda!N18=0,"",S18/(Demanda!N18/DiasVenta))</f>
        <v>-57.847555923777968</v>
      </c>
      <c r="U18" t="str">
        <f t="shared" si="9"/>
        <v>Bolivia</v>
      </c>
    </row>
  </sheetData>
  <conditionalFormatting sqref="A6:U18">
    <cfRule type="expression" dxfId="121" priority="15">
      <formula>AND($A6&lt;=FechaHoy,$B6&gt;=FechaHoy)</formula>
    </cfRule>
  </conditionalFormatting>
  <conditionalFormatting sqref="K6:K18">
    <cfRule type="expression" dxfId="120" priority="6">
      <formula>K6&gt;0</formula>
    </cfRule>
  </conditionalFormatting>
  <conditionalFormatting sqref="M6:M18">
    <cfRule type="expression" dxfId="119" priority="7">
      <formula>AND(M6&lt;&gt;"",M6&lt;2)</formula>
    </cfRule>
    <cfRule type="expression" dxfId="118" priority="8">
      <formula>AND(M6&lt;&gt;"",M6&gt;=2,M6&lt;CoberturaObjetivo)</formula>
    </cfRule>
  </conditionalFormatting>
  <conditionalFormatting sqref="N6:N18">
    <cfRule type="expression" dxfId="117" priority="1">
      <formula>LEFT(N6,5)="FALTA"</formula>
    </cfRule>
    <cfRule type="expression" dxfId="116" priority="2">
      <formula>LEFT(N6,4)="BAJO"</formula>
    </cfRule>
    <cfRule type="expression" dxfId="115" priority="3">
      <formula>LEFT(N6,6)="CARGAR"</formula>
    </cfRule>
    <cfRule type="expression" dxfId="114" priority="4">
      <formula>LEFT(N6,6)="EXCESO"</formula>
    </cfRule>
    <cfRule type="expression" dxfId="113" priority="5">
      <formula>N6="OK"</formula>
    </cfRule>
  </conditionalFormatting>
  <conditionalFormatting sqref="P6:P18">
    <cfRule type="expression" dxfId="112" priority="9">
      <formula>AND(P6&lt;&gt;"",P6&lt;2)</formula>
    </cfRule>
    <cfRule type="expression" dxfId="111" priority="10">
      <formula>AND(P6&lt;&gt;"",P6&gt;=2,P6&lt;CoberturaObjetivo)</formula>
    </cfRule>
  </conditionalFormatting>
  <conditionalFormatting sqref="R6:R18">
    <cfRule type="expression" dxfId="110" priority="11">
      <formula>AND(R6&lt;&gt;"",R6&lt;2)</formula>
    </cfRule>
    <cfRule type="expression" dxfId="109" priority="12">
      <formula>AND(R6&lt;&gt;"",R6&gt;=2,R6&lt;CoberturaObjetivo)</formula>
    </cfRule>
  </conditionalFormatting>
  <conditionalFormatting sqref="T6:T18">
    <cfRule type="expression" dxfId="108" priority="13">
      <formula>AND(T6&lt;&gt;"",T6&lt;2)</formula>
    </cfRule>
    <cfRule type="expression" dxfId="107" priority="14">
      <formula>AND(T6&lt;&gt;"",T6&gt;=2,T6&lt;CoberturaObjetivo)</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1"/>
  <sheetViews>
    <sheetView workbookViewId="0"/>
  </sheetViews>
  <sheetFormatPr baseColWidth="10" defaultColWidth="9.140625" defaultRowHeight="15"/>
  <cols>
    <col min="1" max="1" width="16" customWidth="1"/>
    <col min="2" max="2" width="18" customWidth="1"/>
    <col min="3" max="3" width="11" customWidth="1"/>
    <col min="4" max="4" width="12" customWidth="1"/>
    <col min="5" max="5" width="13" customWidth="1"/>
    <col min="6" max="6" width="26" customWidth="1"/>
    <col min="7" max="7" width="12" customWidth="1"/>
    <col min="8" max="8" width="22" customWidth="1"/>
    <col min="9" max="9" width="110" customWidth="1"/>
    <col min="10" max="12" width="9.140625" customWidth="1"/>
  </cols>
  <sheetData>
    <row r="1" spans="1:9" ht="21">
      <c r="A1" s="1" t="s">
        <v>248</v>
      </c>
    </row>
    <row r="2" spans="1:9">
      <c r="A2" s="2" t="s">
        <v>249</v>
      </c>
    </row>
    <row r="5" spans="1:9" ht="45">
      <c r="A5" s="11" t="s">
        <v>250</v>
      </c>
      <c r="B5" s="11" t="s">
        <v>251</v>
      </c>
      <c r="C5" s="11" t="s">
        <v>252</v>
      </c>
      <c r="D5" s="11" t="s">
        <v>253</v>
      </c>
      <c r="E5" s="11" t="s">
        <v>254</v>
      </c>
      <c r="F5" s="11" t="s">
        <v>255</v>
      </c>
      <c r="G5" s="11" t="s">
        <v>256</v>
      </c>
      <c r="H5" s="11" t="s">
        <v>178</v>
      </c>
      <c r="I5" s="11" t="s">
        <v>257</v>
      </c>
    </row>
    <row r="6" spans="1:9">
      <c r="A6" s="23" t="str">
        <f ca="1">IF(Proyeccion!J6&lt;FechaHoy,"",Proyeccion!B6)</f>
        <v/>
      </c>
      <c r="B6" s="7" t="str">
        <f ca="1">IF(A6="","",Proyeccion!I6)</f>
        <v/>
      </c>
      <c r="C6" s="3" t="str">
        <f ca="1">IF(A6="","",Proyeccion!K6)</f>
        <v/>
      </c>
      <c r="D6" t="str">
        <f ca="1">IF(A6="","","BR "&amp;TEXT(Proyeccion!B6-LagBR-AtrasoDias,"ddd dd/mm")&amp;" · PY "&amp;TEXT(Proyeccion!B6-LagPY-AtrasoDias,"ddd dd/mm")&amp;" · BO "&amp;TEXT(Proyeccion!B6-LagBO-AtrasoDias,"ddd dd/mm"))</f>
        <v/>
      </c>
      <c r="E6" t="str">
        <f ca="1">IF(A6="","",IF(C6&gt;0,Proyeccion!U6,"-"))</f>
        <v/>
      </c>
      <c r="F6" t="str">
        <f ca="1">IF(A6="","","PY mie "&amp;TEXT(Proyeccion!A6-5,"dd/mm")&amp;" / BR jue "&amp;TEXT(Proyeccion!A6-4,"dd/mm"))</f>
        <v/>
      </c>
      <c r="G6" s="22" t="str">
        <f ca="1">IF(A6="","",Proyeccion!M6)</f>
        <v/>
      </c>
      <c r="H6" t="str">
        <f ca="1">IF(A6="","",Proyeccion!N6)</f>
        <v/>
      </c>
      <c r="I6" t="str">
        <f ca="1">IF(A6="","","Sab "&amp;TEXT(A6,"dd/mm")&amp;": "&amp;FIXED(B6,0)&amp;" cajas - descargan "&amp;Proyeccion!D6&amp;" - vende "&amp;FIXED(Proyeccion!F6,0)&amp;IF(C6&gt;0," -&gt; cargar "&amp;C6&amp;" mas hasta el "&amp;TEXT(Proyeccion!J6,"dd/mm")&amp;" ("&amp;E6&amp;"; BR hasta el "&amp;TEXT(Proyeccion!B6-LagBR-AtrasoDias,"dd/mm")&amp;")"," -&gt; ok"))</f>
        <v/>
      </c>
    </row>
    <row r="7" spans="1:9">
      <c r="A7" s="23">
        <f ca="1">IF(Proyeccion!J7&lt;FechaHoy,"",Proyeccion!B7)</f>
        <v>46298</v>
      </c>
      <c r="B7" s="7">
        <f ca="1">IF(A7="","",Proyeccion!I7)</f>
        <v>22898</v>
      </c>
      <c r="C7" s="3">
        <f ca="1">IF(A7="","",Proyeccion!K7)</f>
        <v>0</v>
      </c>
      <c r="D7" t="str">
        <f ca="1">IF(A7="","","BR "&amp;TEXT(Proyeccion!B7-LagBR-AtrasoDias,"ddd dd/mm")&amp;" · PY "&amp;TEXT(Proyeccion!B7-LagPY-AtrasoDias,"ddd dd/mm")&amp;" · BO "&amp;TEXT(Proyeccion!B7-LagBO-AtrasoDias,"ddd dd/mm"))</f>
        <v>BR mié 30/09 · PY mar 29/09 · BO dom 27/09</v>
      </c>
      <c r="E7" t="str">
        <f ca="1">IF(A7="","",IF(C7&gt;0,Proyeccion!U7,"-"))</f>
        <v>-</v>
      </c>
      <c r="F7" t="str">
        <f ca="1">IF(A7="","","PY mie "&amp;TEXT(Proyeccion!A7-5,"dd/mm")&amp;" / BR jue "&amp;TEXT(Proyeccion!A7-4,"dd/mm"))</f>
        <v>PY mie 23/09 / BR jue 24/09</v>
      </c>
      <c r="G7" s="22">
        <f ca="1">IF(A7="","",Proyeccion!M7)</f>
        <v>8.0816470588235294</v>
      </c>
      <c r="H7" t="str">
        <f ca="1">IF(A7="","",Proyeccion!N7)</f>
        <v>OK</v>
      </c>
      <c r="I7" t="str">
        <f ca="1">IF(A7="","","Sab "&amp;TEXT(A7,"dd/mm")&amp;": "&amp;FIXED(B7,0)&amp;" cajas - descargan "&amp;Proyeccion!D7&amp;" - vende "&amp;FIXED(Proyeccion!F7,0)&amp;IF(C7&gt;0," -&gt; cargar "&amp;C7&amp;" mas hasta el "&amp;TEXT(Proyeccion!J7,"dd/mm")&amp;" ("&amp;E7&amp;"; BR hasta el "&amp;TEXT(Proyeccion!B7-LagBR-AtrasoDias,"dd/mm")&amp;")"," -&gt; ok"))</f>
        <v>Sab 03/10: 22.898 cajas - descargan 11 - vende 16.000 -&gt; ok</v>
      </c>
    </row>
    <row r="8" spans="1:9">
      <c r="A8" s="23">
        <f ca="1">IF(Proyeccion!J8&lt;FechaHoy,"",Proyeccion!B8)</f>
        <v>46305</v>
      </c>
      <c r="B8" s="7">
        <f ca="1">IF(A8="","",Proyeccion!I8)</f>
        <v>18790</v>
      </c>
      <c r="C8" s="3">
        <f ca="1">IF(A8="","",Proyeccion!K8)</f>
        <v>4</v>
      </c>
      <c r="D8" t="str">
        <f ca="1">IF(A8="","","BR "&amp;TEXT(Proyeccion!B8-LagBR-AtrasoDias,"ddd dd/mm")&amp;" · PY "&amp;TEXT(Proyeccion!B8-LagPY-AtrasoDias,"ddd dd/mm")&amp;" · BO "&amp;TEXT(Proyeccion!B8-LagBO-AtrasoDias,"ddd dd/mm"))</f>
        <v>BR mié 07/10 · PY mar 06/10 · BO dom 04/10</v>
      </c>
      <c r="E8" t="str">
        <f ca="1">IF(A8="","",IF(C8&gt;0,Proyeccion!U8,"-"))</f>
        <v>Bolivia</v>
      </c>
      <c r="F8" t="str">
        <f ca="1">IF(A8="","","PY mie "&amp;TEXT(Proyeccion!A8-5,"dd/mm")&amp;" / BR jue "&amp;TEXT(Proyeccion!A8-4,"dd/mm"))</f>
        <v>PY mie 30/09 / BR jue 01/10</v>
      </c>
      <c r="G8" s="22">
        <f ca="1">IF(A8="","",Proyeccion!M8)</f>
        <v>8.0435294117647054</v>
      </c>
      <c r="H8" t="str">
        <f ca="1">IF(A8="","",Proyeccion!N8)</f>
        <v>CARGAR 4</v>
      </c>
      <c r="I8" t="str">
        <f ca="1">IF(A8="","","Sab "&amp;TEXT(A8,"dd/mm")&amp;": "&amp;FIXED(B8,0)&amp;" cajas - descargan "&amp;Proyeccion!D8&amp;" - vende "&amp;FIXED(Proyeccion!F8,0)&amp;IF(C8&gt;0," -&gt; cargar "&amp;C8&amp;" mas hasta el "&amp;TEXT(Proyeccion!J8,"dd/mm")&amp;" ("&amp;E8&amp;"; BR hasta el "&amp;TEXT(Proyeccion!B8-LagBR-AtrasoDias,"dd/mm")&amp;")"," -&gt; ok"))</f>
        <v>Sab 10/10: 18.790 cajas - descargan 13 - vende 17.000 -&gt; cargar 4 mas hasta el 06/10 (Bolivia; BR hasta el 07/10)</v>
      </c>
    </row>
    <row r="9" spans="1:9">
      <c r="A9" s="23">
        <f ca="1">IF(Proyeccion!J9&lt;FechaHoy,"",Proyeccion!B9)</f>
        <v>46312</v>
      </c>
      <c r="B9" s="7">
        <f ca="1">IF(A9="","",Proyeccion!I9)</f>
        <v>18754</v>
      </c>
      <c r="C9" s="3">
        <f ca="1">IF(A9="","",Proyeccion!K9)</f>
        <v>4</v>
      </c>
      <c r="D9" t="str">
        <f ca="1">IF(A9="","","BR "&amp;TEXT(Proyeccion!B9-LagBR-AtrasoDias,"ddd dd/mm")&amp;" · PY "&amp;TEXT(Proyeccion!B9-LagPY-AtrasoDias,"ddd dd/mm")&amp;" · BO "&amp;TEXT(Proyeccion!B9-LagBO-AtrasoDias,"ddd dd/mm"))</f>
        <v>BR mié 14/10 · PY mar 13/10 · BO dom 11/10</v>
      </c>
      <c r="E9" t="str">
        <f ca="1">IF(A9="","",IF(C9&gt;0,Proyeccion!U9,"-"))</f>
        <v>Bolivia</v>
      </c>
      <c r="F9" t="str">
        <f ca="1">IF(A9="","","PY mie "&amp;TEXT(Proyeccion!A9-5,"dd/mm")&amp;" / BR jue "&amp;TEXT(Proyeccion!A9-4,"dd/mm"))</f>
        <v>PY mie 07/10 / BR jue 08/10</v>
      </c>
      <c r="G9" s="22">
        <f ca="1">IF(A9="","",Proyeccion!M9)</f>
        <v>8.030823529411764</v>
      </c>
      <c r="H9" t="str">
        <f ca="1">IF(A9="","",Proyeccion!N9)</f>
        <v>CARGAR 4</v>
      </c>
      <c r="I9" t="str">
        <f ca="1">IF(A9="","","Sab "&amp;TEXT(A9,"dd/mm")&amp;": "&amp;FIXED(B9,0)&amp;" cajas - descargan "&amp;Proyeccion!D9&amp;" - vende "&amp;FIXED(Proyeccion!F9,0)&amp;IF(C9&gt;0," -&gt; cargar "&amp;C9&amp;" mas hasta el "&amp;TEXT(Proyeccion!J9,"dd/mm")&amp;" ("&amp;E9&amp;"; BR hasta el "&amp;TEXT(Proyeccion!B9-LagBR-AtrasoDias,"dd/mm")&amp;")"," -&gt; ok"))</f>
        <v>Sab 17/10: 18.754 cajas - descargan 13 - vende 17.000 -&gt; cargar 4 mas hasta el 13/10 (Bolivia; BR hasta el 14/10)</v>
      </c>
    </row>
    <row r="10" spans="1:9">
      <c r="A10" s="23">
        <f ca="1">IF(Proyeccion!J10&lt;FechaHoy,"",Proyeccion!B10)</f>
        <v>46319</v>
      </c>
      <c r="B10" s="7">
        <f ca="1">IF(A10="","",Proyeccion!I10)</f>
        <v>18718</v>
      </c>
      <c r="C10" s="3">
        <f ca="1">IF(A10="","",Proyeccion!K10)</f>
        <v>4</v>
      </c>
      <c r="D10" t="str">
        <f ca="1">IF(A10="","","BR "&amp;TEXT(Proyeccion!B10-LagBR-AtrasoDias,"ddd dd/mm")&amp;" · PY "&amp;TEXT(Proyeccion!B10-LagPY-AtrasoDias,"ddd dd/mm")&amp;" · BO "&amp;TEXT(Proyeccion!B10-LagBO-AtrasoDias,"ddd dd/mm"))</f>
        <v>BR mié 21/10 · PY mar 20/10 · BO dom 18/10</v>
      </c>
      <c r="E10" t="str">
        <f ca="1">IF(A10="","",IF(C10&gt;0,Proyeccion!U10,"-"))</f>
        <v>Bolivia</v>
      </c>
      <c r="F10" t="str">
        <f ca="1">IF(A10="","","PY mie "&amp;TEXT(Proyeccion!A10-5,"dd/mm")&amp;" / BR jue "&amp;TEXT(Proyeccion!A10-4,"dd/mm"))</f>
        <v>PY mie 14/10 / BR jue 15/10</v>
      </c>
      <c r="G10" s="22">
        <f ca="1">IF(A10="","",Proyeccion!M10)</f>
        <v>8.0181176470588227</v>
      </c>
      <c r="H10" t="str">
        <f ca="1">IF(A10="","",Proyeccion!N10)</f>
        <v>CARGAR 4</v>
      </c>
      <c r="I10" t="str">
        <f ca="1">IF(A10="","","Sab "&amp;TEXT(A10,"dd/mm")&amp;": "&amp;FIXED(B10,0)&amp;" cajas - descargan "&amp;Proyeccion!D10&amp;" - vende "&amp;FIXED(Proyeccion!F10,0)&amp;IF(C10&gt;0," -&gt; cargar "&amp;C10&amp;" mas hasta el "&amp;TEXT(Proyeccion!J10,"dd/mm")&amp;" ("&amp;E10&amp;"; BR hasta el "&amp;TEXT(Proyeccion!B10-LagBR-AtrasoDias,"dd/mm")&amp;")"," -&gt; ok"))</f>
        <v>Sab 24/10: 18.718 cajas - descargan 13 - vende 17.000 -&gt; cargar 4 mas hasta el 20/10 (Bolivia; BR hasta el 21/10)</v>
      </c>
    </row>
    <row r="11" spans="1:9">
      <c r="A11" s="23">
        <f ca="1">IF(Proyeccion!J11&lt;FechaHoy,"",Proyeccion!B11)</f>
        <v>46326</v>
      </c>
      <c r="B11" s="7">
        <f ca="1">IF(A11="","",Proyeccion!I11)</f>
        <v>13782</v>
      </c>
      <c r="C11" s="3">
        <f ca="1">IF(A11="","",Proyeccion!K11)</f>
        <v>9</v>
      </c>
      <c r="D11" t="str">
        <f ca="1">IF(A11="","","BR "&amp;TEXT(Proyeccion!B11-LagBR-AtrasoDias,"ddd dd/mm")&amp;" · PY "&amp;TEXT(Proyeccion!B11-LagPY-AtrasoDias,"ddd dd/mm")&amp;" · BO "&amp;TEXT(Proyeccion!B11-LagBO-AtrasoDias,"ddd dd/mm"))</f>
        <v>BR mié 28/10 · PY mar 27/10 · BO dom 25/10</v>
      </c>
      <c r="E11" t="str">
        <f ca="1">IF(A11="","",IF(C11&gt;0,Proyeccion!U11,"-"))</f>
        <v>Bolivia</v>
      </c>
      <c r="F11" t="str">
        <f ca="1">IF(A11="","","PY mie "&amp;TEXT(Proyeccion!A11-5,"dd/mm")&amp;" / BR jue "&amp;TEXT(Proyeccion!A11-4,"dd/mm"))</f>
        <v>PY mie 21/10 / BR jue 22/10</v>
      </c>
      <c r="G11" s="22">
        <f ca="1">IF(A11="","",Proyeccion!M11)</f>
        <v>8.04070588235294</v>
      </c>
      <c r="H11" t="str">
        <f ca="1">IF(A11="","",Proyeccion!N11)</f>
        <v>CARGAR 9</v>
      </c>
      <c r="I11" t="str">
        <f ca="1">IF(A11="","","Sab "&amp;TEXT(A11,"dd/mm")&amp;": "&amp;FIXED(B11,0)&amp;" cajas - descargan "&amp;Proyeccion!D11&amp;" - vende "&amp;FIXED(Proyeccion!F11,0)&amp;IF(C11&gt;0," -&gt; cargar "&amp;C11&amp;" mas hasta el "&amp;TEXT(Proyeccion!J11,"dd/mm")&amp;" ("&amp;E11&amp;"; BR hasta el "&amp;TEXT(Proyeccion!B11-LagBR-AtrasoDias,"dd/mm")&amp;")"," -&gt; ok"))</f>
        <v>Sab 31/10: 13.782 cajas - descargan 8 - vende 17.000 -&gt; cargar 9 mas hasta el 27/10 (Bolivia; BR hasta el 28/10)</v>
      </c>
    </row>
    <row r="12" spans="1:9">
      <c r="A12" s="23">
        <f ca="1">IF(Proyeccion!J12&lt;FechaHoy,"",Proyeccion!B12)</f>
        <v>46333</v>
      </c>
      <c r="B12" s="7">
        <f ca="1">IF(A12="","",Proyeccion!I12)</f>
        <v>13846</v>
      </c>
      <c r="C12" s="3">
        <f ca="1">IF(A12="","",Proyeccion!K12)</f>
        <v>9</v>
      </c>
      <c r="D12" t="str">
        <f ca="1">IF(A12="","","BR "&amp;TEXT(Proyeccion!B12-LagBR-AtrasoDias,"ddd dd/mm")&amp;" · PY "&amp;TEXT(Proyeccion!B12-LagPY-AtrasoDias,"ddd dd/mm")&amp;" · BO "&amp;TEXT(Proyeccion!B12-LagBO-AtrasoDias,"ddd dd/mm"))</f>
        <v>BR mié 04/11 · PY mar 03/11 · BO dom 01/11</v>
      </c>
      <c r="E12" t="str">
        <f ca="1">IF(A12="","",IF(C12&gt;0,Proyeccion!U12,"-"))</f>
        <v>Bolivia</v>
      </c>
      <c r="F12" t="str">
        <f ca="1">IF(A12="","","PY mie "&amp;TEXT(Proyeccion!A12-5,"dd/mm")&amp;" / BR jue "&amp;TEXT(Proyeccion!A12-4,"dd/mm"))</f>
        <v>PY mie 28/10 / BR jue 29/10</v>
      </c>
      <c r="G12" s="22">
        <f ca="1">IF(A12="","",Proyeccion!M12)</f>
        <v>8.0632941176470592</v>
      </c>
      <c r="H12" t="str">
        <f ca="1">IF(A12="","",Proyeccion!N12)</f>
        <v>CARGAR 9</v>
      </c>
      <c r="I12" t="str">
        <f ca="1">IF(A12="","","Sab "&amp;TEXT(A12,"dd/mm")&amp;": "&amp;FIXED(B12,0)&amp;" cajas - descargan "&amp;Proyeccion!D12&amp;" - vende "&amp;FIXED(Proyeccion!F12,0)&amp;IF(C12&gt;0," -&gt; cargar "&amp;C12&amp;" mas hasta el "&amp;TEXT(Proyeccion!J12,"dd/mm")&amp;" ("&amp;E12&amp;"; BR hasta el "&amp;TEXT(Proyeccion!B12-LagBR-AtrasoDias,"dd/mm")&amp;")"," -&gt; ok"))</f>
        <v>Sab 07/11: 13.846 cajas - descargan 8 - vende 17.000 -&gt; cargar 9 mas hasta el 03/11 (Bolivia; BR hasta el 04/11)</v>
      </c>
    </row>
    <row r="13" spans="1:9">
      <c r="A13" s="23">
        <f ca="1">IF(Proyeccion!J13&lt;FechaHoy,"",Proyeccion!B13)</f>
        <v>46340</v>
      </c>
      <c r="B13" s="7">
        <f ca="1">IF(A13="","",Proyeccion!I13)</f>
        <v>13910</v>
      </c>
      <c r="C13" s="3">
        <f ca="1">IF(A13="","",Proyeccion!K13)</f>
        <v>9</v>
      </c>
      <c r="D13" t="str">
        <f ca="1">IF(A13="","","BR "&amp;TEXT(Proyeccion!B13-LagBR-AtrasoDias,"ddd dd/mm")&amp;" · PY "&amp;TEXT(Proyeccion!B13-LagPY-AtrasoDias,"ddd dd/mm")&amp;" · BO "&amp;TEXT(Proyeccion!B13-LagBO-AtrasoDias,"ddd dd/mm"))</f>
        <v>BR mié 11/11 · PY mar 10/11 · BO dom 08/11</v>
      </c>
      <c r="E13" t="str">
        <f ca="1">IF(A13="","",IF(C13&gt;0,Proyeccion!U13,"-"))</f>
        <v>Bolivia</v>
      </c>
      <c r="F13" t="str">
        <f ca="1">IF(A13="","","PY mie "&amp;TEXT(Proyeccion!A13-5,"dd/mm")&amp;" / BR jue "&amp;TEXT(Proyeccion!A13-4,"dd/mm"))</f>
        <v>PY mie 04/11 / BR jue 05/11</v>
      </c>
      <c r="G13" s="22">
        <f ca="1">IF(A13="","",Proyeccion!M13)</f>
        <v>8.0858823529411765</v>
      </c>
      <c r="H13" t="str">
        <f ca="1">IF(A13="","",Proyeccion!N13)</f>
        <v>CARGAR 9</v>
      </c>
      <c r="I13" t="str">
        <f ca="1">IF(A13="","","Sab "&amp;TEXT(A13,"dd/mm")&amp;": "&amp;FIXED(B13,0)&amp;" cajas - descargan "&amp;Proyeccion!D13&amp;" - vende "&amp;FIXED(Proyeccion!F13,0)&amp;IF(C13&gt;0," -&gt; cargar "&amp;C13&amp;" mas hasta el "&amp;TEXT(Proyeccion!J13,"dd/mm")&amp;" ("&amp;E13&amp;"; BR hasta el "&amp;TEXT(Proyeccion!B13-LagBR-AtrasoDias,"dd/mm")&amp;")"," -&gt; ok"))</f>
        <v>Sab 14/11: 13.910 cajas - descargan 8 - vende 17.000 -&gt; cargar 9 mas hasta el 10/11 (Bolivia; BR hasta el 11/11)</v>
      </c>
    </row>
    <row r="14" spans="1:9">
      <c r="A14" s="23">
        <f ca="1">IF(Proyeccion!J14&lt;FechaHoy,"",Proyeccion!B14)</f>
        <v>46347</v>
      </c>
      <c r="B14" s="7">
        <f ca="1">IF(A14="","",Proyeccion!I14)</f>
        <v>13974</v>
      </c>
      <c r="C14" s="3">
        <f ca="1">IF(A14="","",Proyeccion!K14)</f>
        <v>9</v>
      </c>
      <c r="D14" t="str">
        <f ca="1">IF(A14="","","BR "&amp;TEXT(Proyeccion!B14-LagBR-AtrasoDias,"ddd dd/mm")&amp;" · PY "&amp;TEXT(Proyeccion!B14-LagPY-AtrasoDias,"ddd dd/mm")&amp;" · BO "&amp;TEXT(Proyeccion!B14-LagBO-AtrasoDias,"ddd dd/mm"))</f>
        <v>BR mié 18/11 · PY mar 17/11 · BO dom 15/11</v>
      </c>
      <c r="E14" t="str">
        <f ca="1">IF(A14="","",IF(C14&gt;0,Proyeccion!U14,"-"))</f>
        <v>Bolivia</v>
      </c>
      <c r="F14" t="str">
        <f ca="1">IF(A14="","","PY mie "&amp;TEXT(Proyeccion!A14-5,"dd/mm")&amp;" / BR jue "&amp;TEXT(Proyeccion!A14-4,"dd/mm"))</f>
        <v>PY mie 11/11 / BR jue 12/11</v>
      </c>
      <c r="G14" s="22">
        <f ca="1">IF(A14="","",Proyeccion!M14)</f>
        <v>8.1084705882352939</v>
      </c>
      <c r="H14" t="str">
        <f ca="1">IF(A14="","",Proyeccion!N14)</f>
        <v>CARGAR 9</v>
      </c>
      <c r="I14" t="str">
        <f ca="1">IF(A14="","","Sab "&amp;TEXT(A14,"dd/mm")&amp;": "&amp;FIXED(B14,0)&amp;" cajas - descargan "&amp;Proyeccion!D14&amp;" - vende "&amp;FIXED(Proyeccion!F14,0)&amp;IF(C14&gt;0," -&gt; cargar "&amp;C14&amp;" mas hasta el "&amp;TEXT(Proyeccion!J14,"dd/mm")&amp;" ("&amp;E14&amp;"; BR hasta el "&amp;TEXT(Proyeccion!B14-LagBR-AtrasoDias,"dd/mm")&amp;")"," -&gt; ok"))</f>
        <v>Sab 21/11: 13.974 cajas - descargan 8 - vende 17.000 -&gt; cargar 9 mas hasta el 17/11 (Bolivia; BR hasta el 18/11)</v>
      </c>
    </row>
    <row r="15" spans="1:9">
      <c r="A15" s="23">
        <f ca="1">IF(Proyeccion!J15&lt;FechaHoy,"",Proyeccion!B15)</f>
        <v>46354</v>
      </c>
      <c r="B15" s="7">
        <f ca="1">IF(A15="","",Proyeccion!I15)</f>
        <v>14038</v>
      </c>
      <c r="C15" s="3">
        <f ca="1">IF(A15="","",Proyeccion!K15)</f>
        <v>9</v>
      </c>
      <c r="D15" t="str">
        <f ca="1">IF(A15="","","BR "&amp;TEXT(Proyeccion!B15-LagBR-AtrasoDias,"ddd dd/mm")&amp;" · PY "&amp;TEXT(Proyeccion!B15-LagPY-AtrasoDias,"ddd dd/mm")&amp;" · BO "&amp;TEXT(Proyeccion!B15-LagBO-AtrasoDias,"ddd dd/mm"))</f>
        <v>BR mié 25/11 · PY mar 24/11 · BO dom 22/11</v>
      </c>
      <c r="E15" t="str">
        <f ca="1">IF(A15="","",IF(C15&gt;0,Proyeccion!U15,"-"))</f>
        <v>Bolivia</v>
      </c>
      <c r="F15" t="str">
        <f ca="1">IF(A15="","","PY mie "&amp;TEXT(Proyeccion!A15-5,"dd/mm")&amp;" / BR jue "&amp;TEXT(Proyeccion!A15-4,"dd/mm"))</f>
        <v>PY mie 18/11 / BR jue 19/11</v>
      </c>
      <c r="G15" s="22">
        <f ca="1">IF(A15="","",Proyeccion!M15)</f>
        <v>8.1310588235294112</v>
      </c>
      <c r="H15" t="str">
        <f ca="1">IF(A15="","",Proyeccion!N15)</f>
        <v>CARGAR 9</v>
      </c>
      <c r="I15" t="str">
        <f ca="1">IF(A15="","","Sab "&amp;TEXT(A15,"dd/mm")&amp;": "&amp;FIXED(B15,0)&amp;" cajas - descargan "&amp;Proyeccion!D15&amp;" - vende "&amp;FIXED(Proyeccion!F15,0)&amp;IF(C15&gt;0," -&gt; cargar "&amp;C15&amp;" mas hasta el "&amp;TEXT(Proyeccion!J15,"dd/mm")&amp;" ("&amp;E15&amp;"; BR hasta el "&amp;TEXT(Proyeccion!B15-LagBR-AtrasoDias,"dd/mm")&amp;")"," -&gt; ok"))</f>
        <v>Sab 28/11: 14.038 cajas - descargan 8 - vende 17.000 -&gt; cargar 9 mas hasta el 24/11 (Bolivia; BR hasta el 25/11)</v>
      </c>
    </row>
    <row r="16" spans="1:9">
      <c r="A16" s="23">
        <f ca="1">IF(Proyeccion!J16&lt;FechaHoy,"",Proyeccion!B16)</f>
        <v>46361</v>
      </c>
      <c r="B16" s="7">
        <f ca="1">IF(A16="","",Proyeccion!I16)</f>
        <v>14102</v>
      </c>
      <c r="C16" s="3">
        <f ca="1">IF(A16="","",Proyeccion!K16)</f>
        <v>9</v>
      </c>
      <c r="D16" t="str">
        <f ca="1">IF(A16="","","BR "&amp;TEXT(Proyeccion!B16-LagBR-AtrasoDias,"ddd dd/mm")&amp;" · PY "&amp;TEXT(Proyeccion!B16-LagPY-AtrasoDias,"ddd dd/mm")&amp;" · BO "&amp;TEXT(Proyeccion!B16-LagBO-AtrasoDias,"ddd dd/mm"))</f>
        <v>BR mié 02/12 · PY mar 01/12 · BO dom 29/11</v>
      </c>
      <c r="E16" t="str">
        <f ca="1">IF(A16="","",IF(C16&gt;0,Proyeccion!U16,"-"))</f>
        <v>Bolivia</v>
      </c>
      <c r="F16" t="str">
        <f ca="1">IF(A16="","","PY mie "&amp;TEXT(Proyeccion!A16-5,"dd/mm")&amp;" / BR jue "&amp;TEXT(Proyeccion!A16-4,"dd/mm"))</f>
        <v>PY mie 25/11 / BR jue 26/11</v>
      </c>
      <c r="G16" s="22">
        <f ca="1">IF(A16="","",Proyeccion!M16)</f>
        <v>8.1536470588235286</v>
      </c>
      <c r="H16" t="str">
        <f ca="1">IF(A16="","",Proyeccion!N16)</f>
        <v>CARGAR 9</v>
      </c>
      <c r="I16" t="str">
        <f ca="1">IF(A16="","","Sab "&amp;TEXT(A16,"dd/mm")&amp;": "&amp;FIXED(B16,0)&amp;" cajas - descargan "&amp;Proyeccion!D16&amp;" - vende "&amp;FIXED(Proyeccion!F16,0)&amp;IF(C16&gt;0," -&gt; cargar "&amp;C16&amp;" mas hasta el "&amp;TEXT(Proyeccion!J16,"dd/mm")&amp;" ("&amp;E16&amp;"; BR hasta el "&amp;TEXT(Proyeccion!B16-LagBR-AtrasoDias,"dd/mm")&amp;")"," -&gt; ok"))</f>
        <v>Sab 05/12: 14.102 cajas - descargan 8 - vende 17.000 -&gt; cargar 9 mas hasta el 01/12 (Bolivia; BR hasta el 02/12)</v>
      </c>
    </row>
    <row r="17" spans="1:12">
      <c r="A17" s="23">
        <f ca="1">IF(Proyeccion!J17&lt;FechaHoy,"",Proyeccion!B17)</f>
        <v>46368</v>
      </c>
      <c r="B17" s="7">
        <f ca="1">IF(A17="","",Proyeccion!I17)</f>
        <v>14166</v>
      </c>
      <c r="C17" s="3">
        <f ca="1">IF(A17="","",Proyeccion!K17)</f>
        <v>9</v>
      </c>
      <c r="D17" t="str">
        <f ca="1">IF(A17="","","BR "&amp;TEXT(Proyeccion!B17-LagBR-AtrasoDias,"ddd dd/mm")&amp;" · PY "&amp;TEXT(Proyeccion!B17-LagPY-AtrasoDias,"ddd dd/mm")&amp;" · BO "&amp;TEXT(Proyeccion!B17-LagBO-AtrasoDias,"ddd dd/mm"))</f>
        <v>BR mié 09/12 · PY mar 08/12 · BO dom 06/12</v>
      </c>
      <c r="E17" t="str">
        <f ca="1">IF(A17="","",IF(C17&gt;0,Proyeccion!U17,"-"))</f>
        <v>Bolivia</v>
      </c>
      <c r="F17" t="str">
        <f ca="1">IF(A17="","","PY mie "&amp;TEXT(Proyeccion!A17-5,"dd/mm")&amp;" / BR jue "&amp;TEXT(Proyeccion!A17-4,"dd/mm"))</f>
        <v>PY mie 02/12 / BR jue 03/12</v>
      </c>
      <c r="G17" s="22">
        <f ca="1">IF(A17="","",Proyeccion!M17)</f>
        <v>8.1762352941176459</v>
      </c>
      <c r="H17" t="str">
        <f ca="1">IF(A17="","",Proyeccion!N17)</f>
        <v>CARGAR 9</v>
      </c>
      <c r="I17" t="str">
        <f ca="1">IF(A17="","","Sab "&amp;TEXT(A17,"dd/mm")&amp;": "&amp;FIXED(B17,0)&amp;" cajas - descargan "&amp;Proyeccion!D17&amp;" - vende "&amp;FIXED(Proyeccion!F17,0)&amp;IF(C17&gt;0," -&gt; cargar "&amp;C17&amp;" mas hasta el "&amp;TEXT(Proyeccion!J17,"dd/mm")&amp;" ("&amp;E17&amp;"; BR hasta el "&amp;TEXT(Proyeccion!B17-LagBR-AtrasoDias,"dd/mm")&amp;")"," -&gt; ok"))</f>
        <v>Sab 12/12: 14.166 cajas - descargan 8 - vende 17.000 -&gt; cargar 9 mas hasta el 08/12 (Bolivia; BR hasta el 09/12)</v>
      </c>
    </row>
    <row r="18" spans="1:12">
      <c r="A18" s="23">
        <f ca="1">IF(Proyeccion!J18&lt;FechaHoy,"",Proyeccion!B18)</f>
        <v>46375</v>
      </c>
      <c r="B18" s="7">
        <f ca="1">IF(A18="","",Proyeccion!I18)</f>
        <v>14230</v>
      </c>
      <c r="C18" s="3">
        <f ca="1">IF(A18="","",Proyeccion!K18)</f>
        <v>9</v>
      </c>
      <c r="D18" t="str">
        <f ca="1">IF(A18="","","BR "&amp;TEXT(Proyeccion!B18-LagBR-AtrasoDias,"ddd dd/mm")&amp;" · PY "&amp;TEXT(Proyeccion!B18-LagPY-AtrasoDias,"ddd dd/mm")&amp;" · BO "&amp;TEXT(Proyeccion!B18-LagBO-AtrasoDias,"ddd dd/mm"))</f>
        <v>BR mié 16/12 · PY mar 15/12 · BO dom 13/12</v>
      </c>
      <c r="E18" t="str">
        <f ca="1">IF(A18="","",IF(C18&gt;0,Proyeccion!U18,"-"))</f>
        <v>Bolivia</v>
      </c>
      <c r="F18" t="str">
        <f ca="1">IF(A18="","","PY mie "&amp;TEXT(Proyeccion!A18-5,"dd/mm")&amp;" / BR jue "&amp;TEXT(Proyeccion!A18-4,"dd/mm"))</f>
        <v>PY mie 09/12 / BR jue 10/12</v>
      </c>
      <c r="G18" s="22">
        <f ca="1">IF(A18="","",Proyeccion!M18)</f>
        <v>8.1988235294117651</v>
      </c>
      <c r="H18" t="str">
        <f ca="1">IF(A18="","",Proyeccion!N18)</f>
        <v>CARGAR 9</v>
      </c>
      <c r="I18" t="str">
        <f ca="1">IF(A18="","","Sab "&amp;TEXT(A18,"dd/mm")&amp;": "&amp;FIXED(B18,0)&amp;" cajas - descargan "&amp;Proyeccion!D18&amp;" - vende "&amp;FIXED(Proyeccion!F18,0)&amp;IF(C18&gt;0," -&gt; cargar "&amp;C18&amp;" mas hasta el "&amp;TEXT(Proyeccion!J18,"dd/mm")&amp;" ("&amp;E18&amp;"; BR hasta el "&amp;TEXT(Proyeccion!B18-LagBR-AtrasoDias,"dd/mm")&amp;")"," -&gt; ok"))</f>
        <v>Sab 19/12: 14.230 cajas - descargan 8 - vende 17.000 -&gt; cargar 9 mas hasta el 15/12 (Bolivia; BR hasta el 16/12)</v>
      </c>
    </row>
    <row r="20" spans="1:12" ht="33.950000000000003" customHeight="1">
      <c r="A20" s="44" t="s">
        <v>258</v>
      </c>
      <c r="B20" s="44"/>
      <c r="C20" s="44"/>
      <c r="D20" s="44"/>
      <c r="E20" s="44"/>
      <c r="F20" s="44"/>
      <c r="G20" s="44"/>
      <c r="H20" s="44"/>
      <c r="I20" s="44"/>
      <c r="J20" s="44"/>
      <c r="K20" s="44"/>
      <c r="L20" s="44"/>
    </row>
    <row r="21" spans="1:12" ht="33.950000000000003" customHeight="1">
      <c r="A21" s="44" t="s">
        <v>259</v>
      </c>
      <c r="B21" s="44"/>
      <c r="C21" s="44"/>
      <c r="D21" s="44"/>
      <c r="E21" s="44"/>
      <c r="F21" s="44"/>
      <c r="G21" s="44"/>
      <c r="H21" s="44"/>
      <c r="I21" s="44"/>
      <c r="J21" s="44"/>
      <c r="K21" s="44"/>
      <c r="L21" s="44"/>
    </row>
  </sheetData>
  <mergeCells count="2">
    <mergeCell ref="A20:L20"/>
    <mergeCell ref="A21:L21"/>
  </mergeCells>
  <conditionalFormatting sqref="C6:C18">
    <cfRule type="expression" dxfId="106" priority="4">
      <formula>AND(C6&lt;&gt;"",C6&gt;0)</formula>
    </cfRule>
  </conditionalFormatting>
  <conditionalFormatting sqref="H6:H18">
    <cfRule type="expression" dxfId="105" priority="1">
      <formula>LEFT(H6,5)="FALTA"</formula>
    </cfRule>
    <cfRule type="expression" dxfId="104" priority="2">
      <formula>LEFT(H6,4)="BAJO"</formula>
    </cfRule>
    <cfRule type="expression" dxfId="103" priority="3">
      <formula>H6="OK"</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3"/>
  <sheetViews>
    <sheetView workbookViewId="0"/>
  </sheetViews>
  <sheetFormatPr baseColWidth="10" defaultColWidth="9.140625" defaultRowHeight="15"/>
  <cols>
    <col min="1" max="1" width="12" customWidth="1"/>
    <col min="2" max="3" width="16" customWidth="1"/>
    <col min="4" max="4" width="26" customWidth="1"/>
    <col min="5" max="5" width="70" customWidth="1"/>
  </cols>
  <sheetData>
    <row r="1" spans="1:5" ht="21">
      <c r="A1" s="1" t="s">
        <v>530</v>
      </c>
    </row>
    <row r="2" spans="1:5">
      <c r="A2" s="2" t="s">
        <v>531</v>
      </c>
    </row>
    <row r="4" spans="1:5">
      <c r="A4" s="11" t="str">
        <f ca="1">"ESTA SEMANA (sabado "&amp;TEXT(INDEX(PrSab,MATCH((FechaHoy-WEEKDAY(FechaHoy,2)+1+0),PrSemana,0)),"dd/mm")&amp;")"</f>
        <v>ESTA SEMANA (sabado 03/10)</v>
      </c>
      <c r="B4" s="11"/>
      <c r="C4" s="11"/>
      <c r="D4" s="11"/>
      <c r="E4" s="11"/>
    </row>
    <row r="5" spans="1:5">
      <c r="A5" s="38" t="s">
        <v>173</v>
      </c>
      <c r="B5" s="38" t="s">
        <v>532</v>
      </c>
      <c r="C5" s="38" t="s">
        <v>240</v>
      </c>
      <c r="D5" s="38" t="s">
        <v>178</v>
      </c>
      <c r="E5" s="38" t="s">
        <v>533</v>
      </c>
    </row>
    <row r="6" spans="1:5">
      <c r="A6" s="3" t="s">
        <v>534</v>
      </c>
      <c r="B6" s="7">
        <f ca="1">IFERROR(INDEX(PrBR,MATCH((FechaHoy-WEEKDAY(FechaHoy,2)+1+0),PrSemana,0)),"")</f>
        <v>8989</v>
      </c>
      <c r="C6" s="22">
        <f ca="1">IFERROR(INDEX(PrBRd,MATCH((FechaHoy-WEEKDAY(FechaHoy,2)+1+0),PrSemana,0)),"")</f>
        <v>5.1419582419677754</v>
      </c>
      <c r="D6" t="str">
        <f ca="1">IF(B6="","",IF(B6&lt;0,"FALTA",IF(C6&lt;2,"CRITICO",IF(C6&lt;CoberturaObjetivo,"JUSTO",IF(C6&gt;VidaVerde,"EXCESO","OK")))))</f>
        <v>JUSTO</v>
      </c>
      <c r="E6" t="str">
        <f ca="1">IF(D6="FALTA","se queda sin fruta: cargar ya",IF(D6="CRITICO","cargar esta semana, sin falta",IF(D6="JUSTO","priorizar este origen en los pedidos",IF(D6="EXCESO","frenar cargas: riesgo de merma",""))))</f>
        <v>priorizar este origen en los pedidos</v>
      </c>
    </row>
    <row r="7" spans="1:5">
      <c r="A7" s="3" t="s">
        <v>535</v>
      </c>
      <c r="B7" s="7">
        <f ca="1">IFERROR(INDEX(PrPY,MATCH((FechaHoy-WEEKDAY(FechaHoy,2)+1+0),PrSemana,0)),"")</f>
        <v>12269</v>
      </c>
      <c r="C7" s="22">
        <f ca="1">IFERROR(INDEX(PrPYd,MATCH((FechaHoy-WEEKDAY(FechaHoy,2)+1+0),PrSemana,0)),"")</f>
        <v>13.878959276018099</v>
      </c>
      <c r="D7" t="str">
        <f ca="1">IF(B7="","",IF(B7&lt;0,"FALTA",IF(C7&lt;2,"CRITICO",IF(C7&lt;CoberturaObjetivo,"JUSTO",IF(C7&gt;VidaVerde,"EXCESO","OK")))))</f>
        <v>OK</v>
      </c>
      <c r="E7" t="str">
        <f ca="1">IF(D7="FALTA","se queda sin fruta: cargar ya",IF(D7="CRITICO","cargar esta semana, sin falta",IF(D7="JUSTO","priorizar este origen en los pedidos",IF(D7="EXCESO","frenar cargas: riesgo de merma",""))))</f>
        <v/>
      </c>
    </row>
    <row r="8" spans="1:5">
      <c r="A8" s="3" t="s">
        <v>194</v>
      </c>
      <c r="B8" s="7">
        <f ca="1">IFERROR(INDEX(PrBO,MATCH((FechaHoy-WEEKDAY(FechaHoy,2)+1+0),PrSemana,0)),"")</f>
        <v>1640</v>
      </c>
      <c r="C8" s="22">
        <f ca="1">IFERROR(INDEX(PrBOd,MATCH((FechaHoy-WEEKDAY(FechaHoy,2)+1+0),PrSemana,0)),"")</f>
        <v>8.1524440762220394</v>
      </c>
      <c r="D8" t="str">
        <f ca="1">IF(B8="","",IF(B8&lt;0,"FALTA",IF(C8&lt;2,"CRITICO",IF(C8&lt;CoberturaObjetivo,"JUSTO",IF(C8&gt;VidaVerde,"EXCESO","OK")))))</f>
        <v>OK</v>
      </c>
      <c r="E8" t="str">
        <f ca="1">IF(D8="FALTA","se queda sin fruta: cargar ya",IF(D8="CRITICO","cargar esta semana, sin falta",IF(D8="JUSTO","priorizar este origen en los pedidos",IF(D8="EXCESO","frenar cargas: riesgo de merma",""))))</f>
        <v/>
      </c>
    </row>
    <row r="9" spans="1:5">
      <c r="A9" s="39" t="s">
        <v>536</v>
      </c>
      <c r="B9" s="40">
        <f ca="1">IFERROR(INDEX(PrProy,MATCH((FechaHoy-WEEKDAY(FechaHoy,2)+1+0),PrSemana,0)),"")</f>
        <v>22898</v>
      </c>
      <c r="C9" s="41">
        <f ca="1">IFERROR(INDEX(PrCobertura,MATCH((FechaHoy-WEEKDAY(FechaHoy,2)+1+0),PrSemana,0)),"")</f>
        <v>8.0816470588235294</v>
      </c>
      <c r="D9" s="42" t="str">
        <f ca="1">IFERROR(INDEX(PrEstado,MATCH((FechaHoy-WEEKDAY(FechaHoy,2)+1+0),PrSemana,0)),"")</f>
        <v>OK</v>
      </c>
      <c r="E9" s="42" t="str">
        <f ca="1">IFERROR(IF(INDEX(PrACargar,MATCH((FechaHoy-WEEKDAY(FechaHoy,2)+1+0),PrSemana,0))&gt;0,"cargar "&amp;INDEX(PrACargar,MATCH((FechaHoy-WEEKDAY(FechaHoy,2)+1+0),PrSemana,0))&amp;" camion(es) mas hasta el "&amp;TEXT(INDEX(PrLimite,MATCH((FechaHoy-WEEKDAY(FechaHoy,2)+1+0),PrSemana,0)),"ddd dd/mm")&amp;" para cerrar en "&amp;FIXED(MinimoSabado,0),"ok, cierra sobre "&amp;FIXED(MinimoSabado,0)),"")</f>
        <v>ok, cierra sobre 22.500</v>
      </c>
    </row>
    <row r="11" spans="1:5">
      <c r="A11" s="11" t="str">
        <f ca="1">"SEMANA PROXIMA (sabado "&amp;TEXT(INDEX(PrSab,MATCH((FechaHoy-WEEKDAY(FechaHoy,2)+1+7),PrSemana,0)),"dd/mm")&amp;")"</f>
        <v>SEMANA PROXIMA (sabado 10/10)</v>
      </c>
      <c r="B11" s="11"/>
      <c r="C11" s="11"/>
      <c r="D11" s="11"/>
      <c r="E11" s="11"/>
    </row>
    <row r="12" spans="1:5">
      <c r="A12" s="38" t="s">
        <v>173</v>
      </c>
      <c r="B12" s="38" t="s">
        <v>532</v>
      </c>
      <c r="C12" s="38" t="s">
        <v>240</v>
      </c>
      <c r="D12" s="38" t="s">
        <v>178</v>
      </c>
      <c r="E12" s="38" t="s">
        <v>533</v>
      </c>
    </row>
    <row r="13" spans="1:5">
      <c r="A13" s="3" t="s">
        <v>534</v>
      </c>
      <c r="B13" s="7">
        <f ca="1">IFERROR(INDEX(PrBR,MATCH((FechaHoy-WEEKDAY(FechaHoy,2)+1+7),PrSemana,0)),"")</f>
        <v>6492</v>
      </c>
      <c r="C13" s="22">
        <f ca="1">IFERROR(INDEX(PrBRd,MATCH((FechaHoy-WEEKDAY(FechaHoy,2)+1+7),PrSemana,0)),"")</f>
        <v>3.7136047287634661</v>
      </c>
      <c r="D13" t="str">
        <f ca="1">IF(B13="","",IF(B13&lt;0,"FALTA",IF(C13&lt;2,"CRITICO",IF(C13&lt;CoberturaObjetivo,"JUSTO",IF(C13&gt;VidaVerde,"EXCESO","OK")))))</f>
        <v>JUSTO</v>
      </c>
      <c r="E13" t="str">
        <f ca="1">IF(D13="FALTA","se queda sin fruta: cargar ya",IF(D13="CRITICO","cargar esta semana, sin falta",IF(D13="JUSTO","priorizar este origen en los pedidos",IF(D13="EXCESO","frenar cargas: riesgo de merma",""))))</f>
        <v>priorizar este origen en los pedidos</v>
      </c>
    </row>
    <row r="14" spans="1:5">
      <c r="A14" s="3" t="s">
        <v>535</v>
      </c>
      <c r="B14" s="7">
        <f ca="1">IFERROR(INDEX(PrPY,MATCH((FechaHoy-WEEKDAY(FechaHoy,2)+1+7),PrSemana,0)),"")</f>
        <v>11865</v>
      </c>
      <c r="C14" s="22">
        <f ca="1">IFERROR(INDEX(PrPYd,MATCH((FechaHoy-WEEKDAY(FechaHoy,2)+1+7),PrSemana,0)),"")</f>
        <v>13.421945701357465</v>
      </c>
      <c r="D14" t="str">
        <f ca="1">IF(B14="","",IF(B14&lt;0,"FALTA",IF(C14&lt;2,"CRITICO",IF(C14&lt;CoberturaObjetivo,"JUSTO",IF(C14&gt;VidaVerde,"EXCESO","OK")))))</f>
        <v>OK</v>
      </c>
      <c r="E14" t="str">
        <f ca="1">IF(D14="FALTA","se queda sin fruta: cargar ya",IF(D14="CRITICO","cargar esta semana, sin falta",IF(D14="JUSTO","priorizar este origen en los pedidos",IF(D14="EXCESO","frenar cargas: riesgo de merma",""))))</f>
        <v/>
      </c>
    </row>
    <row r="15" spans="1:5">
      <c r="A15" s="3" t="s">
        <v>194</v>
      </c>
      <c r="B15" s="7">
        <f ca="1">IFERROR(INDEX(PrBO,MATCH((FechaHoy-WEEKDAY(FechaHoy,2)+1+7),PrSemana,0)),"")</f>
        <v>433</v>
      </c>
      <c r="C15" s="22">
        <f ca="1">IFERROR(INDEX(PrBOd,MATCH((FechaHoy-WEEKDAY(FechaHoy,2)+1+7),PrSemana,0)),"")</f>
        <v>2.152444076222038</v>
      </c>
      <c r="D15" t="str">
        <f ca="1">IF(B15="","",IF(B15&lt;0,"FALTA",IF(C15&lt;2,"CRITICO",IF(C15&lt;CoberturaObjetivo,"JUSTO",IF(C15&gt;VidaVerde,"EXCESO","OK")))))</f>
        <v>JUSTO</v>
      </c>
      <c r="E15" t="str">
        <f ca="1">IF(D15="FALTA","se queda sin fruta: cargar ya",IF(D15="CRITICO","cargar esta semana, sin falta",IF(D15="JUSTO","priorizar este origen en los pedidos",IF(D15="EXCESO","frenar cargas: riesgo de merma",""))))</f>
        <v>priorizar este origen en los pedidos</v>
      </c>
    </row>
    <row r="16" spans="1:5">
      <c r="A16" s="39" t="s">
        <v>536</v>
      </c>
      <c r="B16" s="40">
        <f ca="1">IFERROR(INDEX(PrProy,MATCH((FechaHoy-WEEKDAY(FechaHoy,2)+1+7),PrSemana,0)),"")</f>
        <v>18790</v>
      </c>
      <c r="C16" s="41">
        <f ca="1">IFERROR(INDEX(PrCobertura,MATCH((FechaHoy-WEEKDAY(FechaHoy,2)+1+7),PrSemana,0)),"")</f>
        <v>8.0435294117647054</v>
      </c>
      <c r="D16" s="42" t="str">
        <f ca="1">IFERROR(INDEX(PrEstado,MATCH((FechaHoy-WEEKDAY(FechaHoy,2)+1+7),PrSemana,0)),"")</f>
        <v>CARGAR 4</v>
      </c>
      <c r="E16" s="42" t="str">
        <f ca="1">IFERROR(IF(INDEX(PrACargar,MATCH((FechaHoy-WEEKDAY(FechaHoy,2)+1+7),PrSemana,0))&gt;0,"cargar "&amp;INDEX(PrACargar,MATCH((FechaHoy-WEEKDAY(FechaHoy,2)+1+7),PrSemana,0))&amp;" camion(es) mas hasta el "&amp;TEXT(INDEX(PrLimite,MATCH((FechaHoy-WEEKDAY(FechaHoy,2)+1+7),PrSemana,0)),"ddd dd/mm")&amp;" para cerrar en "&amp;FIXED(MinimoSabado,0),"ok, cierra sobre "&amp;FIXED(MinimoSabado,0)),"")</f>
        <v>cargar 4 camion(es) mas hasta el mar 06/10 para cerrar en 22.500</v>
      </c>
    </row>
    <row r="18" spans="1:5">
      <c r="A18" s="11" t="str">
        <f ca="1">"EN DOS SEMANAS (sabado "&amp;TEXT(INDEX(PrSab,MATCH((FechaHoy-WEEKDAY(FechaHoy,2)+1+14),PrSemana,0)),"dd/mm")&amp;")"</f>
        <v>EN DOS SEMANAS (sabado 17/10)</v>
      </c>
      <c r="B18" s="11"/>
      <c r="C18" s="11"/>
      <c r="D18" s="11"/>
      <c r="E18" s="11"/>
    </row>
    <row r="19" spans="1:5">
      <c r="A19" s="38" t="s">
        <v>173</v>
      </c>
      <c r="B19" s="38" t="s">
        <v>532</v>
      </c>
      <c r="C19" s="38" t="s">
        <v>240</v>
      </c>
      <c r="D19" s="38" t="s">
        <v>178</v>
      </c>
      <c r="E19" s="38" t="s">
        <v>533</v>
      </c>
    </row>
    <row r="20" spans="1:5">
      <c r="A20" s="3" t="s">
        <v>534</v>
      </c>
      <c r="B20" s="7">
        <f ca="1">IFERROR(INDEX(PrBR,MATCH((FechaHoy-WEEKDAY(FechaHoy,2)+1+14),PrSemana,0)),"")</f>
        <v>4067</v>
      </c>
      <c r="C20" s="22">
        <f ca="1">IFERROR(INDEX(PrBRd,MATCH((FechaHoy-WEEKDAY(FechaHoy,2)+1+14),PrSemana,0)),"")</f>
        <v>2.3264372199447041</v>
      </c>
      <c r="D20" t="str">
        <f ca="1">IF(B20="","",IF(B20&lt;0,"FALTA",IF(C20&lt;2,"CRITICO",IF(C20&lt;CoberturaObjetivo,"JUSTO",IF(C20&gt;VidaVerde,"EXCESO","OK")))))</f>
        <v>JUSTO</v>
      </c>
      <c r="E20" t="str">
        <f ca="1">IF(D20="FALTA","se queda sin fruta: cargar ya",IF(D20="CRITICO","cargar esta semana, sin falta",IF(D20="JUSTO","priorizar este origen en los pedidos",IF(D20="EXCESO","frenar cargas: riesgo de merma",""))))</f>
        <v>priorizar este origen en los pedidos</v>
      </c>
    </row>
    <row r="21" spans="1:5">
      <c r="A21" s="3" t="s">
        <v>535</v>
      </c>
      <c r="B21" s="7">
        <f ca="1">IFERROR(INDEX(PrPY,MATCH((FechaHoy-WEEKDAY(FechaHoy,2)+1+14),PrSemana,0)),"")</f>
        <v>11461</v>
      </c>
      <c r="C21" s="22">
        <f ca="1">IFERROR(INDEX(PrPYd,MATCH((FechaHoy-WEEKDAY(FechaHoy,2)+1+14),PrSemana,0)),"")</f>
        <v>12.964932126696832</v>
      </c>
      <c r="D21" t="str">
        <f ca="1">IF(B21="","",IF(B21&lt;0,"FALTA",IF(C21&lt;2,"CRITICO",IF(C21&lt;CoberturaObjetivo,"JUSTO",IF(C21&gt;VidaVerde,"EXCESO","OK")))))</f>
        <v>OK</v>
      </c>
      <c r="E21" t="str">
        <f ca="1">IF(D21="FALTA","se queda sin fruta: cargar ya",IF(D21="CRITICO","cargar esta semana, sin falta",IF(D21="JUSTO","priorizar este origen en los pedidos",IF(D21="EXCESO","frenar cargas: riesgo de merma",""))))</f>
        <v/>
      </c>
    </row>
    <row r="22" spans="1:5">
      <c r="A22" s="3" t="s">
        <v>194</v>
      </c>
      <c r="B22" s="7">
        <f ca="1">IFERROR(INDEX(PrBO,MATCH((FechaHoy-WEEKDAY(FechaHoy,2)+1+14),PrSemana,0)),"")</f>
        <v>-774</v>
      </c>
      <c r="C22" s="22">
        <f ca="1">IFERROR(INDEX(PrBOd,MATCH((FechaHoy-WEEKDAY(FechaHoy,2)+1+14),PrSemana,0)),"")</f>
        <v>-3.847555923777962</v>
      </c>
      <c r="D22" t="str">
        <f ca="1">IF(B22="","",IF(B22&lt;0,"FALTA",IF(C22&lt;2,"CRITICO",IF(C22&lt;CoberturaObjetivo,"JUSTO",IF(C22&gt;VidaVerde,"EXCESO","OK")))))</f>
        <v>FALTA</v>
      </c>
      <c r="E22" t="str">
        <f ca="1">IF(D22="FALTA","se queda sin fruta: cargar ya",IF(D22="CRITICO","cargar esta semana, sin falta",IF(D22="JUSTO","priorizar este origen en los pedidos",IF(D22="EXCESO","frenar cargas: riesgo de merma",""))))</f>
        <v>se queda sin fruta: cargar ya</v>
      </c>
    </row>
    <row r="23" spans="1:5">
      <c r="A23" s="39" t="s">
        <v>536</v>
      </c>
      <c r="B23" s="40">
        <f ca="1">IFERROR(INDEX(PrProy,MATCH((FechaHoy-WEEKDAY(FechaHoy,2)+1+14),PrSemana,0)),"")</f>
        <v>18754</v>
      </c>
      <c r="C23" s="41">
        <f ca="1">IFERROR(INDEX(PrCobertura,MATCH((FechaHoy-WEEKDAY(FechaHoy,2)+1+14),PrSemana,0)),"")</f>
        <v>8.030823529411764</v>
      </c>
      <c r="D23" s="42" t="str">
        <f ca="1">IFERROR(INDEX(PrEstado,MATCH((FechaHoy-WEEKDAY(FechaHoy,2)+1+14),PrSemana,0)),"")</f>
        <v>CARGAR 4</v>
      </c>
      <c r="E23" s="42" t="str">
        <f ca="1">IFERROR(IF(INDEX(PrACargar,MATCH((FechaHoy-WEEKDAY(FechaHoy,2)+1+14),PrSemana,0))&gt;0,"cargar "&amp;INDEX(PrACargar,MATCH((FechaHoy-WEEKDAY(FechaHoy,2)+1+14),PrSemana,0))&amp;" camion(es) mas hasta el "&amp;TEXT(INDEX(PrLimite,MATCH((FechaHoy-WEEKDAY(FechaHoy,2)+1+14),PrSemana,0)),"ddd dd/mm")&amp;" para cerrar en "&amp;FIXED(MinimoSabado,0),"ok, cierra sobre "&amp;FIXED(MinimoSabado,0)),"")</f>
        <v>cargar 4 camion(es) mas hasta el mar 13/10 para cerrar en 22.500</v>
      </c>
    </row>
    <row r="25" spans="1:5" ht="30">
      <c r="A25" s="11" t="s">
        <v>537</v>
      </c>
      <c r="B25" s="11"/>
      <c r="C25" s="11"/>
      <c r="D25" s="11"/>
      <c r="E25" s="11"/>
    </row>
    <row r="26" spans="1:5">
      <c r="A26" s="45" t="str">
        <f ca="1">IF(COUNTIFS(CgOrigen,"BO",CgCuenta,1,CgSemana,"&gt;="&amp;(FechaHoy-WEEKDAY(FechaHoy,2)+1))=0,"Bolivia: no hay ningun camion en camino ni dictado. Tarda 6 dias: para que entre el sabado que viene tiene que cargar antes del "&amp;TEXT(FechaHoy-WEEKDAY(FechaHoy,2)+1+12-LagBO,"ddd dd/mm"),"Bolivia: "&amp;COUNTIFS(CgOrigen,"BO",CgCuenta,1,CgSemana,"&gt;="&amp;(FechaHoy-WEEKDAY(FechaHoy,2)+1))&amp;" camion(es) en el plan")</f>
        <v>Bolivia: 1 camion(es) en el plan</v>
      </c>
      <c r="B26" s="46"/>
      <c r="C26" s="46"/>
      <c r="D26" s="46"/>
      <c r="E26" s="46"/>
    </row>
    <row r="27" spans="1:5">
      <c r="A27" s="45" t="str">
        <f ca="1">"Paraguay: "&amp;COUNTIFS(CgEstado,"Supuesto",CgSemana,"&gt;="&amp;(FechaHoy-WEEKDAY(FechaHoy,2)+1),CgSemana,"&lt;"&amp;(FechaHoy-WEEKDAY(FechaHoy,2)+1+14))&amp;" camiones SUPUESTOS en las proximas 2 semanas (todavia no dictados). El plan es firme cuando se dictan."</f>
        <v>Paraguay: 5 camiones SUPUESTOS en las proximas 2 semanas (todavia no dictados). El plan es firme cuando se dictan.</v>
      </c>
      <c r="B27" s="46"/>
      <c r="C27" s="46"/>
      <c r="D27" s="46"/>
      <c r="E27" s="46"/>
    </row>
    <row r="28" spans="1:5">
      <c r="A28" s="45" t="str">
        <f>"Brasil: "&amp;COUNTIFS(CgEstado,"Supuesto BR",CgCuenta,1)&amp;" camiones SUPUESTOS (8 por semana los viernes) en las semanas posteriores a la ultima dictada. Se apagan en Parametros &gt; SupBR."</f>
        <v>Brasil: 88 camiones SUPUESTOS (8 por semana los viernes) en las semanas posteriores a la ultima dictada. Se apagan en Parametros &gt; SupBR.</v>
      </c>
      <c r="B28" s="46"/>
      <c r="C28" s="46"/>
      <c r="D28" s="46"/>
      <c r="E28" s="46"/>
    </row>
    <row r="29" spans="1:5">
      <c r="A29" s="45" t="str">
        <f>"Dictados que Aloha aun no tiene: "&amp;COUNTIFS(CgEstado,"Dictado",CgCuenta,1)&amp;" camiones. Pasan a Aloha cuando se cargan en el sistema."</f>
        <v>Dictados que Aloha aun no tiene: 16 camiones. Pasan a Aloha cuando se cargan en el sistema.</v>
      </c>
      <c r="B29" s="46"/>
      <c r="C29" s="46"/>
      <c r="D29" s="46"/>
      <c r="E29" s="46"/>
    </row>
    <row r="30" spans="1:5">
      <c r="A30" s="45" t="str">
        <f ca="1">IFERROR("Frontera lenta (P90): el sabado "&amp;TEXT(INDEX(PrSab,MATCH(FechaHoy-WEEKDAY(FechaHoy,2)+1,PrSemana,0)),"dd/mm")&amp;" cerraria en "&amp;FIXED(INDEX(Escenarios!L6:L18,MATCH(FechaHoy-WEEKDAY(FechaHoy,2)+1,PrSemana,0)),0)&amp;" cajas ("&amp;IF(INDEX(Escenarios!G6:G18,MATCH(FechaHoy-WEEKDAY(FechaHoy,2)+1,PrSemana,0))&gt;INDEX(Escenarios!L6:L18,MATCH(FechaHoy-WEEKDAY(FechaHoy,2)+1,PrSemana,0)),FIXED(INDEX(Escenarios!G6:G18,MATCH(FechaHoy-WEEKDAY(FechaHoy,2)+1,PrSemana,0))-INDEX(Escenarios!L6:L18,MATCH(FechaHoy-WEEKDAY(FechaHoy,2)+1,PrSemana,0)),0)&amp;" menos que el plan","igual o mas que el plan")&amp;") y el "&amp;TEXT(INDEX(PrSab,MATCH(FechaHoy-WEEKDAY(FechaHoy,2)+1+7,PrSemana,0)),"dd/mm")&amp;" en "&amp;FIXED(INDEX(Escenarios!L6:L18,MATCH(FechaHoy-WEEKDAY(FechaHoy,2)+1+7,PrSemana,0)),0)&amp;" (plan: "&amp;FIXED(INDEX(Escenarios!G6:G18,MATCH(FechaHoy-WEEKDAY(FechaHoy,2)+1+7,PrSemana,0)),0)&amp;").","")</f>
        <v>Frontera lenta (P90): el sabado 03/10 cerraria en 18.866 cajas (4.032 menos que el plan) y el 10/10 en 22.790 (plan: 18.790).</v>
      </c>
      <c r="B30" s="46"/>
      <c r="C30" s="46"/>
      <c r="D30" s="46"/>
      <c r="E30" s="46"/>
    </row>
    <row r="31" spans="1:5">
      <c r="A31" s="45" t="str">
        <f>"Escenario de venta activo: "&amp;Parametros!B8&amp;" (factor "&amp;FIXED(FactorEscenario,2)&amp;"). Atraso extra en frontera: "&amp;AtrasoDias&amp;" dia(s)."</f>
        <v>Escenario de venta activo: Base (factor 1,00). Atraso extra en frontera: 0 dia(s).</v>
      </c>
      <c r="B31" s="46"/>
      <c r="C31" s="46"/>
      <c r="D31" s="46"/>
      <c r="E31" s="46"/>
    </row>
    <row r="32" spans="1:5">
      <c r="A32" s="45" t="str">
        <f>IF(CapMadurar="","Capacidad de maduracion: sin cargar en Parametros (camaras, cajas por camara, ciclo). Hasta entonces no se controla el cuello de botella.","Capacidad de maduracion: "&amp;FIXED(CapMadurar,0)&amp;" cajas/semana.")</f>
        <v>Capacidad de maduracion: sin cargar en Parametros (camaras, cajas por camara, ciclo). Hasta entonces no se controla el cuello de botella.</v>
      </c>
      <c r="B32" s="46"/>
      <c r="C32" s="46"/>
      <c r="D32" s="46"/>
      <c r="E32" s="46"/>
    </row>
    <row r="33" spans="1:5">
      <c r="A33" s="45" t="str">
        <f ca="1">"Verde en transito (cargado y sin descargar): "&amp;FIXED(SUM(CgPipeline),0)&amp;" cajas."</f>
        <v>Verde en transito (cargado y sin descargar): 7.922 cajas.</v>
      </c>
      <c r="B33" s="46"/>
      <c r="C33" s="46"/>
      <c r="D33" s="46"/>
      <c r="E33" s="46"/>
    </row>
  </sheetData>
  <mergeCells count="8">
    <mergeCell ref="A31:E31"/>
    <mergeCell ref="A32:E32"/>
    <mergeCell ref="A33:E33"/>
    <mergeCell ref="A26:E26"/>
    <mergeCell ref="A27:E27"/>
    <mergeCell ref="A28:E28"/>
    <mergeCell ref="A29:E29"/>
    <mergeCell ref="A30:E30"/>
  </mergeCells>
  <conditionalFormatting sqref="D6:D9">
    <cfRule type="expression" dxfId="102" priority="1">
      <formula>OR(LEFT(D6,5)="FALTA",LEFT(D6,7)="CRITICO",LEFT(D6,4)="BAJO")</formula>
    </cfRule>
    <cfRule type="expression" dxfId="101" priority="2">
      <formula>OR(LEFT(D6,5)="JUSTO",LEFT(D6,6)="CARGAR")</formula>
    </cfRule>
    <cfRule type="expression" dxfId="100" priority="3">
      <formula>LEFT(D6,6)="EXCESO"</formula>
    </cfRule>
    <cfRule type="expression" dxfId="99" priority="4">
      <formula>D6="OK"</formula>
    </cfRule>
  </conditionalFormatting>
  <conditionalFormatting sqref="D13:D16">
    <cfRule type="expression" dxfId="98" priority="5">
      <formula>OR(LEFT(D13,5)="FALTA",LEFT(D13,7)="CRITICO",LEFT(D13,4)="BAJO")</formula>
    </cfRule>
    <cfRule type="expression" dxfId="97" priority="6">
      <formula>OR(LEFT(D13,5)="JUSTO",LEFT(D13,6)="CARGAR")</formula>
    </cfRule>
    <cfRule type="expression" dxfId="96" priority="7">
      <formula>LEFT(D13,6)="EXCESO"</formula>
    </cfRule>
    <cfRule type="expression" dxfId="95" priority="8">
      <formula>D13="OK"</formula>
    </cfRule>
  </conditionalFormatting>
  <conditionalFormatting sqref="D20:D23">
    <cfRule type="expression" dxfId="94" priority="9">
      <formula>OR(LEFT(D20,5)="FALTA",LEFT(D20,7)="CRITICO",LEFT(D20,4)="BAJO")</formula>
    </cfRule>
    <cfRule type="expression" dxfId="93" priority="10">
      <formula>OR(LEFT(D20,5)="JUSTO",LEFT(D20,6)="CARGAR")</formula>
    </cfRule>
    <cfRule type="expression" dxfId="92" priority="11">
      <formula>LEFT(D20,6)="EXCESO"</formula>
    </cfRule>
    <cfRule type="expression" dxfId="91" priority="12">
      <formula>D20="OK"</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20"/>
  <sheetViews>
    <sheetView workbookViewId="0">
      <pane xSplit="2" ySplit="5" topLeftCell="C6" activePane="bottomRight" state="frozen"/>
      <selection pane="topRight" activeCell="C1" sqref="C1"/>
      <selection pane="bottomLeft" activeCell="A6" sqref="A6"/>
      <selection pane="bottomRight"/>
    </sheetView>
  </sheetViews>
  <sheetFormatPr baseColWidth="10" defaultColWidth="9.140625" defaultRowHeight="15"/>
  <cols>
    <col min="1" max="1" width="13" customWidth="1"/>
    <col min="2" max="2" width="11" customWidth="1"/>
    <col min="3" max="3" width="12" customWidth="1"/>
    <col min="4" max="4" width="11" customWidth="1"/>
    <col min="5" max="5" width="12" customWidth="1"/>
    <col min="6" max="6" width="11" customWidth="1"/>
    <col min="7" max="7" width="12" customWidth="1"/>
    <col min="8" max="8" width="11" customWidth="1"/>
    <col min="9" max="9" width="12" customWidth="1"/>
    <col min="10" max="10" width="11" customWidth="1"/>
    <col min="11" max="12" width="12" customWidth="1"/>
    <col min="13" max="13" width="11" customWidth="1"/>
    <col min="14" max="16" width="14" customWidth="1"/>
  </cols>
  <sheetData>
    <row r="1" spans="1:16" ht="21">
      <c r="A1" s="1" t="s">
        <v>260</v>
      </c>
    </row>
    <row r="2" spans="1:16">
      <c r="A2" s="2" t="s">
        <v>261</v>
      </c>
    </row>
    <row r="5" spans="1:16" ht="45">
      <c r="A5" s="11" t="s">
        <v>139</v>
      </c>
      <c r="B5" s="11" t="s">
        <v>160</v>
      </c>
      <c r="C5" s="11" t="s">
        <v>232</v>
      </c>
      <c r="D5" s="11" t="s">
        <v>262</v>
      </c>
      <c r="E5" s="11" t="s">
        <v>263</v>
      </c>
      <c r="F5" s="11" t="s">
        <v>264</v>
      </c>
      <c r="G5" s="11" t="s">
        <v>265</v>
      </c>
      <c r="H5" s="11" t="s">
        <v>266</v>
      </c>
      <c r="I5" s="11" t="s">
        <v>267</v>
      </c>
      <c r="J5" s="11" t="s">
        <v>268</v>
      </c>
      <c r="K5" s="11" t="s">
        <v>269</v>
      </c>
      <c r="L5" s="11" t="s">
        <v>270</v>
      </c>
      <c r="M5" s="11" t="s">
        <v>271</v>
      </c>
      <c r="N5" s="11" t="s">
        <v>272</v>
      </c>
      <c r="O5" s="11" t="s">
        <v>273</v>
      </c>
      <c r="P5" s="11" t="s">
        <v>274</v>
      </c>
    </row>
    <row r="6" spans="1:16">
      <c r="A6" s="5">
        <f>Proyeccion!A6</f>
        <v>46286</v>
      </c>
      <c r="B6" s="5">
        <f>Proyeccion!B6</f>
        <v>46291</v>
      </c>
      <c r="C6" s="7">
        <f>Proyeccion!E6</f>
        <v>980</v>
      </c>
      <c r="D6" s="7">
        <f>Proyeccion!F6</f>
        <v>0</v>
      </c>
      <c r="E6" s="7">
        <f>ConteoTotal+C6-ROUND(D6*0.9,0)</f>
        <v>27952</v>
      </c>
      <c r="F6">
        <f ca="1">IF(AND(E6&lt;MinimoSabado,Proyeccion!J6&gt;=FechaHoy),ROUNDUP((MinimoSabado-E6)/CajasProm,0),0)</f>
        <v>0</v>
      </c>
      <c r="G6" s="7">
        <f>ConteoTotal+C6-ROUND(D6*1,0)</f>
        <v>27952</v>
      </c>
      <c r="H6">
        <f ca="1">IF(AND(G6&lt;MinimoSabado,Proyeccion!J6&gt;=FechaHoy),ROUNDUP((MinimoSabado-G6)/CajasProm,0),0)</f>
        <v>0</v>
      </c>
      <c r="I6" s="7">
        <f>ConteoTotal+C6-ROUND(D6*1.1,0)</f>
        <v>27952</v>
      </c>
      <c r="J6">
        <f ca="1">IF(AND(I6&lt;MinimoSabado,Proyeccion!J6&gt;=FechaHoy),ROUNDUP((MinimoSabado-I6)/CajasProm,0),0)</f>
        <v>0</v>
      </c>
      <c r="K6" s="7">
        <f t="shared" ref="K6:K18" si="0">SUMIFS(CgCajas,CgSemanaP90,A6,CgCuenta,1)</f>
        <v>980</v>
      </c>
      <c r="L6" s="7">
        <f>ConteoTotal+K6-D6</f>
        <v>27952</v>
      </c>
      <c r="M6">
        <f ca="1">IF(AND(L6&lt;MinimoSabado,Proyeccion!J6&gt;=FechaHoy),ROUNDUP((MinimoSabado-L6)/CajasProm,0),0)</f>
        <v>0</v>
      </c>
      <c r="N6" s="7">
        <f t="shared" ref="N6:N18" ca="1" si="1">G6-IF(A6&gt;=FechaHoy-WEEKDAY(FechaHoy,2)+8,3*CajasPY,0)</f>
        <v>27952</v>
      </c>
      <c r="O6" s="7">
        <f t="shared" ref="O6:O18" ca="1" si="2">G6-IF(A6&gt;=FechaHoy-WEEKDAY(FechaHoy,2)+8,1000,0)</f>
        <v>27952</v>
      </c>
      <c r="P6" s="7">
        <f t="shared" ref="P6:P18" ca="1" si="3">G6-SUMIFS(CgCajas,CgOrigen,"BO",CgCuenta,1,CgSemana,"&gt;="&amp;(FechaHoy-WEEKDAY(FechaHoy,2)+8),CgSemana,"&lt;="&amp;MIN(A6,FechaHoy-WEEKDAY(FechaHoy,2)+15))</f>
        <v>27952</v>
      </c>
    </row>
    <row r="7" spans="1:16">
      <c r="A7" s="5">
        <f>Proyeccion!A7</f>
        <v>46293</v>
      </c>
      <c r="B7" s="5">
        <f>Proyeccion!B7</f>
        <v>46298</v>
      </c>
      <c r="C7" s="7">
        <f>Proyeccion!E7</f>
        <v>10946</v>
      </c>
      <c r="D7" s="7">
        <f>Proyeccion!F7</f>
        <v>16000</v>
      </c>
      <c r="E7" s="7">
        <f t="shared" ref="E7:E18" ca="1" si="4">(E6+F6*CajasProm)+C7-ROUND(D7*0.9,0)</f>
        <v>24498</v>
      </c>
      <c r="F7">
        <f ca="1">IF(AND(E7&lt;MinimoSabado,Proyeccion!J7&gt;=FechaHoy),ROUNDUP((MinimoSabado-E7)/CajasProm,0),0)</f>
        <v>0</v>
      </c>
      <c r="G7" s="7">
        <f t="shared" ref="G7:G18" ca="1" si="5">(G6+H6*CajasProm)+C7-ROUND(D7*1,0)</f>
        <v>22898</v>
      </c>
      <c r="H7">
        <f ca="1">IF(AND(G7&lt;MinimoSabado,Proyeccion!J7&gt;=FechaHoy),ROUNDUP((MinimoSabado-G7)/CajasProm,0),0)</f>
        <v>0</v>
      </c>
      <c r="I7" s="7">
        <f t="shared" ref="I7:I18" ca="1" si="6">(I6+J6*CajasProm)+C7-ROUND(D7*1.1,0)</f>
        <v>21298</v>
      </c>
      <c r="J7">
        <f ca="1">IF(AND(I7&lt;MinimoSabado,Proyeccion!J7&gt;=FechaHoy),ROUNDUP((MinimoSabado-I7)/CajasProm,0),0)</f>
        <v>2</v>
      </c>
      <c r="K7" s="7">
        <f t="shared" si="0"/>
        <v>6914</v>
      </c>
      <c r="L7" s="7">
        <f t="shared" ref="L7:L18" ca="1" si="7">(L6+M6*CajasProm)+K7-D7</f>
        <v>18866</v>
      </c>
      <c r="M7">
        <f ca="1">IF(AND(L7&lt;MinimoSabado,Proyeccion!J7&gt;=FechaHoy),ROUNDUP((MinimoSabado-L7)/CajasProm,0),0)</f>
        <v>4</v>
      </c>
      <c r="N7" s="7">
        <f t="shared" ca="1" si="1"/>
        <v>22898</v>
      </c>
      <c r="O7" s="7">
        <f t="shared" ca="1" si="2"/>
        <v>22898</v>
      </c>
      <c r="P7" s="7">
        <f t="shared" ca="1" si="3"/>
        <v>22898</v>
      </c>
    </row>
    <row r="8" spans="1:16">
      <c r="A8" s="5">
        <f>Proyeccion!A8</f>
        <v>46300</v>
      </c>
      <c r="B8" s="5">
        <f>Proyeccion!B8</f>
        <v>46305</v>
      </c>
      <c r="C8" s="7">
        <f>Proyeccion!E8</f>
        <v>12892</v>
      </c>
      <c r="D8" s="7">
        <f>Proyeccion!F8</f>
        <v>17000</v>
      </c>
      <c r="E8" s="7">
        <f t="shared" ca="1" si="4"/>
        <v>22090</v>
      </c>
      <c r="F8">
        <f ca="1">IF(AND(E8&lt;MinimoSabado,Proyeccion!J8&gt;=FechaHoy),ROUNDUP((MinimoSabado-E8)/CajasProm,0),0)</f>
        <v>1</v>
      </c>
      <c r="G8" s="7">
        <f t="shared" ca="1" si="5"/>
        <v>18790</v>
      </c>
      <c r="H8">
        <f ca="1">IF(AND(G8&lt;MinimoSabado,Proyeccion!J8&gt;=FechaHoy),ROUNDUP((MinimoSabado-G8)/CajasProm,0),0)</f>
        <v>4</v>
      </c>
      <c r="I8" s="7">
        <f t="shared" ca="1" si="6"/>
        <v>17490</v>
      </c>
      <c r="J8">
        <f ca="1">IF(AND(I8&lt;MinimoSabado,Proyeccion!J8&gt;=FechaHoy),ROUNDUP((MinimoSabado-I8)/CajasProm,0),0)</f>
        <v>6</v>
      </c>
      <c r="K8" s="7">
        <f t="shared" si="0"/>
        <v>16924</v>
      </c>
      <c r="L8" s="7">
        <f t="shared" ca="1" si="7"/>
        <v>22790</v>
      </c>
      <c r="M8">
        <f ca="1">IF(AND(L8&lt;MinimoSabado,Proyeccion!J8&gt;=FechaHoy),ROUNDUP((MinimoSabado-L8)/CajasProm,0),0)</f>
        <v>0</v>
      </c>
      <c r="N8" s="7">
        <f t="shared" ca="1" si="1"/>
        <v>15850</v>
      </c>
      <c r="O8" s="7">
        <f t="shared" ca="1" si="2"/>
        <v>17790</v>
      </c>
      <c r="P8" s="7">
        <f t="shared" ca="1" si="3"/>
        <v>18790</v>
      </c>
    </row>
    <row r="9" spans="1:16">
      <c r="A9" s="5">
        <f>Proyeccion!A9</f>
        <v>46307</v>
      </c>
      <c r="B9" s="5">
        <f>Proyeccion!B9</f>
        <v>46312</v>
      </c>
      <c r="C9" s="7">
        <f>Proyeccion!E9</f>
        <v>12964</v>
      </c>
      <c r="D9" s="7">
        <f>Proyeccion!F9</f>
        <v>17000</v>
      </c>
      <c r="E9" s="7">
        <f t="shared" ca="1" si="4"/>
        <v>20754</v>
      </c>
      <c r="F9">
        <f ca="1">IF(AND(E9&lt;MinimoSabado,Proyeccion!J9&gt;=FechaHoy),ROUNDUP((MinimoSabado-E9)/CajasProm,0),0)</f>
        <v>2</v>
      </c>
      <c r="G9" s="7">
        <f t="shared" ca="1" si="5"/>
        <v>18754</v>
      </c>
      <c r="H9">
        <f ca="1">IF(AND(G9&lt;MinimoSabado,Proyeccion!J9&gt;=FechaHoy),ROUNDUP((MinimoSabado-G9)/CajasProm,0),0)</f>
        <v>4</v>
      </c>
      <c r="I9" s="7">
        <f t="shared" ca="1" si="6"/>
        <v>17754</v>
      </c>
      <c r="J9">
        <f ca="1">IF(AND(I9&lt;MinimoSabado,Proyeccion!J9&gt;=FechaHoy),ROUNDUP((MinimoSabado-I9)/CajasProm,0),0)</f>
        <v>5</v>
      </c>
      <c r="K9" s="7">
        <f t="shared" si="0"/>
        <v>12964</v>
      </c>
      <c r="L9" s="7">
        <f t="shared" ca="1" si="7"/>
        <v>18754</v>
      </c>
      <c r="M9">
        <f ca="1">IF(AND(L9&lt;MinimoSabado,Proyeccion!J9&gt;=FechaHoy),ROUNDUP((MinimoSabado-L9)/CajasProm,0),0)</f>
        <v>4</v>
      </c>
      <c r="N9" s="7">
        <f t="shared" ca="1" si="1"/>
        <v>15814</v>
      </c>
      <c r="O9" s="7">
        <f t="shared" ca="1" si="2"/>
        <v>17754</v>
      </c>
      <c r="P9" s="7">
        <f t="shared" ca="1" si="3"/>
        <v>18754</v>
      </c>
    </row>
    <row r="10" spans="1:16">
      <c r="A10" s="5">
        <f>Proyeccion!A10</f>
        <v>46314</v>
      </c>
      <c r="B10" s="5">
        <f>Proyeccion!B10</f>
        <v>46319</v>
      </c>
      <c r="C10" s="7">
        <f>Proyeccion!E10</f>
        <v>12964</v>
      </c>
      <c r="D10" s="7">
        <f>Proyeccion!F10</f>
        <v>17000</v>
      </c>
      <c r="E10" s="7">
        <f t="shared" ca="1" si="4"/>
        <v>20418</v>
      </c>
      <c r="F10">
        <f ca="1">IF(AND(E10&lt;MinimoSabado,Proyeccion!J10&gt;=FechaHoy),ROUNDUP((MinimoSabado-E10)/CajasProm,0),0)</f>
        <v>3</v>
      </c>
      <c r="G10" s="7">
        <f t="shared" ca="1" si="5"/>
        <v>18718</v>
      </c>
      <c r="H10">
        <f ca="1">IF(AND(G10&lt;MinimoSabado,Proyeccion!J10&gt;=FechaHoy),ROUNDUP((MinimoSabado-G10)/CajasProm,0),0)</f>
        <v>4</v>
      </c>
      <c r="I10" s="7">
        <f t="shared" ca="1" si="6"/>
        <v>17018</v>
      </c>
      <c r="J10">
        <f ca="1">IF(AND(I10&lt;MinimoSabado,Proyeccion!J10&gt;=FechaHoy),ROUNDUP((MinimoSabado-I10)/CajasProm,0),0)</f>
        <v>6</v>
      </c>
      <c r="K10" s="7">
        <f t="shared" si="0"/>
        <v>12964</v>
      </c>
      <c r="L10" s="7">
        <f t="shared" ca="1" si="7"/>
        <v>18718</v>
      </c>
      <c r="M10">
        <f ca="1">IF(AND(L10&lt;MinimoSabado,Proyeccion!J10&gt;=FechaHoy),ROUNDUP((MinimoSabado-L10)/CajasProm,0),0)</f>
        <v>4</v>
      </c>
      <c r="N10" s="7">
        <f t="shared" ca="1" si="1"/>
        <v>15778</v>
      </c>
      <c r="O10" s="7">
        <f t="shared" ca="1" si="2"/>
        <v>17718</v>
      </c>
      <c r="P10" s="7">
        <f t="shared" ca="1" si="3"/>
        <v>18718</v>
      </c>
    </row>
    <row r="11" spans="1:16">
      <c r="A11" s="5">
        <f>Proyeccion!A11</f>
        <v>46321</v>
      </c>
      <c r="B11" s="5">
        <f>Proyeccion!B11</f>
        <v>46326</v>
      </c>
      <c r="C11" s="7">
        <f>Proyeccion!E11</f>
        <v>8064</v>
      </c>
      <c r="D11" s="7">
        <f>Proyeccion!F11</f>
        <v>17000</v>
      </c>
      <c r="E11" s="7">
        <f t="shared" ca="1" si="4"/>
        <v>16182</v>
      </c>
      <c r="F11">
        <f ca="1">IF(AND(E11&lt;MinimoSabado,Proyeccion!J11&gt;=FechaHoy),ROUNDUP((MinimoSabado-E11)/CajasProm,0),0)</f>
        <v>7</v>
      </c>
      <c r="G11" s="7">
        <f t="shared" ca="1" si="5"/>
        <v>13782</v>
      </c>
      <c r="H11">
        <f ca="1">IF(AND(G11&lt;MinimoSabado,Proyeccion!J11&gt;=FechaHoy),ROUNDUP((MinimoSabado-G11)/CajasProm,0),0)</f>
        <v>9</v>
      </c>
      <c r="I11" s="7">
        <f t="shared" ca="1" si="6"/>
        <v>12382</v>
      </c>
      <c r="J11">
        <f ca="1">IF(AND(I11&lt;MinimoSabado,Proyeccion!J11&gt;=FechaHoy),ROUNDUP((MinimoSabado-I11)/CajasProm,0),0)</f>
        <v>11</v>
      </c>
      <c r="K11" s="7">
        <f t="shared" si="0"/>
        <v>8064</v>
      </c>
      <c r="L11" s="7">
        <f t="shared" ca="1" si="7"/>
        <v>13782</v>
      </c>
      <c r="M11">
        <f ca="1">IF(AND(L11&lt;MinimoSabado,Proyeccion!J11&gt;=FechaHoy),ROUNDUP((MinimoSabado-L11)/CajasProm,0),0)</f>
        <v>9</v>
      </c>
      <c r="N11" s="7">
        <f t="shared" ca="1" si="1"/>
        <v>10842</v>
      </c>
      <c r="O11" s="7">
        <f t="shared" ca="1" si="2"/>
        <v>12782</v>
      </c>
      <c r="P11" s="7">
        <f t="shared" ca="1" si="3"/>
        <v>13782</v>
      </c>
    </row>
    <row r="12" spans="1:16">
      <c r="A12" s="5">
        <f>Proyeccion!A12</f>
        <v>46328</v>
      </c>
      <c r="B12" s="5">
        <f>Proyeccion!B12</f>
        <v>46333</v>
      </c>
      <c r="C12" s="7">
        <f>Proyeccion!E12</f>
        <v>8064</v>
      </c>
      <c r="D12" s="7">
        <f>Proyeccion!F12</f>
        <v>17000</v>
      </c>
      <c r="E12" s="7">
        <f t="shared" ca="1" si="4"/>
        <v>15946</v>
      </c>
      <c r="F12">
        <f ca="1">IF(AND(E12&lt;MinimoSabado,Proyeccion!J12&gt;=FechaHoy),ROUNDUP((MinimoSabado-E12)/CajasProm,0),0)</f>
        <v>7</v>
      </c>
      <c r="G12" s="7">
        <f t="shared" ca="1" si="5"/>
        <v>13846</v>
      </c>
      <c r="H12">
        <f ca="1">IF(AND(G12&lt;MinimoSabado,Proyeccion!J12&gt;=FechaHoy),ROUNDUP((MinimoSabado-G12)/CajasProm,0),0)</f>
        <v>9</v>
      </c>
      <c r="I12" s="7">
        <f t="shared" ca="1" si="6"/>
        <v>12746</v>
      </c>
      <c r="J12">
        <f ca="1">IF(AND(I12&lt;MinimoSabado,Proyeccion!J12&gt;=FechaHoy),ROUNDUP((MinimoSabado-I12)/CajasProm,0),0)</f>
        <v>10</v>
      </c>
      <c r="K12" s="7">
        <f t="shared" si="0"/>
        <v>8064</v>
      </c>
      <c r="L12" s="7">
        <f t="shared" ca="1" si="7"/>
        <v>13846</v>
      </c>
      <c r="M12">
        <f ca="1">IF(AND(L12&lt;MinimoSabado,Proyeccion!J12&gt;=FechaHoy),ROUNDUP((MinimoSabado-L12)/CajasProm,0),0)</f>
        <v>9</v>
      </c>
      <c r="N12" s="7">
        <f t="shared" ca="1" si="1"/>
        <v>10906</v>
      </c>
      <c r="O12" s="7">
        <f t="shared" ca="1" si="2"/>
        <v>12846</v>
      </c>
      <c r="P12" s="7">
        <f t="shared" ca="1" si="3"/>
        <v>13846</v>
      </c>
    </row>
    <row r="13" spans="1:16">
      <c r="A13" s="5">
        <f>Proyeccion!A13</f>
        <v>46335</v>
      </c>
      <c r="B13" s="5">
        <f>Proyeccion!B13</f>
        <v>46340</v>
      </c>
      <c r="C13" s="7">
        <f>Proyeccion!E13</f>
        <v>8064</v>
      </c>
      <c r="D13" s="7">
        <f>Proyeccion!F13</f>
        <v>17000</v>
      </c>
      <c r="E13" s="7">
        <f t="shared" ca="1" si="4"/>
        <v>15710</v>
      </c>
      <c r="F13">
        <f ca="1">IF(AND(E13&lt;MinimoSabado,Proyeccion!J13&gt;=FechaHoy),ROUNDUP((MinimoSabado-E13)/CajasProm,0),0)</f>
        <v>7</v>
      </c>
      <c r="G13" s="7">
        <f t="shared" ca="1" si="5"/>
        <v>13910</v>
      </c>
      <c r="H13">
        <f ca="1">IF(AND(G13&lt;MinimoSabado,Proyeccion!J13&gt;=FechaHoy),ROUNDUP((MinimoSabado-G13)/CajasProm,0),0)</f>
        <v>9</v>
      </c>
      <c r="I13" s="7">
        <f t="shared" ca="1" si="6"/>
        <v>12110</v>
      </c>
      <c r="J13">
        <f ca="1">IF(AND(I13&lt;MinimoSabado,Proyeccion!J13&gt;=FechaHoy),ROUNDUP((MinimoSabado-I13)/CajasProm,0),0)</f>
        <v>11</v>
      </c>
      <c r="K13" s="7">
        <f t="shared" si="0"/>
        <v>8064</v>
      </c>
      <c r="L13" s="7">
        <f t="shared" ca="1" si="7"/>
        <v>13910</v>
      </c>
      <c r="M13">
        <f ca="1">IF(AND(L13&lt;MinimoSabado,Proyeccion!J13&gt;=FechaHoy),ROUNDUP((MinimoSabado-L13)/CajasProm,0),0)</f>
        <v>9</v>
      </c>
      <c r="N13" s="7">
        <f t="shared" ca="1" si="1"/>
        <v>10970</v>
      </c>
      <c r="O13" s="7">
        <f t="shared" ca="1" si="2"/>
        <v>12910</v>
      </c>
      <c r="P13" s="7">
        <f t="shared" ca="1" si="3"/>
        <v>13910</v>
      </c>
    </row>
    <row r="14" spans="1:16">
      <c r="A14" s="5">
        <f>Proyeccion!A14</f>
        <v>46342</v>
      </c>
      <c r="B14" s="5">
        <f>Proyeccion!B14</f>
        <v>46347</v>
      </c>
      <c r="C14" s="7">
        <f>Proyeccion!E14</f>
        <v>8064</v>
      </c>
      <c r="D14" s="7">
        <f>Proyeccion!F14</f>
        <v>17000</v>
      </c>
      <c r="E14" s="7">
        <f t="shared" ca="1" si="4"/>
        <v>15474</v>
      </c>
      <c r="F14">
        <f ca="1">IF(AND(E14&lt;MinimoSabado,Proyeccion!J14&gt;=FechaHoy),ROUNDUP((MinimoSabado-E14)/CajasProm,0),0)</f>
        <v>8</v>
      </c>
      <c r="G14" s="7">
        <f t="shared" ca="1" si="5"/>
        <v>13974</v>
      </c>
      <c r="H14">
        <f ca="1">IF(AND(G14&lt;MinimoSabado,Proyeccion!J14&gt;=FechaHoy),ROUNDUP((MinimoSabado-G14)/CajasProm,0),0)</f>
        <v>9</v>
      </c>
      <c r="I14" s="7">
        <f t="shared" ca="1" si="6"/>
        <v>12474</v>
      </c>
      <c r="J14">
        <f ca="1">IF(AND(I14&lt;MinimoSabado,Proyeccion!J14&gt;=FechaHoy),ROUNDUP((MinimoSabado-I14)/CajasProm,0),0)</f>
        <v>11</v>
      </c>
      <c r="K14" s="7">
        <f t="shared" si="0"/>
        <v>8064</v>
      </c>
      <c r="L14" s="7">
        <f t="shared" ca="1" si="7"/>
        <v>13974</v>
      </c>
      <c r="M14">
        <f ca="1">IF(AND(L14&lt;MinimoSabado,Proyeccion!J14&gt;=FechaHoy),ROUNDUP((MinimoSabado-L14)/CajasProm,0),0)</f>
        <v>9</v>
      </c>
      <c r="N14" s="7">
        <f t="shared" ca="1" si="1"/>
        <v>11034</v>
      </c>
      <c r="O14" s="7">
        <f t="shared" ca="1" si="2"/>
        <v>12974</v>
      </c>
      <c r="P14" s="7">
        <f t="shared" ca="1" si="3"/>
        <v>13974</v>
      </c>
    </row>
    <row r="15" spans="1:16">
      <c r="A15" s="5">
        <f>Proyeccion!A15</f>
        <v>46349</v>
      </c>
      <c r="B15" s="5">
        <f>Proyeccion!B15</f>
        <v>46354</v>
      </c>
      <c r="C15" s="7">
        <f>Proyeccion!E15</f>
        <v>8064</v>
      </c>
      <c r="D15" s="7">
        <f>Proyeccion!F15</f>
        <v>17000</v>
      </c>
      <c r="E15" s="7">
        <f t="shared" ca="1" si="4"/>
        <v>16238</v>
      </c>
      <c r="F15">
        <f ca="1">IF(AND(E15&lt;MinimoSabado,Proyeccion!J15&gt;=FechaHoy),ROUNDUP((MinimoSabado-E15)/CajasProm,0),0)</f>
        <v>7</v>
      </c>
      <c r="G15" s="7">
        <f t="shared" ca="1" si="5"/>
        <v>14038</v>
      </c>
      <c r="H15">
        <f ca="1">IF(AND(G15&lt;MinimoSabado,Proyeccion!J15&gt;=FechaHoy),ROUNDUP((MinimoSabado-G15)/CajasProm,0),0)</f>
        <v>9</v>
      </c>
      <c r="I15" s="7">
        <f t="shared" ca="1" si="6"/>
        <v>12838</v>
      </c>
      <c r="J15">
        <f ca="1">IF(AND(I15&lt;MinimoSabado,Proyeccion!J15&gt;=FechaHoy),ROUNDUP((MinimoSabado-I15)/CajasProm,0),0)</f>
        <v>10</v>
      </c>
      <c r="K15" s="7">
        <f t="shared" si="0"/>
        <v>8064</v>
      </c>
      <c r="L15" s="7">
        <f t="shared" ca="1" si="7"/>
        <v>14038</v>
      </c>
      <c r="M15">
        <f ca="1">IF(AND(L15&lt;MinimoSabado,Proyeccion!J15&gt;=FechaHoy),ROUNDUP((MinimoSabado-L15)/CajasProm,0),0)</f>
        <v>9</v>
      </c>
      <c r="N15" s="7">
        <f t="shared" ca="1" si="1"/>
        <v>11098</v>
      </c>
      <c r="O15" s="7">
        <f t="shared" ca="1" si="2"/>
        <v>13038</v>
      </c>
      <c r="P15" s="7">
        <f t="shared" ca="1" si="3"/>
        <v>14038</v>
      </c>
    </row>
    <row r="16" spans="1:16">
      <c r="A16" s="5">
        <f>Proyeccion!A16</f>
        <v>46356</v>
      </c>
      <c r="B16" s="5">
        <f>Proyeccion!B16</f>
        <v>46361</v>
      </c>
      <c r="C16" s="7">
        <f>Proyeccion!E16</f>
        <v>8064</v>
      </c>
      <c r="D16" s="7">
        <f>Proyeccion!F16</f>
        <v>17000</v>
      </c>
      <c r="E16" s="7">
        <f t="shared" ca="1" si="4"/>
        <v>16002</v>
      </c>
      <c r="F16">
        <f ca="1">IF(AND(E16&lt;MinimoSabado,Proyeccion!J16&gt;=FechaHoy),ROUNDUP((MinimoSabado-E16)/CajasProm,0),0)</f>
        <v>7</v>
      </c>
      <c r="G16" s="7">
        <f t="shared" ca="1" si="5"/>
        <v>14102</v>
      </c>
      <c r="H16">
        <f ca="1">IF(AND(G16&lt;MinimoSabado,Proyeccion!J16&gt;=FechaHoy),ROUNDUP((MinimoSabado-G16)/CajasProm,0),0)</f>
        <v>9</v>
      </c>
      <c r="I16" s="7">
        <f t="shared" ca="1" si="6"/>
        <v>12202</v>
      </c>
      <c r="J16">
        <f ca="1">IF(AND(I16&lt;MinimoSabado,Proyeccion!J16&gt;=FechaHoy),ROUNDUP((MinimoSabado-I16)/CajasProm,0),0)</f>
        <v>11</v>
      </c>
      <c r="K16" s="7">
        <f t="shared" si="0"/>
        <v>8064</v>
      </c>
      <c r="L16" s="7">
        <f t="shared" ca="1" si="7"/>
        <v>14102</v>
      </c>
      <c r="M16">
        <f ca="1">IF(AND(L16&lt;MinimoSabado,Proyeccion!J16&gt;=FechaHoy),ROUNDUP((MinimoSabado-L16)/CajasProm,0),0)</f>
        <v>9</v>
      </c>
      <c r="N16" s="7">
        <f t="shared" ca="1" si="1"/>
        <v>11162</v>
      </c>
      <c r="O16" s="7">
        <f t="shared" ca="1" si="2"/>
        <v>13102</v>
      </c>
      <c r="P16" s="7">
        <f t="shared" ca="1" si="3"/>
        <v>14102</v>
      </c>
    </row>
    <row r="17" spans="1:16">
      <c r="A17" s="5">
        <f>Proyeccion!A17</f>
        <v>46363</v>
      </c>
      <c r="B17" s="5">
        <f>Proyeccion!B17</f>
        <v>46368</v>
      </c>
      <c r="C17" s="7">
        <f>Proyeccion!E17</f>
        <v>8064</v>
      </c>
      <c r="D17" s="7">
        <f>Proyeccion!F17</f>
        <v>17000</v>
      </c>
      <c r="E17" s="7">
        <f t="shared" ca="1" si="4"/>
        <v>15766</v>
      </c>
      <c r="F17">
        <f ca="1">IF(AND(E17&lt;MinimoSabado,Proyeccion!J17&gt;=FechaHoy),ROUNDUP((MinimoSabado-E17)/CajasProm,0),0)</f>
        <v>7</v>
      </c>
      <c r="G17" s="7">
        <f t="shared" ca="1" si="5"/>
        <v>14166</v>
      </c>
      <c r="H17">
        <f ca="1">IF(AND(G17&lt;MinimoSabado,Proyeccion!J17&gt;=FechaHoy),ROUNDUP((MinimoSabado-G17)/CajasProm,0),0)</f>
        <v>9</v>
      </c>
      <c r="I17" s="7">
        <f t="shared" ca="1" si="6"/>
        <v>12566</v>
      </c>
      <c r="J17">
        <f ca="1">IF(AND(I17&lt;MinimoSabado,Proyeccion!J17&gt;=FechaHoy),ROUNDUP((MinimoSabado-I17)/CajasProm,0),0)</f>
        <v>10</v>
      </c>
      <c r="K17" s="7">
        <f t="shared" si="0"/>
        <v>8064</v>
      </c>
      <c r="L17" s="7">
        <f t="shared" ca="1" si="7"/>
        <v>14166</v>
      </c>
      <c r="M17">
        <f ca="1">IF(AND(L17&lt;MinimoSabado,Proyeccion!J17&gt;=FechaHoy),ROUNDUP((MinimoSabado-L17)/CajasProm,0),0)</f>
        <v>9</v>
      </c>
      <c r="N17" s="7">
        <f t="shared" ca="1" si="1"/>
        <v>11226</v>
      </c>
      <c r="O17" s="7">
        <f t="shared" ca="1" si="2"/>
        <v>13166</v>
      </c>
      <c r="P17" s="7">
        <f t="shared" ca="1" si="3"/>
        <v>14166</v>
      </c>
    </row>
    <row r="18" spans="1:16">
      <c r="A18" s="5">
        <f>Proyeccion!A18</f>
        <v>46370</v>
      </c>
      <c r="B18" s="5">
        <f>Proyeccion!B18</f>
        <v>46375</v>
      </c>
      <c r="C18" s="7">
        <f>Proyeccion!E18</f>
        <v>8064</v>
      </c>
      <c r="D18" s="7">
        <f>Proyeccion!F18</f>
        <v>17000</v>
      </c>
      <c r="E18" s="7">
        <f t="shared" ca="1" si="4"/>
        <v>15530</v>
      </c>
      <c r="F18">
        <f ca="1">IF(AND(E18&lt;MinimoSabado,Proyeccion!J18&gt;=FechaHoy),ROUNDUP((MinimoSabado-E18)/CajasProm,0),0)</f>
        <v>7</v>
      </c>
      <c r="G18" s="7">
        <f t="shared" ca="1" si="5"/>
        <v>14230</v>
      </c>
      <c r="H18">
        <f ca="1">IF(AND(G18&lt;MinimoSabado,Proyeccion!J18&gt;=FechaHoy),ROUNDUP((MinimoSabado-G18)/CajasProm,0),0)</f>
        <v>9</v>
      </c>
      <c r="I18" s="7">
        <f t="shared" ca="1" si="6"/>
        <v>11930</v>
      </c>
      <c r="J18">
        <f ca="1">IF(AND(I18&lt;MinimoSabado,Proyeccion!J18&gt;=FechaHoy),ROUNDUP((MinimoSabado-I18)/CajasProm,0),0)</f>
        <v>11</v>
      </c>
      <c r="K18" s="7">
        <f t="shared" si="0"/>
        <v>8064</v>
      </c>
      <c r="L18" s="7">
        <f t="shared" ca="1" si="7"/>
        <v>14230</v>
      </c>
      <c r="M18">
        <f ca="1">IF(AND(L18&lt;MinimoSabado,Proyeccion!J18&gt;=FechaHoy),ROUNDUP((MinimoSabado-L18)/CajasProm,0),0)</f>
        <v>9</v>
      </c>
      <c r="N18" s="7">
        <f t="shared" ca="1" si="1"/>
        <v>11290</v>
      </c>
      <c r="O18" s="7">
        <f t="shared" ca="1" si="2"/>
        <v>13230</v>
      </c>
      <c r="P18" s="7">
        <f t="shared" ca="1" si="3"/>
        <v>14230</v>
      </c>
    </row>
    <row r="20" spans="1:16" ht="63.95" customHeight="1">
      <c r="A20" s="44" t="s">
        <v>275</v>
      </c>
      <c r="B20" s="44"/>
      <c r="C20" s="44"/>
      <c r="D20" s="44"/>
      <c r="E20" s="44"/>
      <c r="F20" s="44"/>
      <c r="G20" s="44"/>
      <c r="H20" s="44"/>
      <c r="I20" s="44"/>
      <c r="J20" s="44"/>
      <c r="K20" s="44"/>
      <c r="L20" s="44"/>
    </row>
  </sheetData>
  <mergeCells count="1">
    <mergeCell ref="A20:L20"/>
  </mergeCells>
  <conditionalFormatting sqref="E6:E18">
    <cfRule type="expression" dxfId="90" priority="1">
      <formula>E6&lt;MinimoSabado</formula>
    </cfRule>
    <cfRule type="expression" dxfId="89" priority="2">
      <formula>E6&lt;0</formula>
    </cfRule>
    <cfRule type="expression" dxfId="88" priority="28">
      <formula>E6&lt;MinimoSabado</formula>
    </cfRule>
    <cfRule type="expression" dxfId="87" priority="29">
      <formula>E6&lt;0</formula>
    </cfRule>
    <cfRule type="expression" dxfId="86" priority="109">
      <formula>E6&lt;MinimoSabado</formula>
    </cfRule>
    <cfRule type="expression" dxfId="85" priority="64">
      <formula>E6&lt;MinimoSabado</formula>
    </cfRule>
    <cfRule type="expression" dxfId="84" priority="74">
      <formula>E6&lt;0</formula>
    </cfRule>
    <cfRule type="expression" dxfId="83" priority="101">
      <formula>E6&lt;0</formula>
    </cfRule>
    <cfRule type="expression" dxfId="82" priority="10">
      <formula>E6&lt;MinimoSabado</formula>
    </cfRule>
    <cfRule type="expression" dxfId="81" priority="11">
      <formula>E6&lt;0</formula>
    </cfRule>
    <cfRule type="expression" dxfId="80" priority="100">
      <formula>E6&lt;MinimoSabado</formula>
    </cfRule>
    <cfRule type="expression" dxfId="79" priority="92">
      <formula>E6&lt;0</formula>
    </cfRule>
    <cfRule type="expression" dxfId="78" priority="91">
      <formula>E6&lt;MinimoSabado</formula>
    </cfRule>
    <cfRule type="expression" dxfId="77" priority="37">
      <formula>E6&lt;MinimoSabado</formula>
    </cfRule>
    <cfRule type="expression" dxfId="76" priority="38">
      <formula>E6&lt;0</formula>
    </cfRule>
    <cfRule type="expression" dxfId="75" priority="55">
      <formula>E6&lt;MinimoSabado</formula>
    </cfRule>
    <cfRule type="expression" dxfId="74" priority="56">
      <formula>E6&lt;0</formula>
    </cfRule>
    <cfRule type="expression" dxfId="73" priority="19">
      <formula>E6&lt;MinimoSabado</formula>
    </cfRule>
    <cfRule type="expression" dxfId="72" priority="20">
      <formula>E6&lt;0</formula>
    </cfRule>
    <cfRule type="expression" dxfId="71" priority="83">
      <formula>E6&lt;0</formula>
    </cfRule>
    <cfRule type="expression" dxfId="70" priority="73">
      <formula>E6&lt;MinimoSabado</formula>
    </cfRule>
    <cfRule type="expression" dxfId="69" priority="65">
      <formula>E6&lt;0</formula>
    </cfRule>
    <cfRule type="expression" dxfId="68" priority="82">
      <formula>E6&lt;MinimoSabado</formula>
    </cfRule>
    <cfRule type="expression" dxfId="67" priority="110">
      <formula>E6&lt;0</formula>
    </cfRule>
    <cfRule type="expression" dxfId="66" priority="46">
      <formula>E6&lt;MinimoSabado</formula>
    </cfRule>
    <cfRule type="expression" dxfId="65" priority="47">
      <formula>E6&lt;0</formula>
    </cfRule>
  </conditionalFormatting>
  <conditionalFormatting sqref="F6:F18">
    <cfRule type="expression" dxfId="64" priority="3">
      <formula>F6&gt;0</formula>
    </cfRule>
  </conditionalFormatting>
  <conditionalFormatting sqref="G6:G18">
    <cfRule type="expression" dxfId="63" priority="4">
      <formula>G6&lt;MinimoSabado</formula>
    </cfRule>
    <cfRule type="expression" dxfId="62" priority="5">
      <formula>G6&lt;0</formula>
    </cfRule>
    <cfRule type="expression" dxfId="61" priority="95">
      <formula>G6&lt;0</formula>
    </cfRule>
    <cfRule type="expression" dxfId="60" priority="103">
      <formula>G6&lt;MinimoSabado</formula>
    </cfRule>
    <cfRule type="expression" dxfId="59" priority="40">
      <formula>G6&lt;MinimoSabado</formula>
    </cfRule>
    <cfRule type="expression" dxfId="58" priority="41">
      <formula>G6&lt;0</formula>
    </cfRule>
    <cfRule type="expression" dxfId="57" priority="104">
      <formula>G6&lt;0</formula>
    </cfRule>
    <cfRule type="expression" dxfId="56" priority="13">
      <formula>G6&lt;MinimoSabado</formula>
    </cfRule>
    <cfRule type="expression" dxfId="55" priority="14">
      <formula>G6&lt;0</formula>
    </cfRule>
    <cfRule type="expression" dxfId="54" priority="112">
      <formula>G6&lt;MinimoSabado</formula>
    </cfRule>
    <cfRule type="expression" dxfId="53" priority="31">
      <formula>G6&lt;MinimoSabado</formula>
    </cfRule>
    <cfRule type="expression" dxfId="52" priority="113">
      <formula>G6&lt;0</formula>
    </cfRule>
    <cfRule type="expression" dxfId="51" priority="50">
      <formula>G6&lt;0</formula>
    </cfRule>
    <cfRule type="expression" dxfId="50" priority="58">
      <formula>G6&lt;MinimoSabado</formula>
    </cfRule>
    <cfRule type="expression" dxfId="49" priority="22">
      <formula>G6&lt;MinimoSabado</formula>
    </cfRule>
    <cfRule type="expression" dxfId="48" priority="23">
      <formula>G6&lt;0</formula>
    </cfRule>
    <cfRule type="expression" dxfId="47" priority="59">
      <formula>G6&lt;0</formula>
    </cfRule>
    <cfRule type="expression" dxfId="46" priority="49">
      <formula>G6&lt;MinimoSabado</formula>
    </cfRule>
    <cfRule type="expression" dxfId="45" priority="67">
      <formula>G6&lt;MinimoSabado</formula>
    </cfRule>
    <cfRule type="expression" dxfId="44" priority="68">
      <formula>G6&lt;0</formula>
    </cfRule>
    <cfRule type="expression" dxfId="43" priority="76">
      <formula>G6&lt;MinimoSabado</formula>
    </cfRule>
    <cfRule type="expression" dxfId="42" priority="77">
      <formula>G6&lt;0</formula>
    </cfRule>
    <cfRule type="expression" dxfId="41" priority="32">
      <formula>G6&lt;0</formula>
    </cfRule>
    <cfRule type="expression" dxfId="40" priority="85">
      <formula>G6&lt;MinimoSabado</formula>
    </cfRule>
    <cfRule type="expression" dxfId="39" priority="86">
      <formula>G6&lt;0</formula>
    </cfRule>
    <cfRule type="expression" dxfId="38" priority="94">
      <formula>G6&lt;MinimoSabado</formula>
    </cfRule>
  </conditionalFormatting>
  <conditionalFormatting sqref="H6:H18">
    <cfRule type="expression" dxfId="37" priority="6">
      <formula>H6&gt;0</formula>
    </cfRule>
  </conditionalFormatting>
  <conditionalFormatting sqref="I6:I18">
    <cfRule type="expression" dxfId="36" priority="7">
      <formula>I6&lt;MinimoSabado</formula>
    </cfRule>
    <cfRule type="expression" dxfId="35" priority="8">
      <formula>I6&lt;0</formula>
    </cfRule>
    <cfRule type="expression" dxfId="34" priority="116">
      <formula>I6&lt;0</formula>
    </cfRule>
    <cfRule type="expression" dxfId="33" priority="35">
      <formula>I6&lt;0</formula>
    </cfRule>
    <cfRule type="expression" dxfId="32" priority="79">
      <formula>I6&lt;MinimoSabado</formula>
    </cfRule>
    <cfRule type="expression" dxfId="31" priority="17">
      <formula>I6&lt;0</formula>
    </cfRule>
    <cfRule type="expression" dxfId="30" priority="80">
      <formula>I6&lt;0</formula>
    </cfRule>
    <cfRule type="expression" dxfId="29" priority="89">
      <formula>I6&lt;0</formula>
    </cfRule>
    <cfRule type="expression" dxfId="28" priority="43">
      <formula>I6&lt;MinimoSabado</formula>
    </cfRule>
    <cfRule type="expression" dxfId="27" priority="25">
      <formula>I6&lt;MinimoSabado</formula>
    </cfRule>
    <cfRule type="expression" dxfId="26" priority="26">
      <formula>I6&lt;0</formula>
    </cfRule>
    <cfRule type="expression" dxfId="25" priority="44">
      <formula>I6&lt;0</formula>
    </cfRule>
    <cfRule type="expression" dxfId="24" priority="88">
      <formula>I6&lt;MinimoSabado</formula>
    </cfRule>
    <cfRule type="expression" dxfId="23" priority="16">
      <formula>I6&lt;MinimoSabado</formula>
    </cfRule>
    <cfRule type="expression" dxfId="22" priority="70">
      <formula>I6&lt;MinimoSabado</formula>
    </cfRule>
    <cfRule type="expression" dxfId="21" priority="34">
      <formula>I6&lt;MinimoSabado</formula>
    </cfRule>
    <cfRule type="expression" dxfId="20" priority="53">
      <formula>I6&lt;0</formula>
    </cfRule>
    <cfRule type="expression" dxfId="19" priority="71">
      <formula>I6&lt;0</formula>
    </cfRule>
    <cfRule type="expression" dxfId="18" priority="97">
      <formula>I6&lt;MinimoSabado</formula>
    </cfRule>
    <cfRule type="expression" dxfId="17" priority="98">
      <formula>I6&lt;0</formula>
    </cfRule>
    <cfRule type="expression" dxfId="16" priority="52">
      <formula>I6&lt;MinimoSabado</formula>
    </cfRule>
    <cfRule type="expression" dxfId="15" priority="62">
      <formula>I6&lt;0</formula>
    </cfRule>
    <cfRule type="expression" dxfId="14" priority="61">
      <formula>I6&lt;MinimoSabado</formula>
    </cfRule>
    <cfRule type="expression" dxfId="13" priority="106">
      <formula>I6&lt;MinimoSabado</formula>
    </cfRule>
    <cfRule type="expression" dxfId="12" priority="107">
      <formula>I6&lt;0</formula>
    </cfRule>
    <cfRule type="expression" dxfId="11" priority="115">
      <formula>I6&lt;MinimoSabado</formula>
    </cfRule>
  </conditionalFormatting>
  <conditionalFormatting sqref="J6:J18">
    <cfRule type="expression" dxfId="10" priority="9">
      <formula>J6&gt;0</formula>
    </cfRule>
  </conditionalFormatting>
  <conditionalFormatting sqref="L6:L18">
    <cfRule type="expression" dxfId="9" priority="118">
      <formula>L6&lt;MinimoSabado</formula>
    </cfRule>
    <cfRule type="expression" dxfId="8" priority="119">
      <formula>L6&lt;0</formula>
    </cfRule>
  </conditionalFormatting>
  <conditionalFormatting sqref="M6:M18">
    <cfRule type="expression" dxfId="7" priority="126">
      <formula>M6&gt;0</formula>
    </cfRule>
  </conditionalFormatting>
  <conditionalFormatting sqref="N6:P18">
    <cfRule type="expression" dxfId="6" priority="120">
      <formula>N6&lt;MinimoSabado</formula>
    </cfRule>
    <cfRule type="expression" dxfId="5" priority="121">
      <formula>N6&lt;0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0"/>
  <sheetViews>
    <sheetView workbookViewId="0"/>
  </sheetViews>
  <sheetFormatPr baseColWidth="10" defaultColWidth="9.140625" defaultRowHeight="15"/>
  <cols>
    <col min="1" max="1" width="13" customWidth="1"/>
    <col min="2" max="2" width="11" customWidth="1"/>
    <col min="3" max="3" width="12" customWidth="1"/>
    <col min="4" max="5" width="16" customWidth="1"/>
    <col min="6" max="6" width="10" customWidth="1"/>
    <col min="7" max="7" width="22" customWidth="1"/>
    <col min="8" max="8" width="12" customWidth="1"/>
    <col min="9" max="9" width="14" customWidth="1"/>
    <col min="10" max="11" width="12" customWidth="1"/>
    <col min="12" max="12" width="9.140625" customWidth="1"/>
  </cols>
  <sheetData>
    <row r="1" spans="1:11" ht="21">
      <c r="A1" s="1" t="s">
        <v>538</v>
      </c>
    </row>
    <row r="2" spans="1:11">
      <c r="A2" s="2" t="s">
        <v>539</v>
      </c>
    </row>
    <row r="5" spans="1:11" ht="45">
      <c r="A5" s="11" t="s">
        <v>139</v>
      </c>
      <c r="B5" s="11" t="s">
        <v>160</v>
      </c>
      <c r="C5" s="11" t="s">
        <v>232</v>
      </c>
      <c r="D5" s="11" t="s">
        <v>540</v>
      </c>
      <c r="E5" s="11" t="s">
        <v>541</v>
      </c>
      <c r="F5" s="11" t="s">
        <v>542</v>
      </c>
      <c r="G5" s="11" t="s">
        <v>543</v>
      </c>
      <c r="H5" s="11" t="s">
        <v>532</v>
      </c>
      <c r="I5" s="11" t="s">
        <v>544</v>
      </c>
      <c r="J5" s="11" t="s">
        <v>545</v>
      </c>
      <c r="K5" s="11" t="s">
        <v>178</v>
      </c>
    </row>
    <row r="6" spans="1:11">
      <c r="A6" s="5">
        <f>Proyeccion!A6</f>
        <v>46286</v>
      </c>
      <c r="B6" s="5">
        <f>Proyeccion!B6</f>
        <v>46291</v>
      </c>
      <c r="C6" s="7">
        <f>Proyeccion!E6</f>
        <v>980</v>
      </c>
      <c r="D6" s="7">
        <f>Demanda!H7</f>
        <v>16000</v>
      </c>
      <c r="E6" s="7" t="str">
        <f t="shared" ref="E6:E18" si="0">IF(CapMadurar="","",CapMadurar)</f>
        <v/>
      </c>
      <c r="F6" s="16" t="str">
        <f t="shared" ref="F6:F18" si="1">IF(E6="","",D6/E6)</f>
        <v/>
      </c>
      <c r="G6" t="str">
        <f t="shared" ref="G6:G18" si="2">IF(E6="","completar Parametros",IF(D6&gt;E6,"SI: "&amp;FIXED(D6-E6,0)&amp;" cajas de mas","no"))</f>
        <v>completar Parametros</v>
      </c>
      <c r="H6" s="7">
        <f ca="1">Proyeccion!L6</f>
        <v>27952</v>
      </c>
      <c r="I6" s="7" t="str">
        <f t="shared" ref="I6:I18" si="3">IF(CapFisica="","",CapFisica)</f>
        <v/>
      </c>
      <c r="J6" s="16" t="str">
        <f t="shared" ref="J6:J18" si="4">IF(I6="","",H6/I6)</f>
        <v/>
      </c>
      <c r="K6" t="str">
        <f t="shared" ref="K6:K18" si="5">IF(I6="","",IF(H6&gt;I6,"NO ENTRA",IF(H6&gt;0.9*I6,"al limite","ok")))</f>
        <v/>
      </c>
    </row>
    <row r="7" spans="1:11">
      <c r="A7" s="5">
        <f>Proyeccion!A7</f>
        <v>46293</v>
      </c>
      <c r="B7" s="5">
        <f>Proyeccion!B7</f>
        <v>46298</v>
      </c>
      <c r="C7" s="7">
        <f>Proyeccion!E7</f>
        <v>10946</v>
      </c>
      <c r="D7" s="7">
        <f>Demanda!H8</f>
        <v>17000</v>
      </c>
      <c r="E7" s="7" t="str">
        <f t="shared" si="0"/>
        <v/>
      </c>
      <c r="F7" s="16" t="str">
        <f t="shared" si="1"/>
        <v/>
      </c>
      <c r="G7" t="str">
        <f t="shared" si="2"/>
        <v>completar Parametros</v>
      </c>
      <c r="H7" s="7">
        <f ca="1">Proyeccion!L7</f>
        <v>22898</v>
      </c>
      <c r="I7" s="7" t="str">
        <f t="shared" si="3"/>
        <v/>
      </c>
      <c r="J7" s="16" t="str">
        <f t="shared" si="4"/>
        <v/>
      </c>
      <c r="K7" t="str">
        <f t="shared" si="5"/>
        <v/>
      </c>
    </row>
    <row r="8" spans="1:11">
      <c r="A8" s="5">
        <f>Proyeccion!A8</f>
        <v>46300</v>
      </c>
      <c r="B8" s="5">
        <f>Proyeccion!B8</f>
        <v>46305</v>
      </c>
      <c r="C8" s="7">
        <f>Proyeccion!E8</f>
        <v>12892</v>
      </c>
      <c r="D8" s="7">
        <f>Demanda!H9</f>
        <v>17000</v>
      </c>
      <c r="E8" s="7" t="str">
        <f t="shared" si="0"/>
        <v/>
      </c>
      <c r="F8" s="16" t="str">
        <f t="shared" si="1"/>
        <v/>
      </c>
      <c r="G8" t="str">
        <f t="shared" si="2"/>
        <v>completar Parametros</v>
      </c>
      <c r="H8" s="7">
        <f ca="1">Proyeccion!L8</f>
        <v>22790</v>
      </c>
      <c r="I8" s="7" t="str">
        <f t="shared" si="3"/>
        <v/>
      </c>
      <c r="J8" s="16" t="str">
        <f t="shared" si="4"/>
        <v/>
      </c>
      <c r="K8" t="str">
        <f t="shared" si="5"/>
        <v/>
      </c>
    </row>
    <row r="9" spans="1:11">
      <c r="A9" s="5">
        <f>Proyeccion!A9</f>
        <v>46307</v>
      </c>
      <c r="B9" s="5">
        <f>Proyeccion!B9</f>
        <v>46312</v>
      </c>
      <c r="C9" s="7">
        <f>Proyeccion!E9</f>
        <v>12964</v>
      </c>
      <c r="D9" s="7">
        <f>Demanda!H10</f>
        <v>17000</v>
      </c>
      <c r="E9" s="7" t="str">
        <f t="shared" si="0"/>
        <v/>
      </c>
      <c r="F9" s="16" t="str">
        <f t="shared" si="1"/>
        <v/>
      </c>
      <c r="G9" t="str">
        <f t="shared" si="2"/>
        <v>completar Parametros</v>
      </c>
      <c r="H9" s="7">
        <f ca="1">Proyeccion!L9</f>
        <v>22754</v>
      </c>
      <c r="I9" s="7" t="str">
        <f t="shared" si="3"/>
        <v/>
      </c>
      <c r="J9" s="16" t="str">
        <f t="shared" si="4"/>
        <v/>
      </c>
      <c r="K9" t="str">
        <f t="shared" si="5"/>
        <v/>
      </c>
    </row>
    <row r="10" spans="1:11">
      <c r="A10" s="5">
        <f>Proyeccion!A10</f>
        <v>46314</v>
      </c>
      <c r="B10" s="5">
        <f>Proyeccion!B10</f>
        <v>46319</v>
      </c>
      <c r="C10" s="7">
        <f>Proyeccion!E10</f>
        <v>12964</v>
      </c>
      <c r="D10" s="7">
        <f>Demanda!H11</f>
        <v>17000</v>
      </c>
      <c r="E10" s="7" t="str">
        <f t="shared" si="0"/>
        <v/>
      </c>
      <c r="F10" s="16" t="str">
        <f t="shared" si="1"/>
        <v/>
      </c>
      <c r="G10" t="str">
        <f t="shared" si="2"/>
        <v>completar Parametros</v>
      </c>
      <c r="H10" s="7">
        <f ca="1">Proyeccion!L10</f>
        <v>22718</v>
      </c>
      <c r="I10" s="7" t="str">
        <f t="shared" si="3"/>
        <v/>
      </c>
      <c r="J10" s="16" t="str">
        <f t="shared" si="4"/>
        <v/>
      </c>
      <c r="K10" t="str">
        <f t="shared" si="5"/>
        <v/>
      </c>
    </row>
    <row r="11" spans="1:11">
      <c r="A11" s="5">
        <f>Proyeccion!A11</f>
        <v>46321</v>
      </c>
      <c r="B11" s="5">
        <f>Proyeccion!B11</f>
        <v>46326</v>
      </c>
      <c r="C11" s="7">
        <f>Proyeccion!E11</f>
        <v>8064</v>
      </c>
      <c r="D11" s="7">
        <f>Demanda!H12</f>
        <v>17000</v>
      </c>
      <c r="E11" s="7" t="str">
        <f t="shared" si="0"/>
        <v/>
      </c>
      <c r="F11" s="16" t="str">
        <f t="shared" si="1"/>
        <v/>
      </c>
      <c r="G11" t="str">
        <f t="shared" si="2"/>
        <v>completar Parametros</v>
      </c>
      <c r="H11" s="7">
        <f ca="1">Proyeccion!L11</f>
        <v>22782</v>
      </c>
      <c r="I11" s="7" t="str">
        <f t="shared" si="3"/>
        <v/>
      </c>
      <c r="J11" s="16" t="str">
        <f t="shared" si="4"/>
        <v/>
      </c>
      <c r="K11" t="str">
        <f t="shared" si="5"/>
        <v/>
      </c>
    </row>
    <row r="12" spans="1:11">
      <c r="A12" s="5">
        <f>Proyeccion!A12</f>
        <v>46328</v>
      </c>
      <c r="B12" s="5">
        <f>Proyeccion!B12</f>
        <v>46333</v>
      </c>
      <c r="C12" s="7">
        <f>Proyeccion!E12</f>
        <v>8064</v>
      </c>
      <c r="D12" s="7">
        <f>Demanda!H13</f>
        <v>17000</v>
      </c>
      <c r="E12" s="7" t="str">
        <f t="shared" si="0"/>
        <v/>
      </c>
      <c r="F12" s="16" t="str">
        <f t="shared" si="1"/>
        <v/>
      </c>
      <c r="G12" t="str">
        <f t="shared" si="2"/>
        <v>completar Parametros</v>
      </c>
      <c r="H12" s="7">
        <f ca="1">Proyeccion!L12</f>
        <v>22846</v>
      </c>
      <c r="I12" s="7" t="str">
        <f t="shared" si="3"/>
        <v/>
      </c>
      <c r="J12" s="16" t="str">
        <f t="shared" si="4"/>
        <v/>
      </c>
      <c r="K12" t="str">
        <f t="shared" si="5"/>
        <v/>
      </c>
    </row>
    <row r="13" spans="1:11">
      <c r="A13" s="5">
        <f>Proyeccion!A13</f>
        <v>46335</v>
      </c>
      <c r="B13" s="5">
        <f>Proyeccion!B13</f>
        <v>46340</v>
      </c>
      <c r="C13" s="7">
        <f>Proyeccion!E13</f>
        <v>8064</v>
      </c>
      <c r="D13" s="7">
        <f>Demanda!H14</f>
        <v>17000</v>
      </c>
      <c r="E13" s="7" t="str">
        <f t="shared" si="0"/>
        <v/>
      </c>
      <c r="F13" s="16" t="str">
        <f t="shared" si="1"/>
        <v/>
      </c>
      <c r="G13" t="str">
        <f t="shared" si="2"/>
        <v>completar Parametros</v>
      </c>
      <c r="H13" s="7">
        <f ca="1">Proyeccion!L13</f>
        <v>22910</v>
      </c>
      <c r="I13" s="7" t="str">
        <f t="shared" si="3"/>
        <v/>
      </c>
      <c r="J13" s="16" t="str">
        <f t="shared" si="4"/>
        <v/>
      </c>
      <c r="K13" t="str">
        <f t="shared" si="5"/>
        <v/>
      </c>
    </row>
    <row r="14" spans="1:11">
      <c r="A14" s="5">
        <f>Proyeccion!A14</f>
        <v>46342</v>
      </c>
      <c r="B14" s="5">
        <f>Proyeccion!B14</f>
        <v>46347</v>
      </c>
      <c r="C14" s="7">
        <f>Proyeccion!E14</f>
        <v>8064</v>
      </c>
      <c r="D14" s="7">
        <f>Demanda!H15</f>
        <v>17000</v>
      </c>
      <c r="E14" s="7" t="str">
        <f t="shared" si="0"/>
        <v/>
      </c>
      <c r="F14" s="16" t="str">
        <f t="shared" si="1"/>
        <v/>
      </c>
      <c r="G14" t="str">
        <f t="shared" si="2"/>
        <v>completar Parametros</v>
      </c>
      <c r="H14" s="7">
        <f ca="1">Proyeccion!L14</f>
        <v>22974</v>
      </c>
      <c r="I14" s="7" t="str">
        <f t="shared" si="3"/>
        <v/>
      </c>
      <c r="J14" s="16" t="str">
        <f t="shared" si="4"/>
        <v/>
      </c>
      <c r="K14" t="str">
        <f t="shared" si="5"/>
        <v/>
      </c>
    </row>
    <row r="15" spans="1:11">
      <c r="A15" s="5">
        <f>Proyeccion!A15</f>
        <v>46349</v>
      </c>
      <c r="B15" s="5">
        <f>Proyeccion!B15</f>
        <v>46354</v>
      </c>
      <c r="C15" s="7">
        <f>Proyeccion!E15</f>
        <v>8064</v>
      </c>
      <c r="D15" s="7">
        <f>Demanda!H16</f>
        <v>17000</v>
      </c>
      <c r="E15" s="7" t="str">
        <f t="shared" si="0"/>
        <v/>
      </c>
      <c r="F15" s="16" t="str">
        <f t="shared" si="1"/>
        <v/>
      </c>
      <c r="G15" t="str">
        <f t="shared" si="2"/>
        <v>completar Parametros</v>
      </c>
      <c r="H15" s="7">
        <f ca="1">Proyeccion!L15</f>
        <v>23038</v>
      </c>
      <c r="I15" s="7" t="str">
        <f t="shared" si="3"/>
        <v/>
      </c>
      <c r="J15" s="16" t="str">
        <f t="shared" si="4"/>
        <v/>
      </c>
      <c r="K15" t="str">
        <f t="shared" si="5"/>
        <v/>
      </c>
    </row>
    <row r="16" spans="1:11">
      <c r="A16" s="5">
        <f>Proyeccion!A16</f>
        <v>46356</v>
      </c>
      <c r="B16" s="5">
        <f>Proyeccion!B16</f>
        <v>46361</v>
      </c>
      <c r="C16" s="7">
        <f>Proyeccion!E16</f>
        <v>8064</v>
      </c>
      <c r="D16" s="7">
        <f>Demanda!H17</f>
        <v>17000</v>
      </c>
      <c r="E16" s="7" t="str">
        <f t="shared" si="0"/>
        <v/>
      </c>
      <c r="F16" s="16" t="str">
        <f t="shared" si="1"/>
        <v/>
      </c>
      <c r="G16" t="str">
        <f t="shared" si="2"/>
        <v>completar Parametros</v>
      </c>
      <c r="H16" s="7">
        <f ca="1">Proyeccion!L16</f>
        <v>23102</v>
      </c>
      <c r="I16" s="7" t="str">
        <f t="shared" si="3"/>
        <v/>
      </c>
      <c r="J16" s="16" t="str">
        <f t="shared" si="4"/>
        <v/>
      </c>
      <c r="K16" t="str">
        <f t="shared" si="5"/>
        <v/>
      </c>
    </row>
    <row r="17" spans="1:12">
      <c r="A17" s="5">
        <f>Proyeccion!A17</f>
        <v>46363</v>
      </c>
      <c r="B17" s="5">
        <f>Proyeccion!B17</f>
        <v>46368</v>
      </c>
      <c r="C17" s="7">
        <f>Proyeccion!E17</f>
        <v>8064</v>
      </c>
      <c r="D17" s="7">
        <f>Demanda!H18</f>
        <v>17000</v>
      </c>
      <c r="E17" s="7" t="str">
        <f t="shared" si="0"/>
        <v/>
      </c>
      <c r="F17" s="16" t="str">
        <f t="shared" si="1"/>
        <v/>
      </c>
      <c r="G17" t="str">
        <f t="shared" si="2"/>
        <v>completar Parametros</v>
      </c>
      <c r="H17" s="7">
        <f ca="1">Proyeccion!L17</f>
        <v>23166</v>
      </c>
      <c r="I17" s="7" t="str">
        <f t="shared" si="3"/>
        <v/>
      </c>
      <c r="J17" s="16" t="str">
        <f t="shared" si="4"/>
        <v/>
      </c>
      <c r="K17" t="str">
        <f t="shared" si="5"/>
        <v/>
      </c>
    </row>
    <row r="18" spans="1:12">
      <c r="A18" s="5">
        <f>Proyeccion!A18</f>
        <v>46370</v>
      </c>
      <c r="B18" s="5">
        <f>Proyeccion!B18</f>
        <v>46375</v>
      </c>
      <c r="C18" s="7">
        <f>Proyeccion!E18</f>
        <v>8064</v>
      </c>
      <c r="D18" s="7">
        <f>Demanda!H18</f>
        <v>17000</v>
      </c>
      <c r="E18" s="7" t="str">
        <f t="shared" si="0"/>
        <v/>
      </c>
      <c r="F18" s="16" t="str">
        <f t="shared" si="1"/>
        <v/>
      </c>
      <c r="G18" t="str">
        <f t="shared" si="2"/>
        <v>completar Parametros</v>
      </c>
      <c r="H18" s="7">
        <f ca="1">Proyeccion!L18</f>
        <v>23230</v>
      </c>
      <c r="I18" s="7" t="str">
        <f t="shared" si="3"/>
        <v/>
      </c>
      <c r="J18" s="16" t="str">
        <f t="shared" si="4"/>
        <v/>
      </c>
      <c r="K18" t="str">
        <f t="shared" si="5"/>
        <v/>
      </c>
    </row>
    <row r="20" spans="1:12" ht="63.95" customHeight="1">
      <c r="A20" s="44" t="s">
        <v>546</v>
      </c>
      <c r="B20" s="44"/>
      <c r="C20" s="44"/>
      <c r="D20" s="44"/>
      <c r="E20" s="44"/>
      <c r="F20" s="44"/>
      <c r="G20" s="44"/>
      <c r="H20" s="44"/>
      <c r="I20" s="44"/>
      <c r="J20" s="44"/>
      <c r="K20" s="44"/>
      <c r="L20" s="44"/>
    </row>
  </sheetData>
  <mergeCells count="1">
    <mergeCell ref="A20:L20"/>
  </mergeCells>
  <conditionalFormatting sqref="G6:G18">
    <cfRule type="expression" dxfId="4" priority="1">
      <formula>LEFT(G6,2)="SI"</formula>
    </cfRule>
  </conditionalFormatting>
  <conditionalFormatting sqref="K6:K18">
    <cfRule type="expression" dxfId="3" priority="2">
      <formula>K6="NO ENTRA"</formula>
    </cfRule>
    <cfRule type="expression" dxfId="2" priority="3">
      <formula>K6="al limite"</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41"/>
  <sheetViews>
    <sheetView workbookViewId="0"/>
  </sheetViews>
  <sheetFormatPr baseColWidth="10" defaultColWidth="9.140625" defaultRowHeight="15"/>
  <cols>
    <col min="1" max="1" width="46" customWidth="1"/>
    <col min="2" max="2" width="60" customWidth="1"/>
    <col min="3" max="3" width="80" customWidth="1"/>
  </cols>
  <sheetData>
    <row r="1" spans="1:3" ht="21">
      <c r="A1" s="1" t="s">
        <v>276</v>
      </c>
    </row>
    <row r="2" spans="1:3">
      <c r="A2" s="2" t="s">
        <v>277</v>
      </c>
    </row>
    <row r="4" spans="1:3">
      <c r="A4" s="11" t="s">
        <v>278</v>
      </c>
      <c r="B4" s="11" t="s">
        <v>279</v>
      </c>
      <c r="C4" s="11" t="s">
        <v>280</v>
      </c>
    </row>
    <row r="5" spans="1:3">
      <c r="A5" t="s">
        <v>281</v>
      </c>
      <c r="B5" s="12">
        <f>ConteoTotal</f>
        <v>26972</v>
      </c>
      <c r="C5" s="4" t="s">
        <v>282</v>
      </c>
    </row>
    <row r="6" spans="1:3" ht="30">
      <c r="A6" t="s">
        <v>283</v>
      </c>
      <c r="B6" s="24">
        <f>ConteoTotal/(INDEX(DemVenta,MATCH(FechaConteo-WEEKDAY(FechaConteo,2)+1+7,DemSemana,0))/DiasVenta)</f>
        <v>10.114500000000001</v>
      </c>
      <c r="C6" s="4" t="s">
        <v>284</v>
      </c>
    </row>
    <row r="7" spans="1:3">
      <c r="A7" t="s">
        <v>285</v>
      </c>
      <c r="B7" s="12">
        <f ca="1">IFERROR(INDEX(PrStock,MATCH(FechaHoy-WEEKDAY(FechaHoy,2)+1,PrSemana,0)),"")</f>
        <v>22898</v>
      </c>
      <c r="C7" s="4" t="s">
        <v>286</v>
      </c>
    </row>
    <row r="8" spans="1:3">
      <c r="A8" t="s">
        <v>287</v>
      </c>
      <c r="B8" s="25">
        <f ca="1">IFERROR(INDEX(PrACargar,MATCH(FechaHoy-WEEKDAY(FechaHoy,2)+1,PrSemana,0)),"")</f>
        <v>0</v>
      </c>
      <c r="C8" s="4" t="s">
        <v>288</v>
      </c>
    </row>
    <row r="9" spans="1:3">
      <c r="A9" t="s">
        <v>289</v>
      </c>
      <c r="B9" s="25">
        <f ca="1">IFERROR(INDEX(PrACargar,MATCH(FechaHoy-WEEKDAY(FechaHoy,2)+1+7,PrSemana,0)),"")</f>
        <v>4</v>
      </c>
      <c r="C9" s="4" t="s">
        <v>290</v>
      </c>
    </row>
    <row r="10" spans="1:3" ht="30">
      <c r="A10" t="s">
        <v>291</v>
      </c>
      <c r="B10" s="24">
        <f ca="1">AVERAGEIFS(PrCobertura,PrSemana,"&gt;="&amp;(FechaHoy-WEEKDAY(FechaHoy,2)+1),PrSemana,"&lt;"&amp;(FechaHoy-WEEKDAY(FechaHoy,2)+1+28))</f>
        <v>8.0435294117647054</v>
      </c>
      <c r="C10" s="4" t="s">
        <v>292</v>
      </c>
    </row>
    <row r="11" spans="1:3" ht="30">
      <c r="A11" t="s">
        <v>293</v>
      </c>
      <c r="B11" s="25">
        <f ca="1">COUNTIFS(PrACargar,"&gt;0",PrSemana,"&gt;="&amp;(FechaHoy-WEEKDAY(FechaHoy,2)+1),PrSemana,"&lt;"&amp;(FechaHoy-WEEKDAY(FechaHoy,2)+1+28))</f>
        <v>3</v>
      </c>
      <c r="C11" s="4" t="s">
        <v>294</v>
      </c>
    </row>
    <row r="12" spans="1:3">
      <c r="A12" t="s">
        <v>295</v>
      </c>
      <c r="B12" s="25">
        <f ca="1">SUMIFS(PrACargar,PrSemana,"&gt;="&amp;(FechaHoy-WEEKDAY(FechaHoy,2)+1),PrSemana,"&lt;"&amp;(FechaHoy-WEEKDAY(FechaHoy,2)+1+28))</f>
        <v>12</v>
      </c>
      <c r="C12" s="4" t="s">
        <v>296</v>
      </c>
    </row>
    <row r="13" spans="1:3" ht="30">
      <c r="A13" t="s">
        <v>297</v>
      </c>
      <c r="B13" s="24">
        <f>ConteoTotal/INDEX(DemVenta,MATCH(FechaConteo-WEEKDAY(FechaConteo,2)+1+7,DemSemana,0))</f>
        <v>1.6857500000000001</v>
      </c>
      <c r="C13" s="4" t="s">
        <v>298</v>
      </c>
    </row>
    <row r="14" spans="1:3" ht="30">
      <c r="A14" t="s">
        <v>299</v>
      </c>
      <c r="B14" s="12">
        <f>ConteoBR*CostoBR+ConteoPY*CostoPY+ConteoBO*CostoBO</f>
        <v>196107.57</v>
      </c>
      <c r="C14" s="4" t="s">
        <v>300</v>
      </c>
    </row>
    <row r="15" spans="1:3" ht="30">
      <c r="A15" t="s">
        <v>301</v>
      </c>
      <c r="B15" s="12">
        <f ca="1">SUM(CgPipeline)</f>
        <v>7922</v>
      </c>
      <c r="C15" s="4" t="s">
        <v>302</v>
      </c>
    </row>
    <row r="16" spans="1:3">
      <c r="A16" t="s">
        <v>303</v>
      </c>
      <c r="B16" s="26">
        <f>PrecioBR_BRL-(CepeaKg*KgCaja+ServiciosCaja)</f>
        <v>-7.0899999999999963</v>
      </c>
      <c r="C16" s="4" t="s">
        <v>304</v>
      </c>
    </row>
    <row r="17" spans="1:3" ht="45">
      <c r="A17" t="s">
        <v>305</v>
      </c>
      <c r="B17" s="27">
        <f>IFERROR(SUMPRODUCT(MAX((Proveedores!A5:A60="PY")*Proveedores!D5:D60))/SUMIF(Proveedores!A5:A60,"PY",Proveedores!D5:D60),"")</f>
        <v>0.48076923076923078</v>
      </c>
      <c r="C17" s="4" t="s">
        <v>306</v>
      </c>
    </row>
    <row r="18" spans="1:3">
      <c r="A18" t="s">
        <v>307</v>
      </c>
      <c r="B18" s="27">
        <f>IFERROR(SUMPRODUCT(MAX((Proveedores!A5:A60="BR")*Proveedores!D5:D60))/SUMIF(Proveedores!A5:A60,"BR",Proveedores!D5:D60),"")</f>
        <v>0.1875</v>
      </c>
      <c r="C18" s="4" t="s">
        <v>3</v>
      </c>
    </row>
    <row r="19" spans="1:3">
      <c r="A19" t="s">
        <v>308</v>
      </c>
      <c r="B19" s="24">
        <f ca="1">AVERAGEIFS(PrCamiones,PrSemana,"&gt;="&amp;(FechaHoy-WEEKDAY(FechaHoy,2)+1),PrSemana,"&lt;"&amp;(FechaHoy-WEEKDAY(FechaHoy,2)+1+28))</f>
        <v>12.5</v>
      </c>
      <c r="C19" s="4" t="s">
        <v>309</v>
      </c>
    </row>
    <row r="20" spans="1:3" ht="30">
      <c r="A20" t="s">
        <v>310</v>
      </c>
      <c r="B20" s="27">
        <f ca="1">IFERROR(SUMIFS(CgCajas,CgOrigen,"BR",CgCuenta,1,CgSemana,"&gt;="&amp;(FechaHoy-WEEKDAY(FechaHoy,2)+1),CgSemana,"&lt;"&amp;(FechaHoy-WEEKDAY(FechaHoy,2)+1+28))/SUMIFS(CgCajas,CgCuenta,1,CgSemana,"&gt;="&amp;(FechaHoy-WEEKDAY(FechaHoy,2)+1),CgSemana,"&lt;"&amp;(FechaHoy-WEEKDAY(FechaHoy,2)+1+28)),0)</f>
        <v>0.6047502310814612</v>
      </c>
      <c r="C20" s="4" t="s">
        <v>311</v>
      </c>
    </row>
    <row r="21" spans="1:3">
      <c r="A21" t="s">
        <v>312</v>
      </c>
      <c r="B21" s="27">
        <f ca="1">IFERROR(SUMIFS(CgCajas,CgOrigen,"PY",CgCuenta,1,CgSemana,"&gt;="&amp;(FechaHoy-WEEKDAY(FechaHoy,2)+1),CgSemana,"&lt;"&amp;(FechaHoy-WEEKDAY(FechaHoy,2)+1+28))/SUMIFS(CgCajas,CgCuenta,1,CgSemana,"&gt;="&amp;(FechaHoy-WEEKDAY(FechaHoy,2)+1),CgSemana,"&lt;"&amp;(FechaHoy-WEEKDAY(FechaHoy,2)+1+28)),0)</f>
        <v>0.37415102680544948</v>
      </c>
      <c r="C21" s="4" t="s">
        <v>3</v>
      </c>
    </row>
    <row r="22" spans="1:3">
      <c r="A22" t="s">
        <v>313</v>
      </c>
      <c r="B22" s="27">
        <f ca="1">IFERROR(SUMIFS(CgCajas,CgOrigen,"BO",CgCuenta,1,CgSemana,"&gt;="&amp;(FechaHoy-WEEKDAY(FechaHoy,2)+1),CgSemana,"&lt;"&amp;(FechaHoy-WEEKDAY(FechaHoy,2)+1+28))/SUMIFS(CgCajas,CgCuenta,1,CgSemana,"&gt;="&amp;(FechaHoy-WEEKDAY(FechaHoy,2)+1),CgSemana,"&lt;"&amp;(FechaHoy-WEEKDAY(FechaHoy,2)+1+28)),0)</f>
        <v>2.1098742113089257E-2</v>
      </c>
      <c r="C22" s="4" t="s">
        <v>3</v>
      </c>
    </row>
    <row r="23" spans="1:3" ht="30">
      <c r="A23" t="s">
        <v>314</v>
      </c>
      <c r="B23" s="12">
        <f ca="1">SUMIFS(CgCosto,CgCuenta,1,CgSemana,"&gt;="&amp;(FechaHoy-WEEKDAY(FechaHoy,2)+1),CgSemana,"&lt;"&amp;(FechaHoy-WEEKDAY(FechaHoy,2)+1+28))</f>
        <v>355060.63999999978</v>
      </c>
      <c r="C23" s="4" t="s">
        <v>315</v>
      </c>
    </row>
    <row r="24" spans="1:3" ht="45">
      <c r="A24" t="s">
        <v>316</v>
      </c>
      <c r="B24" s="25">
        <f>COUNTIFS(CgEstado,"Supuesto*",CgCuenta,1)</f>
        <v>103</v>
      </c>
      <c r="C24" s="4" t="s">
        <v>317</v>
      </c>
    </row>
    <row r="25" spans="1:3" ht="30">
      <c r="A25" t="s">
        <v>318</v>
      </c>
      <c r="B25" s="28">
        <f>IFERROR(AVERAGE(Proveedores!R5:R60),"")</f>
        <v>-9.5789473684210517E-4</v>
      </c>
      <c r="C25" s="4" t="s">
        <v>319</v>
      </c>
    </row>
    <row r="26" spans="1:3" ht="30">
      <c r="A26" t="s">
        <v>320</v>
      </c>
      <c r="B26" s="27">
        <f>IFERROR(AVERAGE(CgOTIF),"sin descargas reales todavia")</f>
        <v>1</v>
      </c>
      <c r="C26" s="4" t="s">
        <v>321</v>
      </c>
    </row>
    <row r="27" spans="1:3">
      <c r="A27" t="s">
        <v>322</v>
      </c>
      <c r="B27" s="25">
        <f>COUNTIFS(CgEstado,"Dictado",CgCuenta,1)</f>
        <v>16</v>
      </c>
      <c r="C27" s="4" t="s">
        <v>323</v>
      </c>
    </row>
    <row r="28" spans="1:3" ht="30">
      <c r="A28" t="s">
        <v>324</v>
      </c>
      <c r="B28" s="29" t="str">
        <f>IFERROR(SUMPRODUCT((Demanda!O6:O18&lt;&gt;"")*ABS(Demanda!P6:P18))/COUNTIF(Demanda!O6:O18,"&lt;&gt;"),"sin venta real cargada")</f>
        <v>sin venta real cargada</v>
      </c>
      <c r="C28" s="4" t="s">
        <v>325</v>
      </c>
    </row>
    <row r="30" spans="1:3" ht="30">
      <c r="A30" s="11" t="s">
        <v>326</v>
      </c>
      <c r="B30" s="11" t="s">
        <v>327</v>
      </c>
      <c r="C30" s="11" t="s">
        <v>328</v>
      </c>
    </row>
    <row r="31" spans="1:3" ht="45">
      <c r="A31" s="30" t="s">
        <v>329</v>
      </c>
      <c r="B31" s="15" t="s">
        <v>330</v>
      </c>
      <c r="C31" s="15" t="s">
        <v>331</v>
      </c>
    </row>
    <row r="32" spans="1:3" ht="45">
      <c r="A32" s="30" t="s">
        <v>332</v>
      </c>
      <c r="B32" s="15" t="s">
        <v>333</v>
      </c>
      <c r="C32" s="15" t="s">
        <v>334</v>
      </c>
    </row>
    <row r="33" spans="1:3" ht="45">
      <c r="A33" s="30" t="s">
        <v>335</v>
      </c>
      <c r="B33" s="15" t="s">
        <v>336</v>
      </c>
      <c r="C33" s="15" t="s">
        <v>337</v>
      </c>
    </row>
    <row r="34" spans="1:3" ht="30">
      <c r="A34" s="30" t="s">
        <v>338</v>
      </c>
      <c r="B34" s="15" t="s">
        <v>339</v>
      </c>
      <c r="C34" s="15" t="s">
        <v>340</v>
      </c>
    </row>
    <row r="35" spans="1:3" ht="30">
      <c r="A35" s="30" t="s">
        <v>341</v>
      </c>
      <c r="B35" s="15" t="s">
        <v>342</v>
      </c>
      <c r="C35" s="15" t="s">
        <v>343</v>
      </c>
    </row>
    <row r="36" spans="1:3" ht="30">
      <c r="A36" s="30" t="s">
        <v>344</v>
      </c>
      <c r="B36" s="15" t="s">
        <v>345</v>
      </c>
      <c r="C36" s="15" t="s">
        <v>346</v>
      </c>
    </row>
    <row r="37" spans="1:3" ht="45">
      <c r="A37" s="30" t="s">
        <v>347</v>
      </c>
      <c r="B37" s="15" t="s">
        <v>348</v>
      </c>
      <c r="C37" s="15" t="s">
        <v>349</v>
      </c>
    </row>
    <row r="38" spans="1:3" ht="45">
      <c r="A38" s="30" t="s">
        <v>350</v>
      </c>
      <c r="B38" s="15" t="s">
        <v>351</v>
      </c>
      <c r="C38" s="15" t="s">
        <v>352</v>
      </c>
    </row>
    <row r="39" spans="1:3" ht="30">
      <c r="A39" s="30" t="s">
        <v>353</v>
      </c>
      <c r="B39" s="15" t="s">
        <v>354</v>
      </c>
      <c r="C39" s="15" t="s">
        <v>355</v>
      </c>
    </row>
    <row r="40" spans="1:3" ht="30">
      <c r="A40" s="30" t="s">
        <v>356</v>
      </c>
      <c r="B40" s="15" t="s">
        <v>357</v>
      </c>
      <c r="C40" s="15" t="s">
        <v>358</v>
      </c>
    </row>
    <row r="41" spans="1:3" ht="30">
      <c r="A41" s="30" t="s">
        <v>359</v>
      </c>
      <c r="B41" s="15" t="s">
        <v>360</v>
      </c>
      <c r="C41" s="15" t="s">
        <v>361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31"/>
  <sheetViews>
    <sheetView workbookViewId="0">
      <pane xSplit="2" ySplit="4" topLeftCell="C5" activePane="bottomRight" state="frozen"/>
      <selection pane="topRight" activeCell="C1" sqref="C1"/>
      <selection pane="bottomLeft" activeCell="A5" sqref="A5"/>
      <selection pane="bottomRight"/>
    </sheetView>
  </sheetViews>
  <sheetFormatPr baseColWidth="10" defaultColWidth="9.140625" defaultRowHeight="15"/>
  <cols>
    <col min="1" max="1" width="7" customWidth="1"/>
    <col min="2" max="3" width="20" customWidth="1"/>
    <col min="4" max="7" width="10" customWidth="1"/>
    <col min="8" max="8" width="12" customWidth="1"/>
    <col min="9" max="9" width="10" customWidth="1"/>
    <col min="10" max="10" width="9" customWidth="1"/>
    <col min="11" max="11" width="30" customWidth="1"/>
    <col min="12" max="12" width="20" customWidth="1"/>
    <col min="13" max="15" width="12" customWidth="1"/>
    <col min="16" max="16" width="60" customWidth="1"/>
    <col min="17" max="17" width="14" customWidth="1"/>
    <col min="18" max="18" width="12" customWidth="1"/>
    <col min="19" max="19" width="14" customWidth="1"/>
    <col min="20" max="20" width="10" customWidth="1"/>
    <col min="21" max="21" width="50" customWidth="1"/>
  </cols>
  <sheetData>
    <row r="1" spans="1:21" ht="21">
      <c r="A1" s="1" t="s">
        <v>362</v>
      </c>
    </row>
    <row r="2" spans="1:21">
      <c r="A2" s="2" t="s">
        <v>363</v>
      </c>
    </row>
    <row r="4" spans="1:21" ht="90">
      <c r="A4" s="11" t="s">
        <v>173</v>
      </c>
      <c r="B4" s="11" t="s">
        <v>364</v>
      </c>
      <c r="C4" s="11" t="s">
        <v>365</v>
      </c>
      <c r="D4" s="11" t="s">
        <v>366</v>
      </c>
      <c r="E4" s="11" t="s">
        <v>367</v>
      </c>
      <c r="F4" s="11" t="s">
        <v>368</v>
      </c>
      <c r="G4" s="11" t="s">
        <v>369</v>
      </c>
      <c r="H4" s="11" t="s">
        <v>370</v>
      </c>
      <c r="I4" s="11" t="s">
        <v>371</v>
      </c>
      <c r="J4" s="11" t="s">
        <v>372</v>
      </c>
      <c r="K4" s="11" t="s">
        <v>373</v>
      </c>
      <c r="L4" s="11" t="s">
        <v>374</v>
      </c>
      <c r="M4" s="11" t="s">
        <v>375</v>
      </c>
      <c r="N4" s="11" t="s">
        <v>376</v>
      </c>
      <c r="O4" s="11" t="s">
        <v>377</v>
      </c>
      <c r="P4" s="11" t="s">
        <v>61</v>
      </c>
      <c r="Q4" s="11" t="s">
        <v>378</v>
      </c>
      <c r="R4" s="11" t="s">
        <v>379</v>
      </c>
      <c r="S4" s="11" t="s">
        <v>380</v>
      </c>
      <c r="T4" s="11" t="s">
        <v>381</v>
      </c>
      <c r="U4" s="11" t="s">
        <v>382</v>
      </c>
    </row>
    <row r="5" spans="1:21">
      <c r="A5" t="s">
        <v>58</v>
      </c>
      <c r="B5" t="s">
        <v>197</v>
      </c>
      <c r="C5" s="9" t="s">
        <v>209</v>
      </c>
      <c r="D5">
        <v>12</v>
      </c>
      <c r="E5">
        <v>7</v>
      </c>
      <c r="F5" s="22">
        <v>1.5</v>
      </c>
      <c r="G5">
        <v>2</v>
      </c>
      <c r="H5" s="31">
        <v>2</v>
      </c>
      <c r="I5" s="22">
        <v>3.5</v>
      </c>
      <c r="J5">
        <v>1008</v>
      </c>
      <c r="K5" t="s">
        <v>383</v>
      </c>
      <c r="L5" t="s">
        <v>384</v>
      </c>
      <c r="M5" s="10">
        <v>37.75</v>
      </c>
      <c r="N5">
        <f t="shared" ref="N5:N29" ca="1" si="0">COUNTIFS(CgProductor,B5,CgSemana,FechaHoy-WEEKDAY(FechaHoy,2)+1)+IF(C5&lt;&gt;B5,COUNTIFS(CgProductor,C5,CgSemana,FechaHoy-WEEKDAY(FechaHoy,2)+1),0)</f>
        <v>2</v>
      </c>
      <c r="O5">
        <f t="shared" ref="O5:O29" ca="1" si="1">COUNTIFS(CgProductor,B5,CgSemana,FechaHoy-WEEKDAY(FechaHoy,2)+1+7)+IF(C5&lt;&gt;B5,COUNTIFS(CgProductor,C5,CgSemana,FechaHoy-WEEKDAY(FechaHoy,2)+1+7),0)</f>
        <v>1</v>
      </c>
      <c r="P5" t="s">
        <v>3</v>
      </c>
      <c r="Q5" t="s">
        <v>385</v>
      </c>
      <c r="R5" s="32">
        <v>2.0000000000000001E-4</v>
      </c>
      <c r="S5" t="s">
        <v>386</v>
      </c>
      <c r="T5" s="22">
        <v>1.2</v>
      </c>
      <c r="U5" t="s">
        <v>387</v>
      </c>
    </row>
    <row r="6" spans="1:21">
      <c r="A6" t="s">
        <v>58</v>
      </c>
      <c r="B6" t="s">
        <v>388</v>
      </c>
      <c r="C6" s="9" t="s">
        <v>212</v>
      </c>
      <c r="D6">
        <v>12</v>
      </c>
      <c r="E6">
        <v>8</v>
      </c>
      <c r="F6" s="22">
        <v>1.5</v>
      </c>
      <c r="G6">
        <v>2</v>
      </c>
      <c r="H6" s="31">
        <v>2</v>
      </c>
      <c r="I6" s="22">
        <v>3.7</v>
      </c>
      <c r="J6">
        <v>1008</v>
      </c>
      <c r="K6" t="s">
        <v>389</v>
      </c>
      <c r="L6" t="s">
        <v>390</v>
      </c>
      <c r="M6" s="10">
        <v>37</v>
      </c>
      <c r="N6">
        <f t="shared" ca="1" si="0"/>
        <v>1</v>
      </c>
      <c r="O6">
        <f t="shared" ca="1" si="1"/>
        <v>1</v>
      </c>
      <c r="P6" t="s">
        <v>3</v>
      </c>
      <c r="Q6" t="s">
        <v>391</v>
      </c>
      <c r="R6" s="32">
        <v>5.0000000000000001E-4</v>
      </c>
      <c r="S6" t="s">
        <v>392</v>
      </c>
      <c r="T6" s="22">
        <v>1.6</v>
      </c>
      <c r="U6" t="s">
        <v>387</v>
      </c>
    </row>
    <row r="7" spans="1:21">
      <c r="A7" t="s">
        <v>58</v>
      </c>
      <c r="B7" t="s">
        <v>196</v>
      </c>
      <c r="C7" s="9" t="s">
        <v>217</v>
      </c>
      <c r="D7">
        <v>10</v>
      </c>
      <c r="E7">
        <v>7</v>
      </c>
      <c r="F7" s="22">
        <v>1.2</v>
      </c>
      <c r="G7">
        <v>3</v>
      </c>
      <c r="H7" s="31">
        <v>2.5</v>
      </c>
      <c r="I7" s="22">
        <v>3.8</v>
      </c>
      <c r="J7">
        <v>936</v>
      </c>
      <c r="K7" t="s">
        <v>393</v>
      </c>
      <c r="L7" t="s">
        <v>394</v>
      </c>
      <c r="M7" s="10">
        <v>38.64</v>
      </c>
      <c r="N7">
        <f t="shared" ca="1" si="0"/>
        <v>1</v>
      </c>
      <c r="O7">
        <f t="shared" ca="1" si="1"/>
        <v>1</v>
      </c>
      <c r="P7" t="s">
        <v>3</v>
      </c>
      <c r="Q7" t="s">
        <v>395</v>
      </c>
      <c r="R7" s="32">
        <v>-1.4E-3</v>
      </c>
      <c r="S7" t="s">
        <v>396</v>
      </c>
      <c r="T7" s="22">
        <v>2.5</v>
      </c>
      <c r="U7" t="s">
        <v>397</v>
      </c>
    </row>
    <row r="8" spans="1:21">
      <c r="A8" t="s">
        <v>58</v>
      </c>
      <c r="B8" t="s">
        <v>398</v>
      </c>
      <c r="C8" s="9" t="s">
        <v>214</v>
      </c>
      <c r="D8">
        <v>7</v>
      </c>
      <c r="E8">
        <v>5</v>
      </c>
      <c r="F8" s="22">
        <v>0.9</v>
      </c>
      <c r="G8">
        <v>2</v>
      </c>
      <c r="H8" s="31">
        <v>2</v>
      </c>
      <c r="I8" s="22">
        <v>3.9</v>
      </c>
      <c r="J8">
        <v>1008</v>
      </c>
      <c r="K8" t="s">
        <v>399</v>
      </c>
      <c r="L8" t="s">
        <v>400</v>
      </c>
      <c r="M8" s="10">
        <v>41.63</v>
      </c>
      <c r="N8">
        <f t="shared" ca="1" si="0"/>
        <v>1</v>
      </c>
      <c r="O8">
        <f t="shared" ca="1" si="1"/>
        <v>1</v>
      </c>
      <c r="P8" t="s">
        <v>3</v>
      </c>
      <c r="Q8" t="s">
        <v>401</v>
      </c>
      <c r="R8" s="32">
        <v>0</v>
      </c>
      <c r="S8" t="s">
        <v>386</v>
      </c>
      <c r="T8" s="22">
        <v>0.6</v>
      </c>
      <c r="U8" t="s">
        <v>402</v>
      </c>
    </row>
    <row r="9" spans="1:21">
      <c r="A9" t="s">
        <v>58</v>
      </c>
      <c r="B9" t="s">
        <v>403</v>
      </c>
      <c r="C9" s="9" t="s">
        <v>205</v>
      </c>
      <c r="D9">
        <v>6</v>
      </c>
      <c r="E9">
        <v>5</v>
      </c>
      <c r="F9" s="22">
        <v>0.8</v>
      </c>
      <c r="G9">
        <v>2</v>
      </c>
      <c r="H9" s="31">
        <v>1.5</v>
      </c>
      <c r="I9" s="22">
        <v>2.8</v>
      </c>
      <c r="J9">
        <v>1008</v>
      </c>
      <c r="K9" t="s">
        <v>404</v>
      </c>
      <c r="L9" t="s">
        <v>405</v>
      </c>
      <c r="M9" s="10">
        <v>40.74</v>
      </c>
      <c r="N9">
        <f t="shared" ca="1" si="0"/>
        <v>1</v>
      </c>
      <c r="O9">
        <f t="shared" ca="1" si="1"/>
        <v>1</v>
      </c>
      <c r="P9" t="s">
        <v>3</v>
      </c>
      <c r="Q9" t="s">
        <v>406</v>
      </c>
      <c r="R9" s="32">
        <v>-7.7999999999999996E-3</v>
      </c>
      <c r="S9" t="s">
        <v>396</v>
      </c>
      <c r="T9" s="22">
        <v>0.4</v>
      </c>
      <c r="U9" t="s">
        <v>387</v>
      </c>
    </row>
    <row r="10" spans="1:21">
      <c r="A10" t="s">
        <v>58</v>
      </c>
      <c r="B10" t="s">
        <v>219</v>
      </c>
      <c r="C10" s="9" t="s">
        <v>219</v>
      </c>
      <c r="D10">
        <v>5</v>
      </c>
      <c r="E10">
        <v>5</v>
      </c>
      <c r="F10" s="22">
        <v>0.6</v>
      </c>
      <c r="G10">
        <v>1</v>
      </c>
      <c r="H10" s="31">
        <v>1</v>
      </c>
      <c r="I10" s="22">
        <v>3</v>
      </c>
      <c r="J10">
        <v>1008</v>
      </c>
      <c r="K10" t="s">
        <v>407</v>
      </c>
      <c r="L10" t="s">
        <v>408</v>
      </c>
      <c r="M10" s="10">
        <v>40.65</v>
      </c>
      <c r="N10">
        <f t="shared" ca="1" si="0"/>
        <v>0</v>
      </c>
      <c r="O10">
        <f t="shared" ca="1" si="1"/>
        <v>1</v>
      </c>
      <c r="P10" t="s">
        <v>3</v>
      </c>
      <c r="Q10" t="s">
        <v>409</v>
      </c>
      <c r="R10" s="32">
        <v>-4.0000000000000002E-4</v>
      </c>
      <c r="S10" t="s">
        <v>410</v>
      </c>
      <c r="T10" s="22">
        <v>1</v>
      </c>
      <c r="U10" t="s">
        <v>387</v>
      </c>
    </row>
    <row r="11" spans="1:21">
      <c r="A11" t="s">
        <v>58</v>
      </c>
      <c r="B11" t="s">
        <v>411</v>
      </c>
      <c r="C11" s="9" t="s">
        <v>220</v>
      </c>
      <c r="D11">
        <v>4</v>
      </c>
      <c r="E11">
        <v>4</v>
      </c>
      <c r="F11" s="22">
        <v>0.5</v>
      </c>
      <c r="G11">
        <v>1</v>
      </c>
      <c r="H11" s="31">
        <v>1</v>
      </c>
      <c r="I11" s="22">
        <v>3.2</v>
      </c>
      <c r="J11">
        <v>1008</v>
      </c>
      <c r="K11" t="s">
        <v>412</v>
      </c>
      <c r="L11" t="s">
        <v>413</v>
      </c>
      <c r="M11" s="10">
        <v>42.33</v>
      </c>
      <c r="N11">
        <f t="shared" ca="1" si="0"/>
        <v>0</v>
      </c>
      <c r="O11">
        <f t="shared" ca="1" si="1"/>
        <v>1</v>
      </c>
      <c r="P11" t="s">
        <v>3</v>
      </c>
      <c r="Q11" t="s">
        <v>3</v>
      </c>
      <c r="S11" t="s">
        <v>3</v>
      </c>
      <c r="U11" t="s">
        <v>387</v>
      </c>
    </row>
    <row r="12" spans="1:21">
      <c r="A12" t="s">
        <v>58</v>
      </c>
      <c r="B12" t="s">
        <v>414</v>
      </c>
      <c r="C12" s="9" t="s">
        <v>221</v>
      </c>
      <c r="D12">
        <v>3</v>
      </c>
      <c r="E12">
        <v>3</v>
      </c>
      <c r="F12" s="22">
        <v>0.4</v>
      </c>
      <c r="G12">
        <v>1</v>
      </c>
      <c r="H12" s="31">
        <v>1</v>
      </c>
      <c r="I12" s="22">
        <v>3.7</v>
      </c>
      <c r="J12">
        <v>1008</v>
      </c>
      <c r="K12" t="s">
        <v>415</v>
      </c>
      <c r="L12" t="s">
        <v>416</v>
      </c>
      <c r="M12" s="10">
        <v>42.16</v>
      </c>
      <c r="N12">
        <f t="shared" ca="1" si="0"/>
        <v>0</v>
      </c>
      <c r="O12">
        <f t="shared" ca="1" si="1"/>
        <v>1</v>
      </c>
      <c r="P12" t="s">
        <v>3</v>
      </c>
      <c r="Q12" t="s">
        <v>417</v>
      </c>
      <c r="R12" s="32">
        <v>-1E-4</v>
      </c>
      <c r="S12" t="s">
        <v>386</v>
      </c>
      <c r="T12" s="22">
        <v>0.4</v>
      </c>
      <c r="U12" t="s">
        <v>418</v>
      </c>
    </row>
    <row r="13" spans="1:21">
      <c r="A13" t="s">
        <v>58</v>
      </c>
      <c r="B13" t="s">
        <v>419</v>
      </c>
      <c r="C13" s="9" t="s">
        <v>419</v>
      </c>
      <c r="D13">
        <v>2</v>
      </c>
      <c r="E13">
        <v>2</v>
      </c>
      <c r="F13" s="22">
        <v>0.2</v>
      </c>
      <c r="G13">
        <v>1</v>
      </c>
      <c r="H13" s="31">
        <v>1</v>
      </c>
      <c r="I13" s="22">
        <v>3</v>
      </c>
      <c r="J13">
        <v>1008</v>
      </c>
      <c r="K13" t="s">
        <v>420</v>
      </c>
      <c r="L13" t="s">
        <v>421</v>
      </c>
      <c r="M13" s="10">
        <v>37.64</v>
      </c>
      <c r="N13">
        <f t="shared" ca="1" si="0"/>
        <v>0</v>
      </c>
      <c r="O13">
        <f t="shared" ca="1" si="1"/>
        <v>0</v>
      </c>
      <c r="P13" t="s">
        <v>3</v>
      </c>
      <c r="U13" t="s">
        <v>387</v>
      </c>
    </row>
    <row r="14" spans="1:21">
      <c r="A14" t="s">
        <v>58</v>
      </c>
      <c r="B14" t="s">
        <v>422</v>
      </c>
      <c r="C14" s="9" t="s">
        <v>422</v>
      </c>
      <c r="D14">
        <v>2</v>
      </c>
      <c r="E14">
        <v>2</v>
      </c>
      <c r="F14" s="22">
        <v>0.2</v>
      </c>
      <c r="G14">
        <v>1</v>
      </c>
      <c r="H14" s="31">
        <v>1</v>
      </c>
      <c r="I14" s="22">
        <v>4.5</v>
      </c>
      <c r="J14">
        <v>1008</v>
      </c>
      <c r="K14" t="s">
        <v>423</v>
      </c>
      <c r="L14" t="s">
        <v>424</v>
      </c>
      <c r="M14" s="10">
        <v>37.799999999999997</v>
      </c>
      <c r="N14">
        <f t="shared" ca="1" si="0"/>
        <v>0</v>
      </c>
      <c r="O14">
        <f t="shared" ca="1" si="1"/>
        <v>0</v>
      </c>
      <c r="P14" t="s">
        <v>3</v>
      </c>
      <c r="U14" t="s">
        <v>387</v>
      </c>
    </row>
    <row r="15" spans="1:21">
      <c r="A15" t="s">
        <v>58</v>
      </c>
      <c r="B15" t="s">
        <v>425</v>
      </c>
      <c r="C15" s="9" t="s">
        <v>426</v>
      </c>
      <c r="D15">
        <v>1</v>
      </c>
      <c r="E15">
        <v>1</v>
      </c>
      <c r="F15" s="22">
        <v>0.1</v>
      </c>
      <c r="G15">
        <v>1</v>
      </c>
      <c r="H15" s="31">
        <v>1</v>
      </c>
      <c r="I15" s="22">
        <v>4</v>
      </c>
      <c r="J15">
        <v>1008</v>
      </c>
      <c r="K15" t="s">
        <v>427</v>
      </c>
      <c r="L15" t="s">
        <v>428</v>
      </c>
      <c r="M15" s="10">
        <v>41.14</v>
      </c>
      <c r="N15">
        <f t="shared" ca="1" si="0"/>
        <v>0</v>
      </c>
      <c r="O15">
        <f t="shared" ca="1" si="1"/>
        <v>0</v>
      </c>
      <c r="P15" t="s">
        <v>3</v>
      </c>
      <c r="Q15" t="s">
        <v>429</v>
      </c>
      <c r="R15" s="32">
        <v>-1.8E-3</v>
      </c>
      <c r="S15" t="s">
        <v>430</v>
      </c>
      <c r="T15" s="22">
        <v>0.3</v>
      </c>
      <c r="U15" t="s">
        <v>387</v>
      </c>
    </row>
    <row r="16" spans="1:21">
      <c r="A16" t="s">
        <v>59</v>
      </c>
      <c r="B16" t="s">
        <v>431</v>
      </c>
      <c r="C16" s="9" t="s">
        <v>431</v>
      </c>
      <c r="D16">
        <v>25</v>
      </c>
      <c r="E16">
        <v>8</v>
      </c>
      <c r="F16" s="22">
        <v>3.1</v>
      </c>
      <c r="G16">
        <v>7</v>
      </c>
      <c r="H16" s="31">
        <v>5.5</v>
      </c>
      <c r="I16" s="22">
        <v>3.4</v>
      </c>
      <c r="J16">
        <v>980</v>
      </c>
      <c r="K16" t="s">
        <v>432</v>
      </c>
      <c r="L16" t="s">
        <v>433</v>
      </c>
      <c r="N16">
        <f t="shared" ca="1" si="0"/>
        <v>0</v>
      </c>
      <c r="O16">
        <f t="shared" ca="1" si="1"/>
        <v>0</v>
      </c>
      <c r="P16" t="s">
        <v>434</v>
      </c>
      <c r="Q16" t="s">
        <v>435</v>
      </c>
      <c r="R16" s="32">
        <v>-1E-3</v>
      </c>
      <c r="S16" t="s">
        <v>436</v>
      </c>
      <c r="T16" s="22">
        <v>2</v>
      </c>
      <c r="U16" t="s">
        <v>437</v>
      </c>
    </row>
    <row r="17" spans="1:21">
      <c r="A17" t="s">
        <v>59</v>
      </c>
      <c r="B17" t="s">
        <v>190</v>
      </c>
      <c r="C17" s="9" t="s">
        <v>190</v>
      </c>
      <c r="D17">
        <v>12</v>
      </c>
      <c r="E17">
        <v>7</v>
      </c>
      <c r="F17" s="22">
        <v>1.5</v>
      </c>
      <c r="G17">
        <v>2</v>
      </c>
      <c r="H17" s="31">
        <v>2</v>
      </c>
      <c r="I17" s="22">
        <v>3.3</v>
      </c>
      <c r="J17">
        <v>980</v>
      </c>
      <c r="K17" t="s">
        <v>438</v>
      </c>
      <c r="L17" t="s">
        <v>439</v>
      </c>
      <c r="N17">
        <f t="shared" ca="1" si="0"/>
        <v>1</v>
      </c>
      <c r="O17">
        <f t="shared" ca="1" si="1"/>
        <v>0</v>
      </c>
      <c r="P17" t="s">
        <v>434</v>
      </c>
      <c r="Q17" t="s">
        <v>429</v>
      </c>
      <c r="R17" s="32">
        <v>-3.8999999999999998E-3</v>
      </c>
      <c r="S17" t="s">
        <v>436</v>
      </c>
      <c r="T17" s="22">
        <v>1.8</v>
      </c>
      <c r="U17" t="s">
        <v>440</v>
      </c>
    </row>
    <row r="18" spans="1:21">
      <c r="A18" t="s">
        <v>59</v>
      </c>
      <c r="B18" t="s">
        <v>203</v>
      </c>
      <c r="C18" s="9" t="s">
        <v>203</v>
      </c>
      <c r="D18">
        <v>12</v>
      </c>
      <c r="E18">
        <v>7</v>
      </c>
      <c r="F18" s="22">
        <v>1.5</v>
      </c>
      <c r="G18">
        <v>3</v>
      </c>
      <c r="H18" s="31">
        <v>2.5</v>
      </c>
      <c r="I18" s="22">
        <v>3.6</v>
      </c>
      <c r="J18">
        <v>980</v>
      </c>
      <c r="K18" t="s">
        <v>441</v>
      </c>
      <c r="L18" t="s">
        <v>442</v>
      </c>
      <c r="N18">
        <f t="shared" ca="1" si="0"/>
        <v>1</v>
      </c>
      <c r="O18">
        <f t="shared" ca="1" si="1"/>
        <v>0</v>
      </c>
      <c r="P18" t="s">
        <v>434</v>
      </c>
      <c r="Q18" t="s">
        <v>443</v>
      </c>
      <c r="R18" s="32">
        <v>1E-4</v>
      </c>
      <c r="S18" t="s">
        <v>444</v>
      </c>
      <c r="T18" s="22">
        <v>0.6</v>
      </c>
      <c r="U18" t="s">
        <v>387</v>
      </c>
    </row>
    <row r="19" spans="1:21">
      <c r="A19" t="s">
        <v>59</v>
      </c>
      <c r="B19" t="s">
        <v>201</v>
      </c>
      <c r="C19" s="9" t="s">
        <v>201</v>
      </c>
      <c r="D19">
        <v>3</v>
      </c>
      <c r="E19">
        <v>2</v>
      </c>
      <c r="F19" s="22">
        <v>0.4</v>
      </c>
      <c r="G19">
        <v>2</v>
      </c>
      <c r="H19" s="31">
        <v>1.5</v>
      </c>
      <c r="I19" s="22">
        <v>3</v>
      </c>
      <c r="J19">
        <v>980</v>
      </c>
      <c r="K19" t="s">
        <v>445</v>
      </c>
      <c r="L19" t="s">
        <v>446</v>
      </c>
      <c r="N19">
        <f t="shared" ca="1" si="0"/>
        <v>2</v>
      </c>
      <c r="O19">
        <f t="shared" ca="1" si="1"/>
        <v>0</v>
      </c>
      <c r="P19" t="s">
        <v>434</v>
      </c>
      <c r="Q19" t="s">
        <v>447</v>
      </c>
      <c r="R19" s="32">
        <v>-1.5E-3</v>
      </c>
      <c r="S19" t="s">
        <v>448</v>
      </c>
      <c r="T19" s="22">
        <v>0.5</v>
      </c>
      <c r="U19" t="s">
        <v>449</v>
      </c>
    </row>
    <row r="20" spans="1:21">
      <c r="A20" t="s">
        <v>60</v>
      </c>
      <c r="B20" t="s">
        <v>450</v>
      </c>
      <c r="C20" s="9" t="s">
        <v>194</v>
      </c>
      <c r="D20">
        <v>5</v>
      </c>
      <c r="E20">
        <v>4</v>
      </c>
      <c r="F20" s="22">
        <v>0.6</v>
      </c>
      <c r="G20">
        <v>2</v>
      </c>
      <c r="H20" s="31">
        <v>1.5</v>
      </c>
      <c r="I20" s="22">
        <v>8.1999999999999993</v>
      </c>
      <c r="J20">
        <v>1050</v>
      </c>
      <c r="K20" t="s">
        <v>451</v>
      </c>
      <c r="L20" t="s">
        <v>452</v>
      </c>
      <c r="N20">
        <f t="shared" ca="1" si="0"/>
        <v>1</v>
      </c>
      <c r="O20">
        <f t="shared" ca="1" si="1"/>
        <v>0</v>
      </c>
      <c r="P20" t="s">
        <v>453</v>
      </c>
      <c r="Q20" t="s">
        <v>3</v>
      </c>
      <c r="S20" t="s">
        <v>3</v>
      </c>
      <c r="U20" t="s">
        <v>454</v>
      </c>
    </row>
    <row r="21" spans="1:21">
      <c r="A21" t="s">
        <v>60</v>
      </c>
      <c r="B21" t="s">
        <v>455</v>
      </c>
      <c r="C21" s="9" t="s">
        <v>194</v>
      </c>
      <c r="D21">
        <v>3</v>
      </c>
      <c r="E21">
        <v>3</v>
      </c>
      <c r="F21" s="22">
        <v>0.4</v>
      </c>
      <c r="G21">
        <v>1</v>
      </c>
      <c r="H21" s="31">
        <v>1</v>
      </c>
      <c r="I21" s="22">
        <v>8.6999999999999993</v>
      </c>
      <c r="J21">
        <v>1050</v>
      </c>
      <c r="K21" t="s">
        <v>456</v>
      </c>
      <c r="L21" t="s">
        <v>457</v>
      </c>
      <c r="N21">
        <f t="shared" ca="1" si="0"/>
        <v>1</v>
      </c>
      <c r="O21">
        <f t="shared" ca="1" si="1"/>
        <v>0</v>
      </c>
      <c r="P21" t="s">
        <v>453</v>
      </c>
      <c r="Q21" t="s">
        <v>3</v>
      </c>
      <c r="S21" t="s">
        <v>3</v>
      </c>
      <c r="U21" t="s">
        <v>194</v>
      </c>
    </row>
    <row r="22" spans="1:21">
      <c r="A22" t="s">
        <v>60</v>
      </c>
      <c r="B22" t="s">
        <v>194</v>
      </c>
      <c r="C22" s="9" t="s">
        <v>194</v>
      </c>
      <c r="D22">
        <v>1</v>
      </c>
      <c r="E22">
        <v>1</v>
      </c>
      <c r="F22" s="22">
        <v>0.1</v>
      </c>
      <c r="G22">
        <v>1</v>
      </c>
      <c r="H22" s="31">
        <v>1</v>
      </c>
      <c r="J22">
        <v>1050</v>
      </c>
      <c r="K22" t="s">
        <v>3</v>
      </c>
      <c r="L22" t="s">
        <v>428</v>
      </c>
      <c r="N22">
        <f t="shared" ca="1" si="0"/>
        <v>1</v>
      </c>
      <c r="O22">
        <f t="shared" ca="1" si="1"/>
        <v>0</v>
      </c>
      <c r="P22" t="s">
        <v>453</v>
      </c>
      <c r="Q22" t="s">
        <v>3</v>
      </c>
      <c r="S22" t="s">
        <v>3</v>
      </c>
      <c r="U22" t="s">
        <v>458</v>
      </c>
    </row>
    <row r="23" spans="1:21">
      <c r="A23" s="33" t="s">
        <v>58</v>
      </c>
      <c r="B23" s="33" t="s">
        <v>459</v>
      </c>
      <c r="C23" s="34" t="s">
        <v>459</v>
      </c>
      <c r="D23" s="33">
        <v>0</v>
      </c>
      <c r="E23" s="33">
        <v>0</v>
      </c>
      <c r="F23" s="33"/>
      <c r="G23" s="33"/>
      <c r="H23" s="34"/>
      <c r="I23" s="33"/>
      <c r="J23" s="33">
        <v>982</v>
      </c>
      <c r="K23" s="33" t="s">
        <v>198</v>
      </c>
      <c r="L23" s="33"/>
      <c r="M23" s="35">
        <v>45.03</v>
      </c>
      <c r="N23" s="33">
        <f t="shared" ca="1" si="0"/>
        <v>0</v>
      </c>
      <c r="O23" s="33">
        <f t="shared" ca="1" si="1"/>
        <v>0</v>
      </c>
      <c r="P23" s="33" t="s">
        <v>460</v>
      </c>
      <c r="Q23" s="33" t="s">
        <v>461</v>
      </c>
      <c r="R23" s="36">
        <v>1.1000000000000001E-3</v>
      </c>
      <c r="S23" s="33" t="s">
        <v>462</v>
      </c>
      <c r="T23" s="33"/>
      <c r="U23" s="33" t="s">
        <v>463</v>
      </c>
    </row>
    <row r="24" spans="1:21">
      <c r="A24" s="33" t="s">
        <v>58</v>
      </c>
      <c r="B24" s="33" t="s">
        <v>464</v>
      </c>
      <c r="C24" s="34" t="s">
        <v>465</v>
      </c>
      <c r="D24" s="33">
        <v>0</v>
      </c>
      <c r="E24" s="33">
        <v>0</v>
      </c>
      <c r="F24" s="33"/>
      <c r="G24" s="33"/>
      <c r="H24" s="34"/>
      <c r="I24" s="33"/>
      <c r="J24" s="33">
        <v>976</v>
      </c>
      <c r="K24" s="33" t="s">
        <v>198</v>
      </c>
      <c r="L24" s="33"/>
      <c r="M24" s="35">
        <v>40.58</v>
      </c>
      <c r="N24" s="33">
        <f t="shared" ca="1" si="0"/>
        <v>0</v>
      </c>
      <c r="O24" s="33">
        <f t="shared" ca="1" si="1"/>
        <v>0</v>
      </c>
      <c r="P24" s="33" t="s">
        <v>460</v>
      </c>
      <c r="Q24" s="33" t="s">
        <v>466</v>
      </c>
      <c r="R24" s="36">
        <v>-8.0000000000000004E-4</v>
      </c>
      <c r="S24" s="33" t="s">
        <v>467</v>
      </c>
      <c r="T24" s="33"/>
      <c r="U24" s="33" t="s">
        <v>468</v>
      </c>
    </row>
    <row r="25" spans="1:21">
      <c r="A25" s="33" t="s">
        <v>58</v>
      </c>
      <c r="B25" s="33" t="s">
        <v>469</v>
      </c>
      <c r="C25" s="34" t="s">
        <v>470</v>
      </c>
      <c r="D25" s="33">
        <v>0</v>
      </c>
      <c r="E25" s="33">
        <v>0</v>
      </c>
      <c r="F25" s="33"/>
      <c r="G25" s="33"/>
      <c r="H25" s="34"/>
      <c r="I25" s="33"/>
      <c r="J25" s="33">
        <v>1008</v>
      </c>
      <c r="K25" s="33" t="s">
        <v>206</v>
      </c>
      <c r="L25" s="33"/>
      <c r="M25" s="35">
        <v>39.24</v>
      </c>
      <c r="N25" s="33">
        <f t="shared" ca="1" si="0"/>
        <v>0</v>
      </c>
      <c r="O25" s="33">
        <f t="shared" ca="1" si="1"/>
        <v>0</v>
      </c>
      <c r="P25" s="33" t="s">
        <v>460</v>
      </c>
      <c r="Q25" s="33" t="s">
        <v>471</v>
      </c>
      <c r="R25" s="36">
        <v>0</v>
      </c>
      <c r="S25" s="33" t="s">
        <v>472</v>
      </c>
      <c r="T25" s="33"/>
      <c r="U25" s="33" t="s">
        <v>473</v>
      </c>
    </row>
    <row r="26" spans="1:21">
      <c r="A26" s="33" t="s">
        <v>58</v>
      </c>
      <c r="B26" s="33" t="s">
        <v>474</v>
      </c>
      <c r="C26" s="34" t="s">
        <v>474</v>
      </c>
      <c r="D26" s="33">
        <v>0</v>
      </c>
      <c r="E26" s="33">
        <v>0</v>
      </c>
      <c r="F26" s="33"/>
      <c r="G26" s="33"/>
      <c r="H26" s="34"/>
      <c r="I26" s="33"/>
      <c r="J26" s="33">
        <v>996</v>
      </c>
      <c r="K26" s="33" t="s">
        <v>198</v>
      </c>
      <c r="L26" s="33"/>
      <c r="M26" s="33"/>
      <c r="N26" s="33">
        <f t="shared" ca="1" si="0"/>
        <v>0</v>
      </c>
      <c r="O26" s="33">
        <f t="shared" ca="1" si="1"/>
        <v>0</v>
      </c>
      <c r="P26" s="33" t="s">
        <v>460</v>
      </c>
      <c r="Q26" s="33" t="s">
        <v>475</v>
      </c>
      <c r="R26" s="36">
        <v>4.0000000000000002E-4</v>
      </c>
      <c r="S26" s="33" t="s">
        <v>476</v>
      </c>
      <c r="T26" s="33"/>
      <c r="U26" s="33" t="s">
        <v>477</v>
      </c>
    </row>
    <row r="27" spans="1:21">
      <c r="A27" s="33" t="s">
        <v>59</v>
      </c>
      <c r="B27" s="33" t="s">
        <v>478</v>
      </c>
      <c r="C27" s="34" t="s">
        <v>479</v>
      </c>
      <c r="D27" s="33">
        <v>0</v>
      </c>
      <c r="E27" s="33">
        <v>0</v>
      </c>
      <c r="F27" s="33"/>
      <c r="G27" s="33"/>
      <c r="H27" s="34"/>
      <c r="I27" s="33"/>
      <c r="J27" s="33">
        <v>972</v>
      </c>
      <c r="K27" s="33" t="s">
        <v>480</v>
      </c>
      <c r="L27" s="33"/>
      <c r="M27" s="33"/>
      <c r="N27" s="33">
        <f t="shared" ca="1" si="0"/>
        <v>0</v>
      </c>
      <c r="O27" s="33">
        <f t="shared" ca="1" si="1"/>
        <v>0</v>
      </c>
      <c r="P27" s="33" t="s">
        <v>460</v>
      </c>
      <c r="Q27" s="33" t="s">
        <v>481</v>
      </c>
      <c r="R27" s="36">
        <v>5.9999999999999995E-4</v>
      </c>
      <c r="S27" s="33" t="s">
        <v>482</v>
      </c>
      <c r="T27" s="33"/>
      <c r="U27" s="33" t="s">
        <v>483</v>
      </c>
    </row>
    <row r="28" spans="1:21">
      <c r="A28" s="33" t="s">
        <v>59</v>
      </c>
      <c r="B28" s="33" t="s">
        <v>484</v>
      </c>
      <c r="C28" s="34" t="s">
        <v>485</v>
      </c>
      <c r="D28" s="33">
        <v>0</v>
      </c>
      <c r="E28" s="33">
        <v>0</v>
      </c>
      <c r="F28" s="33"/>
      <c r="G28" s="33"/>
      <c r="H28" s="34"/>
      <c r="I28" s="33"/>
      <c r="J28" s="33">
        <v>936</v>
      </c>
      <c r="K28" s="33" t="s">
        <v>3</v>
      </c>
      <c r="L28" s="33"/>
      <c r="M28" s="33"/>
      <c r="N28" s="33">
        <f t="shared" ca="1" si="0"/>
        <v>0</v>
      </c>
      <c r="O28" s="33">
        <f t="shared" ca="1" si="1"/>
        <v>0</v>
      </c>
      <c r="P28" s="33" t="s">
        <v>460</v>
      </c>
      <c r="Q28" s="33" t="s">
        <v>486</v>
      </c>
      <c r="R28" s="36">
        <v>-1.4E-3</v>
      </c>
      <c r="S28" s="33" t="s">
        <v>487</v>
      </c>
      <c r="T28" s="33"/>
      <c r="U28" s="33" t="s">
        <v>488</v>
      </c>
    </row>
    <row r="29" spans="1:21">
      <c r="A29" s="33" t="s">
        <v>59</v>
      </c>
      <c r="B29" s="33" t="s">
        <v>489</v>
      </c>
      <c r="C29" s="34" t="s">
        <v>489</v>
      </c>
      <c r="D29" s="33">
        <v>0</v>
      </c>
      <c r="E29" s="33">
        <v>0</v>
      </c>
      <c r="F29" s="33"/>
      <c r="G29" s="33"/>
      <c r="H29" s="34"/>
      <c r="I29" s="33"/>
      <c r="J29" s="33">
        <v>980</v>
      </c>
      <c r="K29" s="33" t="s">
        <v>3</v>
      </c>
      <c r="L29" s="33"/>
      <c r="M29" s="33"/>
      <c r="N29" s="33">
        <f t="shared" ca="1" si="0"/>
        <v>0</v>
      </c>
      <c r="O29" s="33">
        <f t="shared" ca="1" si="1"/>
        <v>0</v>
      </c>
      <c r="P29" s="33" t="s">
        <v>460</v>
      </c>
      <c r="Q29" s="33" t="s">
        <v>490</v>
      </c>
      <c r="R29" s="36">
        <v>-1E-3</v>
      </c>
      <c r="S29" s="33" t="s">
        <v>491</v>
      </c>
      <c r="T29" s="33"/>
      <c r="U29" s="33" t="s">
        <v>492</v>
      </c>
    </row>
    <row r="31" spans="1:21" ht="48.95" customHeight="1">
      <c r="A31" s="44" t="s">
        <v>493</v>
      </c>
      <c r="B31" s="44"/>
      <c r="C31" s="44"/>
      <c r="D31" s="44"/>
      <c r="E31" s="44"/>
      <c r="F31" s="44"/>
      <c r="G31" s="44"/>
      <c r="H31" s="44"/>
      <c r="I31" s="44"/>
      <c r="J31" s="44"/>
      <c r="K31" s="44"/>
      <c r="L31" s="44"/>
    </row>
  </sheetData>
  <mergeCells count="1">
    <mergeCell ref="A31:L31"/>
  </mergeCells>
  <conditionalFormatting sqref="N5:N29">
    <cfRule type="expression" dxfId="1" priority="1">
      <formula>AND(H5&lt;&gt;"",N5&gt;H5)</formula>
    </cfRule>
  </conditionalFormatting>
  <conditionalFormatting sqref="O5:O29">
    <cfRule type="expression" dxfId="0" priority="2">
      <formula>AND(H5&lt;&gt;"",O5&gt;H5)</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45"/>
  <sheetViews>
    <sheetView workbookViewId="0"/>
  </sheetViews>
  <sheetFormatPr baseColWidth="10" defaultColWidth="9.140625" defaultRowHeight="15"/>
  <cols>
    <col min="1" max="2" width="34" customWidth="1"/>
    <col min="3" max="4" width="14" customWidth="1"/>
    <col min="5" max="5" width="16" customWidth="1"/>
    <col min="6" max="6" width="80" customWidth="1"/>
    <col min="7" max="12" width="9.140625" customWidth="1"/>
  </cols>
  <sheetData>
    <row r="1" spans="1:6" ht="21">
      <c r="A1" s="1" t="s">
        <v>547</v>
      </c>
    </row>
    <row r="2" spans="1:6">
      <c r="A2" s="2" t="s">
        <v>548</v>
      </c>
    </row>
    <row r="4" spans="1:6" ht="30">
      <c r="A4" s="11" t="s">
        <v>549</v>
      </c>
      <c r="B4" s="11" t="s">
        <v>550</v>
      </c>
      <c r="C4" s="11" t="s">
        <v>551</v>
      </c>
      <c r="D4" s="11" t="s">
        <v>552</v>
      </c>
      <c r="E4" s="11" t="s">
        <v>553</v>
      </c>
      <c r="F4" s="11" t="s">
        <v>554</v>
      </c>
    </row>
    <row r="5" spans="1:6">
      <c r="A5" t="s">
        <v>555</v>
      </c>
      <c r="B5" s="3" t="s">
        <v>556</v>
      </c>
      <c r="C5" s="18">
        <v>0.18</v>
      </c>
      <c r="D5" s="10">
        <v>6.42</v>
      </c>
      <c r="E5" s="7">
        <v>8600</v>
      </c>
      <c r="F5" t="s">
        <v>557</v>
      </c>
    </row>
    <row r="6" spans="1:6">
      <c r="A6" t="s">
        <v>558</v>
      </c>
      <c r="B6" s="3" t="s">
        <v>559</v>
      </c>
      <c r="C6" s="18">
        <v>9.5000000000000001E-2</v>
      </c>
      <c r="D6" s="10">
        <v>3.15</v>
      </c>
      <c r="E6" s="7">
        <v>4200</v>
      </c>
      <c r="F6" t="s">
        <v>560</v>
      </c>
    </row>
    <row r="7" spans="1:6">
      <c r="A7" t="s">
        <v>561</v>
      </c>
      <c r="B7" t="s">
        <v>3</v>
      </c>
      <c r="C7" s="18">
        <v>6.9000000000000006E-2</v>
      </c>
      <c r="D7" s="10">
        <v>2.97</v>
      </c>
      <c r="E7" s="7">
        <v>4000</v>
      </c>
      <c r="F7" t="s">
        <v>3</v>
      </c>
    </row>
    <row r="8" spans="1:6">
      <c r="A8" t="s">
        <v>562</v>
      </c>
      <c r="B8" t="s">
        <v>3</v>
      </c>
      <c r="C8" s="18">
        <v>6.3E-2</v>
      </c>
      <c r="D8" s="10">
        <v>2.19</v>
      </c>
      <c r="E8" s="7">
        <v>2900</v>
      </c>
      <c r="F8" t="s">
        <v>3</v>
      </c>
    </row>
    <row r="9" spans="1:6">
      <c r="A9" t="s">
        <v>563</v>
      </c>
      <c r="B9" t="s">
        <v>3</v>
      </c>
      <c r="C9" s="18">
        <v>5.1999999999999998E-2</v>
      </c>
      <c r="D9" s="10">
        <v>1.86</v>
      </c>
      <c r="E9" s="7">
        <v>2500</v>
      </c>
      <c r="F9" t="s">
        <v>3</v>
      </c>
    </row>
    <row r="10" spans="1:6">
      <c r="A10" t="s">
        <v>564</v>
      </c>
      <c r="B10" t="s">
        <v>3</v>
      </c>
      <c r="C10" s="18">
        <v>4.7E-2</v>
      </c>
      <c r="D10" s="10">
        <v>1.68</v>
      </c>
      <c r="E10" s="7">
        <v>2250</v>
      </c>
      <c r="F10" t="s">
        <v>565</v>
      </c>
    </row>
    <row r="11" spans="1:6">
      <c r="A11" t="s">
        <v>566</v>
      </c>
      <c r="B11" s="3" t="s">
        <v>567</v>
      </c>
      <c r="C11" s="18">
        <v>4.2000000000000003E-2</v>
      </c>
      <c r="D11" s="10">
        <v>1.57</v>
      </c>
      <c r="E11" s="7">
        <v>2100</v>
      </c>
      <c r="F11" t="s">
        <v>568</v>
      </c>
    </row>
    <row r="12" spans="1:6">
      <c r="A12" t="s">
        <v>569</v>
      </c>
      <c r="B12" s="3" t="s">
        <v>556</v>
      </c>
      <c r="C12" s="18">
        <v>0.04</v>
      </c>
      <c r="D12" s="10">
        <v>1.31</v>
      </c>
      <c r="E12" s="7">
        <v>1750</v>
      </c>
      <c r="F12" t="s">
        <v>570</v>
      </c>
    </row>
    <row r="13" spans="1:6">
      <c r="A13" t="s">
        <v>571</v>
      </c>
      <c r="B13" t="s">
        <v>3</v>
      </c>
      <c r="C13" s="18">
        <v>3.6999999999999998E-2</v>
      </c>
      <c r="D13" s="10">
        <v>1.57</v>
      </c>
      <c r="E13" s="7">
        <v>2100</v>
      </c>
      <c r="F13" t="s">
        <v>3</v>
      </c>
    </row>
    <row r="14" spans="1:6">
      <c r="A14" t="s">
        <v>572</v>
      </c>
      <c r="B14" t="s">
        <v>3</v>
      </c>
      <c r="C14" s="18">
        <v>3.5000000000000003E-2</v>
      </c>
      <c r="D14" s="10">
        <v>1.24</v>
      </c>
      <c r="E14" s="7">
        <v>1660</v>
      </c>
      <c r="F14" t="s">
        <v>3</v>
      </c>
    </row>
    <row r="15" spans="1:6">
      <c r="A15" t="s">
        <v>573</v>
      </c>
      <c r="B15" t="s">
        <v>3</v>
      </c>
      <c r="C15" s="18">
        <v>3.4000000000000002E-2</v>
      </c>
      <c r="D15" s="10">
        <v>1.29</v>
      </c>
      <c r="E15" s="7">
        <v>1720</v>
      </c>
      <c r="F15" t="s">
        <v>3</v>
      </c>
    </row>
    <row r="16" spans="1:6">
      <c r="A16" t="s">
        <v>574</v>
      </c>
      <c r="B16" t="s">
        <v>3</v>
      </c>
      <c r="C16" s="18">
        <v>3.1E-2</v>
      </c>
      <c r="D16" s="10">
        <v>1.26</v>
      </c>
      <c r="E16" s="7">
        <v>1680</v>
      </c>
      <c r="F16" t="s">
        <v>3</v>
      </c>
    </row>
    <row r="17" spans="1:6">
      <c r="A17" t="s">
        <v>575</v>
      </c>
      <c r="B17" t="s">
        <v>3</v>
      </c>
      <c r="C17" s="18">
        <v>0.03</v>
      </c>
      <c r="D17" s="10">
        <v>1.34</v>
      </c>
      <c r="E17" s="7">
        <v>1790</v>
      </c>
      <c r="F17" t="s">
        <v>3</v>
      </c>
    </row>
    <row r="18" spans="1:6">
      <c r="A18" t="s">
        <v>576</v>
      </c>
      <c r="B18" s="3" t="s">
        <v>567</v>
      </c>
      <c r="C18" s="18">
        <v>2.9000000000000001E-2</v>
      </c>
      <c r="F18" t="s">
        <v>577</v>
      </c>
    </row>
    <row r="19" spans="1:6">
      <c r="A19" t="s">
        <v>578</v>
      </c>
      <c r="B19" s="3" t="s">
        <v>559</v>
      </c>
      <c r="C19" s="18">
        <v>2.5999999999999999E-2</v>
      </c>
      <c r="F19" t="s">
        <v>3</v>
      </c>
    </row>
    <row r="20" spans="1:6">
      <c r="A20" t="s">
        <v>579</v>
      </c>
      <c r="B20" t="s">
        <v>3</v>
      </c>
      <c r="C20" s="18">
        <v>2.4E-2</v>
      </c>
      <c r="F20" t="s">
        <v>580</v>
      </c>
    </row>
    <row r="21" spans="1:6">
      <c r="A21" t="s">
        <v>581</v>
      </c>
      <c r="B21" t="s">
        <v>3</v>
      </c>
      <c r="C21" s="18">
        <v>2.3E-2</v>
      </c>
      <c r="F21" t="s">
        <v>3</v>
      </c>
    </row>
    <row r="22" spans="1:6">
      <c r="A22" t="s">
        <v>582</v>
      </c>
      <c r="B22" t="s">
        <v>3</v>
      </c>
      <c r="C22" s="18">
        <v>2.1000000000000001E-2</v>
      </c>
      <c r="F22" t="s">
        <v>3</v>
      </c>
    </row>
    <row r="23" spans="1:6">
      <c r="A23" t="s">
        <v>583</v>
      </c>
      <c r="B23" t="s">
        <v>3</v>
      </c>
      <c r="C23" s="18">
        <v>1.7999999999999999E-2</v>
      </c>
      <c r="F23" t="s">
        <v>3</v>
      </c>
    </row>
    <row r="24" spans="1:6">
      <c r="A24" t="s">
        <v>584</v>
      </c>
      <c r="B24" t="s">
        <v>3</v>
      </c>
      <c r="C24" s="18">
        <v>8.9999999999999993E-3</v>
      </c>
      <c r="D24" s="10">
        <v>0.71</v>
      </c>
      <c r="E24" s="7">
        <v>940</v>
      </c>
      <c r="F24" t="s">
        <v>585</v>
      </c>
    </row>
    <row r="26" spans="1:6" ht="45">
      <c r="A26" s="11" t="s">
        <v>586</v>
      </c>
      <c r="B26" s="11" t="s">
        <v>587</v>
      </c>
      <c r="C26" s="11" t="s">
        <v>551</v>
      </c>
      <c r="D26" s="11" t="s">
        <v>553</v>
      </c>
      <c r="E26" s="11" t="s">
        <v>61</v>
      </c>
    </row>
    <row r="27" spans="1:6">
      <c r="A27" s="3" t="s">
        <v>556</v>
      </c>
      <c r="B27" t="s">
        <v>588</v>
      </c>
      <c r="C27" s="18">
        <v>0.22</v>
      </c>
      <c r="D27" s="7">
        <v>10350</v>
      </c>
      <c r="E27" t="s">
        <v>589</v>
      </c>
    </row>
    <row r="28" spans="1:6">
      <c r="A28" s="3" t="s">
        <v>559</v>
      </c>
      <c r="B28" t="s">
        <v>590</v>
      </c>
      <c r="C28" s="18">
        <v>0.121</v>
      </c>
      <c r="D28" s="7">
        <v>4200</v>
      </c>
      <c r="E28" t="s">
        <v>591</v>
      </c>
    </row>
    <row r="29" spans="1:6">
      <c r="A29" s="3" t="s">
        <v>567</v>
      </c>
      <c r="B29" t="s">
        <v>592</v>
      </c>
      <c r="C29" s="18">
        <v>7.0999999999999994E-2</v>
      </c>
      <c r="D29" s="7">
        <v>2100</v>
      </c>
      <c r="E29" t="s">
        <v>593</v>
      </c>
    </row>
    <row r="30" spans="1:6">
      <c r="A30" t="s">
        <v>561</v>
      </c>
      <c r="B30" t="s">
        <v>561</v>
      </c>
      <c r="C30" s="18">
        <v>6.9000000000000006E-2</v>
      </c>
      <c r="D30" s="7">
        <v>4000</v>
      </c>
      <c r="E30" t="s">
        <v>3</v>
      </c>
    </row>
    <row r="31" spans="1:6">
      <c r="A31" t="s">
        <v>562</v>
      </c>
      <c r="B31" t="s">
        <v>562</v>
      </c>
      <c r="C31" s="18">
        <v>6.3E-2</v>
      </c>
      <c r="D31" s="7">
        <v>2900</v>
      </c>
      <c r="E31" t="s">
        <v>3</v>
      </c>
    </row>
    <row r="32" spans="1:6">
      <c r="A32" t="s">
        <v>563</v>
      </c>
      <c r="B32" t="s">
        <v>563</v>
      </c>
      <c r="C32" s="18">
        <v>5.1999999999999998E-2</v>
      </c>
      <c r="D32" s="7">
        <v>2500</v>
      </c>
      <c r="E32" t="s">
        <v>3</v>
      </c>
    </row>
    <row r="33" spans="1:12">
      <c r="A33" t="s">
        <v>564</v>
      </c>
      <c r="B33" t="s">
        <v>564</v>
      </c>
      <c r="C33" s="18">
        <v>4.7E-2</v>
      </c>
      <c r="D33" s="7">
        <v>2250</v>
      </c>
      <c r="E33" t="s">
        <v>3</v>
      </c>
    </row>
    <row r="34" spans="1:12">
      <c r="A34" t="s">
        <v>571</v>
      </c>
      <c r="B34" t="s">
        <v>571</v>
      </c>
      <c r="C34" s="18">
        <v>3.6999999999999998E-2</v>
      </c>
      <c r="D34" s="7">
        <v>2100</v>
      </c>
      <c r="E34" t="s">
        <v>3</v>
      </c>
    </row>
    <row r="35" spans="1:12">
      <c r="A35" t="s">
        <v>572</v>
      </c>
      <c r="B35" t="s">
        <v>572</v>
      </c>
      <c r="C35" s="18">
        <v>3.5000000000000003E-2</v>
      </c>
      <c r="D35" s="7">
        <v>1660</v>
      </c>
      <c r="E35" t="s">
        <v>3</v>
      </c>
    </row>
    <row r="36" spans="1:12">
      <c r="A36" t="s">
        <v>573</v>
      </c>
      <c r="B36" t="s">
        <v>573</v>
      </c>
      <c r="C36" s="18">
        <v>3.4000000000000002E-2</v>
      </c>
      <c r="D36" s="7">
        <v>1720</v>
      </c>
      <c r="E36" t="s">
        <v>3</v>
      </c>
    </row>
    <row r="37" spans="1:12">
      <c r="A37" t="s">
        <v>574</v>
      </c>
      <c r="B37" t="s">
        <v>574</v>
      </c>
      <c r="C37" s="18">
        <v>3.1E-2</v>
      </c>
      <c r="D37" s="7">
        <v>1680</v>
      </c>
      <c r="E37" t="s">
        <v>3</v>
      </c>
    </row>
    <row r="38" spans="1:12">
      <c r="A38" t="s">
        <v>575</v>
      </c>
      <c r="B38" t="s">
        <v>575</v>
      </c>
      <c r="C38" s="18">
        <v>0.03</v>
      </c>
      <c r="D38" s="7">
        <v>1790</v>
      </c>
      <c r="E38" t="s">
        <v>3</v>
      </c>
    </row>
    <row r="39" spans="1:12">
      <c r="A39" t="s">
        <v>579</v>
      </c>
      <c r="B39" t="s">
        <v>579</v>
      </c>
      <c r="C39" s="18">
        <v>2.4E-2</v>
      </c>
      <c r="E39" t="s">
        <v>3</v>
      </c>
    </row>
    <row r="40" spans="1:12">
      <c r="A40" t="s">
        <v>581</v>
      </c>
      <c r="B40" t="s">
        <v>581</v>
      </c>
      <c r="C40" s="18">
        <v>2.3E-2</v>
      </c>
      <c r="E40" t="s">
        <v>3</v>
      </c>
    </row>
    <row r="41" spans="1:12">
      <c r="A41" t="s">
        <v>582</v>
      </c>
      <c r="B41" t="s">
        <v>582</v>
      </c>
      <c r="C41" s="18">
        <v>2.1000000000000001E-2</v>
      </c>
      <c r="E41" t="s">
        <v>3</v>
      </c>
    </row>
    <row r="42" spans="1:12">
      <c r="A42" t="s">
        <v>583</v>
      </c>
      <c r="B42" t="s">
        <v>583</v>
      </c>
      <c r="C42" s="18">
        <v>1.7999999999999999E-2</v>
      </c>
      <c r="E42" t="s">
        <v>3</v>
      </c>
    </row>
    <row r="43" spans="1:12">
      <c r="A43" t="s">
        <v>584</v>
      </c>
      <c r="B43" t="s">
        <v>584</v>
      </c>
      <c r="C43" s="18">
        <v>8.9999999999999993E-3</v>
      </c>
      <c r="D43" s="7">
        <v>940</v>
      </c>
      <c r="E43" t="s">
        <v>3</v>
      </c>
    </row>
    <row r="45" spans="1:12" ht="63.95" customHeight="1">
      <c r="A45" s="44" t="s">
        <v>594</v>
      </c>
      <c r="B45" s="44"/>
      <c r="C45" s="44"/>
      <c r="D45" s="44"/>
      <c r="E45" s="44"/>
      <c r="F45" s="44"/>
      <c r="G45" s="44"/>
      <c r="H45" s="44"/>
      <c r="I45" s="44"/>
      <c r="J45" s="44"/>
      <c r="K45" s="44"/>
      <c r="L45" s="44"/>
    </row>
  </sheetData>
  <mergeCells count="1">
    <mergeCell ref="A45:L4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40"/>
  <sheetViews>
    <sheetView workbookViewId="0"/>
  </sheetViews>
  <sheetFormatPr baseColWidth="10" defaultColWidth="9.140625" defaultRowHeight="15"/>
  <cols>
    <col min="1" max="1" width="60" customWidth="1"/>
    <col min="2" max="2" width="120" customWidth="1"/>
  </cols>
  <sheetData>
    <row r="1" spans="1:2" ht="21">
      <c r="A1" s="1" t="s">
        <v>595</v>
      </c>
    </row>
    <row r="3" spans="1:2">
      <c r="A3" s="11" t="s">
        <v>596</v>
      </c>
      <c r="B3" s="11" t="s">
        <v>597</v>
      </c>
    </row>
    <row r="4" spans="1:2" ht="30">
      <c r="A4" s="3" t="s">
        <v>598</v>
      </c>
      <c r="B4" s="4" t="s">
        <v>599</v>
      </c>
    </row>
    <row r="5" spans="1:2">
      <c r="A5" s="3" t="s">
        <v>600</v>
      </c>
      <c r="B5" s="4" t="s">
        <v>601</v>
      </c>
    </row>
    <row r="6" spans="1:2">
      <c r="A6" s="3" t="s">
        <v>602</v>
      </c>
      <c r="B6" s="4" t="s">
        <v>603</v>
      </c>
    </row>
    <row r="7" spans="1:2">
      <c r="A7" s="3" t="s">
        <v>604</v>
      </c>
      <c r="B7" s="4" t="s">
        <v>605</v>
      </c>
    </row>
    <row r="8" spans="1:2">
      <c r="A8" s="3" t="s">
        <v>606</v>
      </c>
      <c r="B8" s="4" t="s">
        <v>607</v>
      </c>
    </row>
    <row r="9" spans="1:2">
      <c r="A9" s="3" t="s">
        <v>608</v>
      </c>
      <c r="B9" s="4" t="s">
        <v>609</v>
      </c>
    </row>
    <row r="10" spans="1:2">
      <c r="A10" s="3" t="s">
        <v>610</v>
      </c>
      <c r="B10" s="4" t="s">
        <v>611</v>
      </c>
    </row>
    <row r="11" spans="1:2">
      <c r="A11" s="3" t="s">
        <v>612</v>
      </c>
      <c r="B11" s="4" t="s">
        <v>613</v>
      </c>
    </row>
    <row r="12" spans="1:2">
      <c r="A12" s="3" t="s">
        <v>223</v>
      </c>
      <c r="B12" s="4" t="s">
        <v>614</v>
      </c>
    </row>
    <row r="13" spans="1:2">
      <c r="A13" s="3" t="s">
        <v>615</v>
      </c>
      <c r="B13" s="4" t="s">
        <v>616</v>
      </c>
    </row>
    <row r="14" spans="1:2">
      <c r="A14" s="3" t="s">
        <v>617</v>
      </c>
      <c r="B14" s="4" t="s">
        <v>618</v>
      </c>
    </row>
    <row r="15" spans="1:2">
      <c r="A15" s="3" t="s">
        <v>619</v>
      </c>
      <c r="B15" s="4" t="s">
        <v>620</v>
      </c>
    </row>
    <row r="16" spans="1:2">
      <c r="A16" s="3" t="s">
        <v>621</v>
      </c>
      <c r="B16" s="4" t="s">
        <v>622</v>
      </c>
    </row>
    <row r="17" spans="1:2" ht="30">
      <c r="A17" s="3" t="s">
        <v>623</v>
      </c>
      <c r="B17" s="4" t="s">
        <v>624</v>
      </c>
    </row>
    <row r="18" spans="1:2" ht="30">
      <c r="A18" s="3" t="s">
        <v>625</v>
      </c>
      <c r="B18" s="4" t="s">
        <v>626</v>
      </c>
    </row>
    <row r="19" spans="1:2">
      <c r="A19" s="3" t="s">
        <v>627</v>
      </c>
      <c r="B19" s="4" t="s">
        <v>628</v>
      </c>
    </row>
    <row r="20" spans="1:2" ht="30">
      <c r="A20" s="3" t="s">
        <v>629</v>
      </c>
      <c r="B20" s="4" t="s">
        <v>630</v>
      </c>
    </row>
    <row r="21" spans="1:2">
      <c r="A21" s="3" t="s">
        <v>631</v>
      </c>
      <c r="B21" s="4" t="s">
        <v>632</v>
      </c>
    </row>
    <row r="23" spans="1:2">
      <c r="A23" s="11" t="s">
        <v>633</v>
      </c>
      <c r="B23" s="11" t="s">
        <v>3</v>
      </c>
    </row>
    <row r="24" spans="1:2">
      <c r="A24" t="s">
        <v>634</v>
      </c>
      <c r="B24" s="43" t="s">
        <v>635</v>
      </c>
    </row>
    <row r="25" spans="1:2">
      <c r="A25" t="s">
        <v>636</v>
      </c>
      <c r="B25" s="43" t="s">
        <v>637</v>
      </c>
    </row>
    <row r="26" spans="1:2">
      <c r="A26" t="s">
        <v>638</v>
      </c>
      <c r="B26" s="43" t="s">
        <v>639</v>
      </c>
    </row>
    <row r="27" spans="1:2">
      <c r="A27" t="s">
        <v>640</v>
      </c>
      <c r="B27" s="43" t="s">
        <v>641</v>
      </c>
    </row>
    <row r="28" spans="1:2">
      <c r="A28" t="s">
        <v>642</v>
      </c>
      <c r="B28" s="43" t="s">
        <v>643</v>
      </c>
    </row>
    <row r="29" spans="1:2">
      <c r="A29" t="s">
        <v>644</v>
      </c>
      <c r="B29" s="43" t="s">
        <v>645</v>
      </c>
    </row>
    <row r="30" spans="1:2">
      <c r="A30" t="s">
        <v>646</v>
      </c>
      <c r="B30" s="43" t="s">
        <v>647</v>
      </c>
    </row>
    <row r="31" spans="1:2">
      <c r="A31" t="s">
        <v>648</v>
      </c>
      <c r="B31" s="43" t="s">
        <v>649</v>
      </c>
    </row>
    <row r="32" spans="1:2">
      <c r="A32" t="s">
        <v>650</v>
      </c>
      <c r="B32" s="43" t="s">
        <v>651</v>
      </c>
    </row>
    <row r="33" spans="1:2">
      <c r="A33" t="s">
        <v>652</v>
      </c>
      <c r="B33" s="43" t="s">
        <v>653</v>
      </c>
    </row>
    <row r="34" spans="1:2">
      <c r="A34" t="s">
        <v>654</v>
      </c>
      <c r="B34" s="43" t="s">
        <v>655</v>
      </c>
    </row>
    <row r="35" spans="1:2">
      <c r="A35" t="s">
        <v>656</v>
      </c>
      <c r="B35" s="43" t="s">
        <v>657</v>
      </c>
    </row>
    <row r="36" spans="1:2">
      <c r="A36" t="s">
        <v>658</v>
      </c>
      <c r="B36" s="43" t="s">
        <v>659</v>
      </c>
    </row>
    <row r="37" spans="1:2">
      <c r="A37" t="s">
        <v>660</v>
      </c>
      <c r="B37" s="43" t="s">
        <v>661</v>
      </c>
    </row>
    <row r="38" spans="1:2">
      <c r="A38" t="s">
        <v>662</v>
      </c>
      <c r="B38" s="43" t="s">
        <v>663</v>
      </c>
    </row>
    <row r="39" spans="1:2">
      <c r="A39" t="s">
        <v>664</v>
      </c>
      <c r="B39" s="43" t="s">
        <v>665</v>
      </c>
    </row>
    <row r="40" spans="1:2">
      <c r="A40" t="s">
        <v>666</v>
      </c>
      <c r="B40" s="43" t="s">
        <v>667</v>
      </c>
    </row>
  </sheetData>
  <hyperlinks>
    <hyperlink ref="B24" r:id="rId1" xr:uid="{00000000-0004-0000-0D00-000000000000}"/>
    <hyperlink ref="B25" r:id="rId2" xr:uid="{00000000-0004-0000-0D00-000001000000}"/>
    <hyperlink ref="B26" r:id="rId3" xr:uid="{00000000-0004-0000-0D00-000002000000}"/>
    <hyperlink ref="B27" r:id="rId4" xr:uid="{00000000-0004-0000-0D00-000003000000}"/>
    <hyperlink ref="B28" r:id="rId5" xr:uid="{00000000-0004-0000-0D00-000004000000}"/>
    <hyperlink ref="B29" r:id="rId6" xr:uid="{00000000-0004-0000-0D00-000005000000}"/>
    <hyperlink ref="B30" r:id="rId7" xr:uid="{00000000-0004-0000-0D00-000006000000}"/>
    <hyperlink ref="B31" r:id="rId8" xr:uid="{00000000-0004-0000-0D00-000007000000}"/>
    <hyperlink ref="B32" r:id="rId9" xr:uid="{00000000-0004-0000-0D00-000008000000}"/>
    <hyperlink ref="B33" r:id="rId10" xr:uid="{00000000-0004-0000-0D00-000009000000}"/>
    <hyperlink ref="B34" r:id="rId11" xr:uid="{00000000-0004-0000-0D00-00000A000000}"/>
    <hyperlink ref="B35" r:id="rId12" xr:uid="{00000000-0004-0000-0D00-00000B000000}"/>
    <hyperlink ref="B36" r:id="rId13" xr:uid="{00000000-0004-0000-0D00-00000C000000}"/>
    <hyperlink ref="B37" r:id="rId14" xr:uid="{00000000-0004-0000-0D00-00000D000000}"/>
    <hyperlink ref="B38" r:id="rId15" xr:uid="{00000000-0004-0000-0D00-00000E000000}"/>
    <hyperlink ref="B39" r:id="rId16" xr:uid="{00000000-0004-0000-0D00-00000F000000}"/>
    <hyperlink ref="B40" r:id="rId17" xr:uid="{00000000-0004-0000-0D00-00001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75</vt:i4>
      </vt:variant>
    </vt:vector>
  </HeadingPairs>
  <TitlesOfParts>
    <vt:vector size="89" baseType="lpstr">
      <vt:lpstr>Inicio</vt:lpstr>
      <vt:lpstr>Calendario</vt:lpstr>
      <vt:lpstr>Parametros</vt:lpstr>
      <vt:lpstr>Demanda</vt:lpstr>
      <vt:lpstr>Cargas</vt:lpstr>
      <vt:lpstr>Proyeccion</vt:lpstr>
      <vt:lpstr>QueCargar</vt:lpstr>
      <vt:lpstr>Semaforo</vt:lpstr>
      <vt:lpstr>Escenarios</vt:lpstr>
      <vt:lpstr>Capacidad</vt:lpstr>
      <vt:lpstr>KPIs</vt:lpstr>
      <vt:lpstr>Proveedores</vt:lpstr>
      <vt:lpstr>MercadoPY</vt:lpstr>
      <vt:lpstr>Glosario</vt:lpstr>
      <vt:lpstr>AtrasoDias</vt:lpstr>
      <vt:lpstr>CajasBO</vt:lpstr>
      <vt:lpstr>CajasBR</vt:lpstr>
      <vt:lpstr>CajasOrigen</vt:lpstr>
      <vt:lpstr>CajasProm</vt:lpstr>
      <vt:lpstr>CajasPY</vt:lpstr>
      <vt:lpstr>CapFisica</vt:lpstr>
      <vt:lpstr>CapMadurar</vt:lpstr>
      <vt:lpstr>CepeaKg</vt:lpstr>
      <vt:lpstr>CgCajas</vt:lpstr>
      <vt:lpstr>CgCarga</vt:lpstr>
      <vt:lpstr>CgCosto</vt:lpstr>
      <vt:lpstr>CgCuenta</vt:lpstr>
      <vt:lpstr>CgEstado</vt:lpstr>
      <vt:lpstr>CgOrigen</vt:lpstr>
      <vt:lpstr>CgOTIF</vt:lpstr>
      <vt:lpstr>CgPipeline</vt:lpstr>
      <vt:lpstr>CgProductor</vt:lpstr>
      <vt:lpstr>CgSemana</vt:lpstr>
      <vt:lpstr>CgSemanaP90</vt:lpstr>
      <vt:lpstr>CoberturaObjetivo</vt:lpstr>
      <vt:lpstr>ConteoBO</vt:lpstr>
      <vt:lpstr>ConteoBR</vt:lpstr>
      <vt:lpstr>ConteoPY</vt:lpstr>
      <vt:lpstr>ConteoTotal</vt:lpstr>
      <vt:lpstr>CostoBO</vt:lpstr>
      <vt:lpstr>CostoBR</vt:lpstr>
      <vt:lpstr>CostoOrigen</vt:lpstr>
      <vt:lpstr>CostoPY</vt:lpstr>
      <vt:lpstr>DemSemana</vt:lpstr>
      <vt:lpstr>DemVenta</vt:lpstr>
      <vt:lpstr>DiasMadurar</vt:lpstr>
      <vt:lpstr>DiasVenta</vt:lpstr>
      <vt:lpstr>EstacTabla</vt:lpstr>
      <vt:lpstr>FactorEscenario</vt:lpstr>
      <vt:lpstr>FechaConteo</vt:lpstr>
      <vt:lpstr>FechaHoy</vt:lpstr>
      <vt:lpstr>HistSemana</vt:lpstr>
      <vt:lpstr>HistTotal</vt:lpstr>
      <vt:lpstr>KgCaja</vt:lpstr>
      <vt:lpstr>LagBO</vt:lpstr>
      <vt:lpstr>LagBR</vt:lpstr>
      <vt:lpstr>LagPY</vt:lpstr>
      <vt:lpstr>Lags</vt:lpstr>
      <vt:lpstr>LagsP90</vt:lpstr>
      <vt:lpstr>MinimoSabado</vt:lpstr>
      <vt:lpstr>MinSugerido</vt:lpstr>
      <vt:lpstr>Origenes</vt:lpstr>
      <vt:lpstr>PrACargar</vt:lpstr>
      <vt:lpstr>PrBO</vt:lpstr>
      <vt:lpstr>PrBOd</vt:lpstr>
      <vt:lpstr>PrBR</vt:lpstr>
      <vt:lpstr>PrBRd</vt:lpstr>
      <vt:lpstr>PrCamiones</vt:lpstr>
      <vt:lpstr>PrCobertura</vt:lpstr>
      <vt:lpstr>PrecioBR_BRL</vt:lpstr>
      <vt:lpstr>PrEstado</vt:lpstr>
      <vt:lpstr>PrLimite</vt:lpstr>
      <vt:lpstr>PrProy</vt:lpstr>
      <vt:lpstr>PrPY</vt:lpstr>
      <vt:lpstr>PrPYd</vt:lpstr>
      <vt:lpstr>PrSab</vt:lpstr>
      <vt:lpstr>PrSemana</vt:lpstr>
      <vt:lpstr>PrStock</vt:lpstr>
      <vt:lpstr>PrVenta</vt:lpstr>
      <vt:lpstr>PYG_Caja</vt:lpstr>
      <vt:lpstr>ServiciosCaja</vt:lpstr>
      <vt:lpstr>SigmaVenta</vt:lpstr>
      <vt:lpstr>SSsugerido</vt:lpstr>
      <vt:lpstr>SupBR</vt:lpstr>
      <vt:lpstr>SupPY</vt:lpstr>
      <vt:lpstr>TC_BRL</vt:lpstr>
      <vt:lpstr>TC_PYG</vt:lpstr>
      <vt:lpstr>VidaVerde</vt:lpstr>
      <vt:lpstr>Zserv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Gonzalo Pepe ALMAR S.R.L .</cp:lastModifiedBy>
  <dcterms:modified xsi:type="dcterms:W3CDTF">2026-09-29T14:36:54Z</dcterms:modified>
</cp:coreProperties>
</file>