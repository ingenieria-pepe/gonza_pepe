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E0102A0E-9300-4D41-A032-F8B9C2C29FAA}"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I17" i="12"/>
  <c r="K17" i="12" s="1"/>
  <c r="I16" i="12"/>
  <c r="K16" i="12" s="1"/>
  <c r="A16" i="12"/>
  <c r="I15" i="12"/>
  <c r="K15" i="12" s="1"/>
  <c r="K14" i="12"/>
  <c r="J14" i="12"/>
  <c r="I14" i="12"/>
  <c r="I13" i="12"/>
  <c r="K13" i="12" s="1"/>
  <c r="I12" i="12"/>
  <c r="K12" i="12" s="1"/>
  <c r="I11" i="12"/>
  <c r="I10" i="12"/>
  <c r="J10" i="12" s="1"/>
  <c r="I9" i="12"/>
  <c r="K9" i="12" s="1"/>
  <c r="I8" i="12"/>
  <c r="K8" i="12" s="1"/>
  <c r="I7" i="12"/>
  <c r="K7" i="12" s="1"/>
  <c r="K6" i="12"/>
  <c r="I6" i="12"/>
  <c r="J6" i="12" s="1"/>
  <c r="A18" i="5"/>
  <c r="A17" i="5"/>
  <c r="A17" i="7" s="1"/>
  <c r="A16" i="5"/>
  <c r="A16" i="7" s="1"/>
  <c r="A15" i="5"/>
  <c r="B14" i="5"/>
  <c r="B14" i="12" s="1"/>
  <c r="A14" i="5"/>
  <c r="A13" i="5"/>
  <c r="B13" i="5" s="1"/>
  <c r="J13" i="5" s="1"/>
  <c r="A12" i="5"/>
  <c r="B11" i="5"/>
  <c r="J11" i="5" s="1"/>
  <c r="A11" i="5"/>
  <c r="A11" i="7" s="1"/>
  <c r="A10" i="5"/>
  <c r="A9" i="5"/>
  <c r="A9" i="12" s="1"/>
  <c r="A8" i="5"/>
  <c r="B8" i="5" s="1"/>
  <c r="A7" i="5"/>
  <c r="J6" i="5"/>
  <c r="H6" i="5"/>
  <c r="B6" i="5"/>
  <c r="A6" i="5"/>
  <c r="U300" i="4"/>
  <c r="T300" i="4"/>
  <c r="S300" i="4"/>
  <c r="R300" i="4"/>
  <c r="O300" i="4"/>
  <c r="N300" i="4"/>
  <c r="L300" i="4"/>
  <c r="M300" i="4" s="1"/>
  <c r="K300" i="4"/>
  <c r="H300" i="4"/>
  <c r="P300" i="4" s="1"/>
  <c r="C300" i="4"/>
  <c r="A300" i="4"/>
  <c r="U299" i="4"/>
  <c r="T299" i="4"/>
  <c r="R299" i="4"/>
  <c r="S299" i="4" s="1"/>
  <c r="O299" i="4"/>
  <c r="L299" i="4"/>
  <c r="N299" i="4" s="1"/>
  <c r="K299" i="4"/>
  <c r="H299" i="4"/>
  <c r="P299" i="4" s="1"/>
  <c r="C299" i="4"/>
  <c r="A299" i="4"/>
  <c r="U298" i="4"/>
  <c r="T298" i="4"/>
  <c r="R298" i="4"/>
  <c r="S298" i="4" s="1"/>
  <c r="O298" i="4"/>
  <c r="L298" i="4"/>
  <c r="N298" i="4" s="1"/>
  <c r="K298" i="4"/>
  <c r="H298" i="4"/>
  <c r="P298" i="4" s="1"/>
  <c r="C298" i="4"/>
  <c r="A298" i="4"/>
  <c r="U297" i="4"/>
  <c r="T297" i="4"/>
  <c r="R297" i="4"/>
  <c r="S297" i="4" s="1"/>
  <c r="P297" i="4"/>
  <c r="O297" i="4"/>
  <c r="N297" i="4"/>
  <c r="M297" i="4"/>
  <c r="L297" i="4"/>
  <c r="K297" i="4"/>
  <c r="H297" i="4"/>
  <c r="C297" i="4"/>
  <c r="A297" i="4"/>
  <c r="U296" i="4"/>
  <c r="T296" i="4"/>
  <c r="S296" i="4"/>
  <c r="R296" i="4"/>
  <c r="O296" i="4"/>
  <c r="L296" i="4"/>
  <c r="N296" i="4" s="1"/>
  <c r="K296" i="4"/>
  <c r="H296" i="4"/>
  <c r="P296" i="4" s="1"/>
  <c r="C296" i="4"/>
  <c r="A296" i="4"/>
  <c r="U295" i="4"/>
  <c r="T295" i="4"/>
  <c r="R295" i="4"/>
  <c r="S295" i="4" s="1"/>
  <c r="O295" i="4"/>
  <c r="L295" i="4"/>
  <c r="N295" i="4" s="1"/>
  <c r="K295" i="4"/>
  <c r="H295" i="4"/>
  <c r="P295" i="4" s="1"/>
  <c r="C295" i="4"/>
  <c r="A295" i="4"/>
  <c r="U294" i="4"/>
  <c r="T294" i="4"/>
  <c r="R294" i="4"/>
  <c r="S294" i="4" s="1"/>
  <c r="P294" i="4"/>
  <c r="O294" i="4"/>
  <c r="L294" i="4"/>
  <c r="K294" i="4"/>
  <c r="H294" i="4"/>
  <c r="C294" i="4"/>
  <c r="A294" i="4"/>
  <c r="U293" i="4"/>
  <c r="T293" i="4"/>
  <c r="R293" i="4"/>
  <c r="S293" i="4" s="1"/>
  <c r="O293" i="4"/>
  <c r="M293" i="4"/>
  <c r="L293" i="4"/>
  <c r="N293" i="4" s="1"/>
  <c r="K293" i="4"/>
  <c r="H293" i="4"/>
  <c r="P293" i="4" s="1"/>
  <c r="C293" i="4"/>
  <c r="A293" i="4"/>
  <c r="U292" i="4"/>
  <c r="T292" i="4"/>
  <c r="S292" i="4"/>
  <c r="R292" i="4"/>
  <c r="O292" i="4"/>
  <c r="L292" i="4"/>
  <c r="M292" i="4" s="1"/>
  <c r="K292" i="4"/>
  <c r="H292" i="4"/>
  <c r="P292" i="4" s="1"/>
  <c r="C292" i="4"/>
  <c r="A292" i="4"/>
  <c r="U291" i="4"/>
  <c r="T291" i="4"/>
  <c r="R291" i="4"/>
  <c r="S291" i="4" s="1"/>
  <c r="P291" i="4"/>
  <c r="O291" i="4"/>
  <c r="L291" i="4"/>
  <c r="N291" i="4" s="1"/>
  <c r="K291" i="4"/>
  <c r="H291" i="4"/>
  <c r="C291" i="4"/>
  <c r="A291" i="4"/>
  <c r="U290" i="4"/>
  <c r="T290" i="4"/>
  <c r="R290" i="4"/>
  <c r="S290" i="4" s="1"/>
  <c r="O290" i="4"/>
  <c r="L290" i="4"/>
  <c r="N290" i="4" s="1"/>
  <c r="K290" i="4"/>
  <c r="H290" i="4"/>
  <c r="P290" i="4" s="1"/>
  <c r="C290" i="4"/>
  <c r="A290" i="4"/>
  <c r="U289" i="4"/>
  <c r="T289" i="4"/>
  <c r="R289" i="4"/>
  <c r="S289" i="4" s="1"/>
  <c r="O289" i="4"/>
  <c r="L289" i="4"/>
  <c r="N289" i="4" s="1"/>
  <c r="K289" i="4"/>
  <c r="H289" i="4"/>
  <c r="P289" i="4" s="1"/>
  <c r="C289" i="4"/>
  <c r="A289" i="4"/>
  <c r="U288" i="4"/>
  <c r="T288" i="4"/>
  <c r="R288" i="4"/>
  <c r="S288" i="4" s="1"/>
  <c r="O288" i="4"/>
  <c r="N288" i="4"/>
  <c r="M288" i="4"/>
  <c r="L288" i="4"/>
  <c r="K288" i="4"/>
  <c r="H288" i="4"/>
  <c r="P288" i="4" s="1"/>
  <c r="C288" i="4"/>
  <c r="A288" i="4"/>
  <c r="U287" i="4"/>
  <c r="T287" i="4"/>
  <c r="S287" i="4"/>
  <c r="R287" i="4"/>
  <c r="O287" i="4"/>
  <c r="L287" i="4"/>
  <c r="N287" i="4" s="1"/>
  <c r="K287" i="4"/>
  <c r="H287" i="4"/>
  <c r="P287" i="4" s="1"/>
  <c r="C287" i="4"/>
  <c r="A287" i="4"/>
  <c r="U286" i="4"/>
  <c r="T286" i="4"/>
  <c r="R286" i="4"/>
  <c r="S286" i="4" s="1"/>
  <c r="P286" i="4"/>
  <c r="O286" i="4"/>
  <c r="L286" i="4"/>
  <c r="K286" i="4"/>
  <c r="H286" i="4"/>
  <c r="C286" i="4"/>
  <c r="A286" i="4"/>
  <c r="U285" i="4"/>
  <c r="T285" i="4"/>
  <c r="R285" i="4"/>
  <c r="S285" i="4" s="1"/>
  <c r="O285" i="4"/>
  <c r="M285" i="4"/>
  <c r="L285" i="4"/>
  <c r="N285" i="4" s="1"/>
  <c r="K285" i="4"/>
  <c r="H285" i="4"/>
  <c r="P285" i="4" s="1"/>
  <c r="C285" i="4"/>
  <c r="A285" i="4"/>
  <c r="U284" i="4"/>
  <c r="T284" i="4"/>
  <c r="S284" i="4"/>
  <c r="R284" i="4"/>
  <c r="O284" i="4"/>
  <c r="N284" i="4"/>
  <c r="L284" i="4"/>
  <c r="M284" i="4" s="1"/>
  <c r="K284" i="4"/>
  <c r="H284" i="4"/>
  <c r="P284" i="4" s="1"/>
  <c r="C284" i="4"/>
  <c r="A284" i="4"/>
  <c r="U283" i="4"/>
  <c r="T283" i="4"/>
  <c r="R283" i="4"/>
  <c r="S283" i="4" s="1"/>
  <c r="O283" i="4"/>
  <c r="L283" i="4"/>
  <c r="M283" i="4" s="1"/>
  <c r="K283" i="4"/>
  <c r="H283" i="4"/>
  <c r="P283" i="4" s="1"/>
  <c r="C283" i="4"/>
  <c r="A283" i="4"/>
  <c r="U282" i="4"/>
  <c r="T282" i="4"/>
  <c r="R282" i="4"/>
  <c r="S282" i="4" s="1"/>
  <c r="P282" i="4"/>
  <c r="O282" i="4"/>
  <c r="L282" i="4"/>
  <c r="N282" i="4" s="1"/>
  <c r="K282" i="4"/>
  <c r="H282" i="4"/>
  <c r="C282" i="4"/>
  <c r="A282" i="4"/>
  <c r="U281" i="4"/>
  <c r="T281" i="4"/>
  <c r="R281" i="4"/>
  <c r="S281" i="4" s="1"/>
  <c r="O281" i="4"/>
  <c r="L281" i="4"/>
  <c r="N281" i="4" s="1"/>
  <c r="K281" i="4"/>
  <c r="H281" i="4"/>
  <c r="P281" i="4" s="1"/>
  <c r="C281" i="4"/>
  <c r="A281" i="4"/>
  <c r="U280" i="4"/>
  <c r="T280" i="4"/>
  <c r="R280" i="4"/>
  <c r="S280" i="4" s="1"/>
  <c r="O280" i="4"/>
  <c r="N280" i="4"/>
  <c r="M280" i="4"/>
  <c r="L280" i="4"/>
  <c r="K280" i="4"/>
  <c r="H280" i="4"/>
  <c r="P280" i="4" s="1"/>
  <c r="C280" i="4"/>
  <c r="A280" i="4"/>
  <c r="U279" i="4"/>
  <c r="T279" i="4"/>
  <c r="S279" i="4"/>
  <c r="R279" i="4"/>
  <c r="O279" i="4"/>
  <c r="L279" i="4"/>
  <c r="N279" i="4" s="1"/>
  <c r="K279" i="4"/>
  <c r="H279" i="4"/>
  <c r="P279" i="4" s="1"/>
  <c r="C279" i="4"/>
  <c r="A279" i="4"/>
  <c r="U278" i="4"/>
  <c r="T278" i="4"/>
  <c r="R278" i="4"/>
  <c r="S278" i="4" s="1"/>
  <c r="O278" i="4"/>
  <c r="L278" i="4"/>
  <c r="K278" i="4"/>
  <c r="H278" i="4"/>
  <c r="P278" i="4" s="1"/>
  <c r="C278" i="4"/>
  <c r="A278" i="4"/>
  <c r="U277" i="4"/>
  <c r="T277" i="4"/>
  <c r="R277" i="4"/>
  <c r="S277" i="4" s="1"/>
  <c r="O277" i="4"/>
  <c r="L277" i="4"/>
  <c r="N277" i="4" s="1"/>
  <c r="K277" i="4"/>
  <c r="H277" i="4"/>
  <c r="P277" i="4" s="1"/>
  <c r="C277" i="4"/>
  <c r="A277" i="4"/>
  <c r="U276" i="4"/>
  <c r="T276" i="4"/>
  <c r="R276" i="4"/>
  <c r="S276" i="4" s="1"/>
  <c r="O276" i="4"/>
  <c r="N276" i="4"/>
  <c r="L276" i="4"/>
  <c r="M276" i="4" s="1"/>
  <c r="K276" i="4"/>
  <c r="H276" i="4"/>
  <c r="P276" i="4" s="1"/>
  <c r="C276" i="4"/>
  <c r="A276" i="4"/>
  <c r="U275" i="4"/>
  <c r="T275" i="4"/>
  <c r="R275" i="4"/>
  <c r="S275" i="4" s="1"/>
  <c r="O275" i="4"/>
  <c r="L275" i="4"/>
  <c r="M275" i="4" s="1"/>
  <c r="K275" i="4"/>
  <c r="H275" i="4"/>
  <c r="P275" i="4" s="1"/>
  <c r="C275" i="4"/>
  <c r="A275" i="4"/>
  <c r="U274" i="4"/>
  <c r="T274" i="4"/>
  <c r="R274" i="4"/>
  <c r="S274" i="4" s="1"/>
  <c r="P274" i="4"/>
  <c r="O274" i="4"/>
  <c r="L274" i="4"/>
  <c r="N274" i="4" s="1"/>
  <c r="K274" i="4"/>
  <c r="H274" i="4"/>
  <c r="C274" i="4"/>
  <c r="A274" i="4"/>
  <c r="U273" i="4"/>
  <c r="T273" i="4"/>
  <c r="R273" i="4"/>
  <c r="S273" i="4" s="1"/>
  <c r="P273" i="4"/>
  <c r="O273" i="4"/>
  <c r="N273" i="4"/>
  <c r="M273" i="4"/>
  <c r="L273" i="4"/>
  <c r="K273" i="4"/>
  <c r="H273" i="4"/>
  <c r="C273" i="4"/>
  <c r="A273" i="4"/>
  <c r="U272" i="4"/>
  <c r="T272" i="4"/>
  <c r="S272" i="4"/>
  <c r="R272" i="4"/>
  <c r="O272" i="4"/>
  <c r="L272" i="4"/>
  <c r="N272" i="4" s="1"/>
  <c r="K272" i="4"/>
  <c r="H272" i="4"/>
  <c r="P272" i="4" s="1"/>
  <c r="C272" i="4"/>
  <c r="A272" i="4"/>
  <c r="U271" i="4"/>
  <c r="T271" i="4"/>
  <c r="R271" i="4"/>
  <c r="S271" i="4" s="1"/>
  <c r="O271" i="4"/>
  <c r="L271" i="4"/>
  <c r="N271" i="4" s="1"/>
  <c r="K271" i="4"/>
  <c r="H271" i="4"/>
  <c r="P271" i="4" s="1"/>
  <c r="C271" i="4"/>
  <c r="A271" i="4"/>
  <c r="U270" i="4"/>
  <c r="T270" i="4"/>
  <c r="R270" i="4"/>
  <c r="S270" i="4" s="1"/>
  <c r="O270" i="4"/>
  <c r="L270" i="4"/>
  <c r="K270" i="4"/>
  <c r="H270" i="4"/>
  <c r="P270" i="4" s="1"/>
  <c r="C270" i="4"/>
  <c r="A270" i="4"/>
  <c r="U269" i="4"/>
  <c r="T269" i="4"/>
  <c r="R269" i="4"/>
  <c r="S269" i="4" s="1"/>
  <c r="O269" i="4"/>
  <c r="L269" i="4"/>
  <c r="N269" i="4" s="1"/>
  <c r="K269" i="4"/>
  <c r="H269" i="4"/>
  <c r="P269" i="4" s="1"/>
  <c r="C269" i="4"/>
  <c r="A269" i="4"/>
  <c r="U268" i="4"/>
  <c r="T268" i="4"/>
  <c r="R268" i="4"/>
  <c r="S268" i="4" s="1"/>
  <c r="O268" i="4"/>
  <c r="L268" i="4"/>
  <c r="K268" i="4"/>
  <c r="H268" i="4"/>
  <c r="P268" i="4" s="1"/>
  <c r="C268" i="4"/>
  <c r="A268" i="4"/>
  <c r="U267" i="4"/>
  <c r="T267" i="4"/>
  <c r="R267" i="4"/>
  <c r="S267" i="4" s="1"/>
  <c r="P267" i="4"/>
  <c r="O267" i="4"/>
  <c r="N267" i="4"/>
  <c r="L267" i="4"/>
  <c r="M267" i="4" s="1"/>
  <c r="K267" i="4"/>
  <c r="H267" i="4"/>
  <c r="C267" i="4"/>
  <c r="A267" i="4"/>
  <c r="U266" i="4"/>
  <c r="T266" i="4"/>
  <c r="R266" i="4"/>
  <c r="S266" i="4" s="1"/>
  <c r="O266" i="4"/>
  <c r="L266" i="4"/>
  <c r="N266" i="4" s="1"/>
  <c r="K266" i="4"/>
  <c r="H266" i="4"/>
  <c r="P266" i="4" s="1"/>
  <c r="C266" i="4"/>
  <c r="A266" i="4"/>
  <c r="U265" i="4"/>
  <c r="T265" i="4"/>
  <c r="R265" i="4"/>
  <c r="S265" i="4" s="1"/>
  <c r="P265" i="4"/>
  <c r="O265" i="4"/>
  <c r="N265" i="4"/>
  <c r="M265" i="4"/>
  <c r="L265" i="4"/>
  <c r="K265" i="4"/>
  <c r="H265" i="4"/>
  <c r="C265" i="4"/>
  <c r="A265" i="4"/>
  <c r="U264" i="4"/>
  <c r="T264" i="4"/>
  <c r="S264" i="4"/>
  <c r="R264" i="4"/>
  <c r="O264" i="4"/>
  <c r="L264" i="4"/>
  <c r="N264" i="4" s="1"/>
  <c r="K264" i="4"/>
  <c r="H264" i="4"/>
  <c r="P264" i="4" s="1"/>
  <c r="C264" i="4"/>
  <c r="A264" i="4"/>
  <c r="U263" i="4"/>
  <c r="T263" i="4"/>
  <c r="R263" i="4"/>
  <c r="S263" i="4" s="1"/>
  <c r="O263" i="4"/>
  <c r="L263" i="4"/>
  <c r="N263" i="4" s="1"/>
  <c r="K263" i="4"/>
  <c r="H263" i="4"/>
  <c r="P263" i="4" s="1"/>
  <c r="C263" i="4"/>
  <c r="A263" i="4"/>
  <c r="U262" i="4"/>
  <c r="T262" i="4"/>
  <c r="R262" i="4"/>
  <c r="S262" i="4" s="1"/>
  <c r="P262" i="4"/>
  <c r="O262" i="4"/>
  <c r="L262" i="4"/>
  <c r="K262" i="4"/>
  <c r="H262" i="4"/>
  <c r="C262" i="4"/>
  <c r="A262" i="4"/>
  <c r="U261" i="4"/>
  <c r="T261" i="4"/>
  <c r="R261" i="4"/>
  <c r="S261" i="4" s="1"/>
  <c r="O261" i="4"/>
  <c r="M261" i="4"/>
  <c r="L261" i="4"/>
  <c r="N261" i="4" s="1"/>
  <c r="K261" i="4"/>
  <c r="H261" i="4"/>
  <c r="P261" i="4" s="1"/>
  <c r="C261" i="4"/>
  <c r="A261" i="4"/>
  <c r="U260" i="4"/>
  <c r="T260" i="4"/>
  <c r="S260" i="4"/>
  <c r="R260" i="4"/>
  <c r="O260" i="4"/>
  <c r="L260" i="4"/>
  <c r="N260" i="4" s="1"/>
  <c r="K260" i="4"/>
  <c r="H260" i="4"/>
  <c r="P260" i="4" s="1"/>
  <c r="C260" i="4"/>
  <c r="A260" i="4"/>
  <c r="U259" i="4"/>
  <c r="T259" i="4"/>
  <c r="R259" i="4"/>
  <c r="S259" i="4" s="1"/>
  <c r="P259" i="4"/>
  <c r="O259" i="4"/>
  <c r="N259" i="4"/>
  <c r="L259" i="4"/>
  <c r="M259" i="4" s="1"/>
  <c r="K259" i="4"/>
  <c r="H259" i="4"/>
  <c r="C259" i="4"/>
  <c r="A259" i="4"/>
  <c r="U258" i="4"/>
  <c r="T258" i="4"/>
  <c r="R258" i="4"/>
  <c r="S258" i="4" s="1"/>
  <c r="O258" i="4"/>
  <c r="L258" i="4"/>
  <c r="N258" i="4" s="1"/>
  <c r="K258" i="4"/>
  <c r="H258" i="4"/>
  <c r="P258" i="4" s="1"/>
  <c r="C258" i="4"/>
  <c r="A258" i="4"/>
  <c r="U257" i="4"/>
  <c r="T257" i="4"/>
  <c r="R257" i="4"/>
  <c r="S257" i="4" s="1"/>
  <c r="P257" i="4"/>
  <c r="O257" i="4"/>
  <c r="N257" i="4"/>
  <c r="M257" i="4"/>
  <c r="L257" i="4"/>
  <c r="K257" i="4"/>
  <c r="H257" i="4"/>
  <c r="C257" i="4"/>
  <c r="A257" i="4"/>
  <c r="U256" i="4"/>
  <c r="T256" i="4"/>
  <c r="S256" i="4"/>
  <c r="R256" i="4"/>
  <c r="O256" i="4"/>
  <c r="L256" i="4"/>
  <c r="N256" i="4" s="1"/>
  <c r="K256" i="4"/>
  <c r="H256" i="4"/>
  <c r="P256" i="4" s="1"/>
  <c r="C256" i="4"/>
  <c r="A256" i="4"/>
  <c r="U255" i="4"/>
  <c r="T255" i="4"/>
  <c r="R255" i="4"/>
  <c r="S255" i="4" s="1"/>
  <c r="O255" i="4"/>
  <c r="L255" i="4"/>
  <c r="N255" i="4" s="1"/>
  <c r="K255" i="4"/>
  <c r="H255" i="4"/>
  <c r="P255" i="4" s="1"/>
  <c r="C255" i="4"/>
  <c r="A255" i="4"/>
  <c r="U254" i="4"/>
  <c r="T254" i="4"/>
  <c r="R254" i="4"/>
  <c r="S254" i="4" s="1"/>
  <c r="P254" i="4"/>
  <c r="O254" i="4"/>
  <c r="L254" i="4"/>
  <c r="K254" i="4"/>
  <c r="H254" i="4"/>
  <c r="C254" i="4"/>
  <c r="A254" i="4"/>
  <c r="U253" i="4"/>
  <c r="T253" i="4"/>
  <c r="R253" i="4"/>
  <c r="S253" i="4" s="1"/>
  <c r="O253" i="4"/>
  <c r="M253" i="4"/>
  <c r="L253" i="4"/>
  <c r="N253" i="4" s="1"/>
  <c r="K253" i="4"/>
  <c r="H253" i="4"/>
  <c r="P253" i="4" s="1"/>
  <c r="C253" i="4"/>
  <c r="A253" i="4"/>
  <c r="U252" i="4"/>
  <c r="T252" i="4"/>
  <c r="S252" i="4"/>
  <c r="R252" i="4"/>
  <c r="O252" i="4"/>
  <c r="L252" i="4"/>
  <c r="N252" i="4" s="1"/>
  <c r="K252" i="4"/>
  <c r="H252" i="4"/>
  <c r="P252" i="4" s="1"/>
  <c r="C252" i="4"/>
  <c r="A252" i="4"/>
  <c r="U251" i="4"/>
  <c r="T251" i="4"/>
  <c r="R251" i="4"/>
  <c r="S251" i="4" s="1"/>
  <c r="P251" i="4"/>
  <c r="O251" i="4"/>
  <c r="N251" i="4"/>
  <c r="L251" i="4"/>
  <c r="M251" i="4" s="1"/>
  <c r="K251" i="4"/>
  <c r="H251" i="4"/>
  <c r="C251" i="4"/>
  <c r="A251" i="4"/>
  <c r="U250" i="4"/>
  <c r="T250" i="4"/>
  <c r="R250" i="4"/>
  <c r="S250" i="4" s="1"/>
  <c r="O250" i="4"/>
  <c r="L250" i="4"/>
  <c r="N250" i="4" s="1"/>
  <c r="K250" i="4"/>
  <c r="H250" i="4"/>
  <c r="P250" i="4" s="1"/>
  <c r="C250" i="4"/>
  <c r="A250" i="4"/>
  <c r="U249" i="4"/>
  <c r="T249" i="4"/>
  <c r="R249" i="4"/>
  <c r="S249" i="4" s="1"/>
  <c r="P249" i="4"/>
  <c r="O249" i="4"/>
  <c r="N249" i="4"/>
  <c r="M249" i="4"/>
  <c r="L249" i="4"/>
  <c r="K249" i="4"/>
  <c r="H249" i="4"/>
  <c r="C249" i="4"/>
  <c r="A249" i="4"/>
  <c r="U248" i="4"/>
  <c r="T248" i="4"/>
  <c r="S248" i="4"/>
  <c r="R248" i="4"/>
  <c r="O248" i="4"/>
  <c r="L248" i="4"/>
  <c r="N248" i="4" s="1"/>
  <c r="K248" i="4"/>
  <c r="H248" i="4"/>
  <c r="P248" i="4" s="1"/>
  <c r="C248" i="4"/>
  <c r="A248" i="4"/>
  <c r="U247" i="4"/>
  <c r="T247" i="4"/>
  <c r="R247" i="4"/>
  <c r="S247" i="4" s="1"/>
  <c r="O247" i="4"/>
  <c r="L247" i="4"/>
  <c r="N247" i="4" s="1"/>
  <c r="K247" i="4"/>
  <c r="H247" i="4"/>
  <c r="P247" i="4" s="1"/>
  <c r="C247" i="4"/>
  <c r="A247" i="4"/>
  <c r="U246" i="4"/>
  <c r="T246" i="4"/>
  <c r="R246" i="4"/>
  <c r="S246" i="4" s="1"/>
  <c r="P246" i="4"/>
  <c r="O246" i="4"/>
  <c r="L246" i="4"/>
  <c r="K246" i="4"/>
  <c r="H246" i="4"/>
  <c r="C246" i="4"/>
  <c r="A246" i="4"/>
  <c r="U245" i="4"/>
  <c r="T245" i="4"/>
  <c r="R245" i="4"/>
  <c r="S245" i="4" s="1"/>
  <c r="O245" i="4"/>
  <c r="M245" i="4"/>
  <c r="L245" i="4"/>
  <c r="N245" i="4" s="1"/>
  <c r="K245" i="4"/>
  <c r="H245" i="4"/>
  <c r="P245" i="4" s="1"/>
  <c r="C245" i="4"/>
  <c r="A245" i="4"/>
  <c r="U244" i="4"/>
  <c r="T244" i="4"/>
  <c r="S244" i="4"/>
  <c r="R244" i="4"/>
  <c r="O244" i="4"/>
  <c r="L244" i="4"/>
  <c r="N244" i="4" s="1"/>
  <c r="K244" i="4"/>
  <c r="H244" i="4"/>
  <c r="P244" i="4" s="1"/>
  <c r="C244" i="4"/>
  <c r="A244" i="4"/>
  <c r="U243" i="4"/>
  <c r="T243" i="4"/>
  <c r="R243" i="4"/>
  <c r="S243" i="4" s="1"/>
  <c r="P243" i="4"/>
  <c r="O243" i="4"/>
  <c r="N243" i="4"/>
  <c r="L243" i="4"/>
  <c r="M243" i="4" s="1"/>
  <c r="K243" i="4"/>
  <c r="H243" i="4"/>
  <c r="C243" i="4"/>
  <c r="A243" i="4"/>
  <c r="U242" i="4"/>
  <c r="T242" i="4"/>
  <c r="R242" i="4"/>
  <c r="S242" i="4" s="1"/>
  <c r="O242" i="4"/>
  <c r="L242" i="4"/>
  <c r="N242" i="4" s="1"/>
  <c r="K242" i="4"/>
  <c r="H242" i="4"/>
  <c r="P242" i="4" s="1"/>
  <c r="C242" i="4"/>
  <c r="A242" i="4"/>
  <c r="U241" i="4"/>
  <c r="T241" i="4"/>
  <c r="R241" i="4"/>
  <c r="S241" i="4" s="1"/>
  <c r="P241" i="4"/>
  <c r="O241" i="4"/>
  <c r="N241" i="4"/>
  <c r="M241" i="4"/>
  <c r="L241" i="4"/>
  <c r="K241" i="4"/>
  <c r="H241" i="4"/>
  <c r="C241" i="4"/>
  <c r="A241" i="4"/>
  <c r="U240" i="4"/>
  <c r="T240" i="4"/>
  <c r="S240" i="4"/>
  <c r="R240" i="4"/>
  <c r="O240" i="4"/>
  <c r="L240" i="4"/>
  <c r="N240" i="4" s="1"/>
  <c r="K240" i="4"/>
  <c r="H240" i="4"/>
  <c r="P240" i="4" s="1"/>
  <c r="C240" i="4"/>
  <c r="A240" i="4"/>
  <c r="U239" i="4"/>
  <c r="T239" i="4"/>
  <c r="R239" i="4"/>
  <c r="S239" i="4" s="1"/>
  <c r="O239" i="4"/>
  <c r="L239" i="4"/>
  <c r="N239" i="4" s="1"/>
  <c r="K239" i="4"/>
  <c r="H239" i="4"/>
  <c r="P239" i="4" s="1"/>
  <c r="C239" i="4"/>
  <c r="A239" i="4"/>
  <c r="U238" i="4"/>
  <c r="T238" i="4"/>
  <c r="R238" i="4"/>
  <c r="S238" i="4" s="1"/>
  <c r="P238" i="4"/>
  <c r="O238" i="4"/>
  <c r="L238" i="4"/>
  <c r="K238" i="4"/>
  <c r="H238" i="4"/>
  <c r="C238" i="4"/>
  <c r="A238" i="4"/>
  <c r="U237" i="4"/>
  <c r="T237" i="4"/>
  <c r="R237" i="4"/>
  <c r="S237" i="4" s="1"/>
  <c r="O237" i="4"/>
  <c r="M237" i="4"/>
  <c r="L237" i="4"/>
  <c r="N237" i="4" s="1"/>
  <c r="K237" i="4"/>
  <c r="H237" i="4"/>
  <c r="P237" i="4" s="1"/>
  <c r="C237" i="4"/>
  <c r="A237" i="4"/>
  <c r="U236" i="4"/>
  <c r="T236" i="4"/>
  <c r="S236" i="4"/>
  <c r="R236" i="4"/>
  <c r="O236" i="4"/>
  <c r="L236" i="4"/>
  <c r="N236" i="4" s="1"/>
  <c r="K236" i="4"/>
  <c r="H236" i="4"/>
  <c r="P236" i="4" s="1"/>
  <c r="C236" i="4"/>
  <c r="A236" i="4"/>
  <c r="U235" i="4"/>
  <c r="T235" i="4"/>
  <c r="R235" i="4"/>
  <c r="S235" i="4" s="1"/>
  <c r="O235" i="4"/>
  <c r="N235" i="4"/>
  <c r="L235" i="4"/>
  <c r="M235" i="4" s="1"/>
  <c r="K235" i="4"/>
  <c r="H235" i="4"/>
  <c r="P235" i="4" s="1"/>
  <c r="C235" i="4"/>
  <c r="A235" i="4"/>
  <c r="U234" i="4"/>
  <c r="T234" i="4"/>
  <c r="R234" i="4"/>
  <c r="S234" i="4" s="1"/>
  <c r="P234" i="4"/>
  <c r="O234" i="4"/>
  <c r="L234" i="4"/>
  <c r="K234" i="4"/>
  <c r="H234" i="4"/>
  <c r="C234" i="4"/>
  <c r="A234" i="4"/>
  <c r="U233" i="4"/>
  <c r="T233" i="4"/>
  <c r="R233" i="4"/>
  <c r="S233" i="4" s="1"/>
  <c r="O233" i="4"/>
  <c r="L233" i="4"/>
  <c r="K233" i="4"/>
  <c r="H233" i="4"/>
  <c r="P233" i="4" s="1"/>
  <c r="C233" i="4"/>
  <c r="A233" i="4"/>
  <c r="U232" i="4"/>
  <c r="T232" i="4"/>
  <c r="R232" i="4"/>
  <c r="S232" i="4" s="1"/>
  <c r="O232" i="4"/>
  <c r="N232" i="4"/>
  <c r="L232" i="4"/>
  <c r="M232" i="4" s="1"/>
  <c r="K232" i="4"/>
  <c r="H232" i="4"/>
  <c r="P232" i="4" s="1"/>
  <c r="C232" i="4"/>
  <c r="A232" i="4"/>
  <c r="U231" i="4"/>
  <c r="T231" i="4"/>
  <c r="R231" i="4"/>
  <c r="S231" i="4" s="1"/>
  <c r="O231" i="4"/>
  <c r="L231" i="4"/>
  <c r="M231" i="4" s="1"/>
  <c r="K231" i="4"/>
  <c r="H231" i="4"/>
  <c r="P231" i="4" s="1"/>
  <c r="C231" i="4"/>
  <c r="A231" i="4"/>
  <c r="U230" i="4"/>
  <c r="T230" i="4"/>
  <c r="R230" i="4"/>
  <c r="S230" i="4" s="1"/>
  <c r="P230" i="4"/>
  <c r="O230" i="4"/>
  <c r="L230" i="4"/>
  <c r="K230" i="4"/>
  <c r="H230" i="4"/>
  <c r="C230" i="4"/>
  <c r="A230" i="4"/>
  <c r="U229" i="4"/>
  <c r="T229" i="4"/>
  <c r="R229" i="4"/>
  <c r="S229" i="4" s="1"/>
  <c r="O229" i="4"/>
  <c r="M229" i="4"/>
  <c r="L229" i="4"/>
  <c r="N229" i="4" s="1"/>
  <c r="K229" i="4"/>
  <c r="H229" i="4"/>
  <c r="P229" i="4" s="1"/>
  <c r="C229" i="4"/>
  <c r="A229" i="4"/>
  <c r="U228" i="4"/>
  <c r="T228" i="4"/>
  <c r="S228" i="4"/>
  <c r="R228" i="4"/>
  <c r="O228" i="4"/>
  <c r="L228" i="4"/>
  <c r="N228" i="4" s="1"/>
  <c r="K228" i="4"/>
  <c r="H228" i="4"/>
  <c r="P228" i="4" s="1"/>
  <c r="C228" i="4"/>
  <c r="A228" i="4"/>
  <c r="U227" i="4"/>
  <c r="T227" i="4"/>
  <c r="R227" i="4"/>
  <c r="S227" i="4" s="1"/>
  <c r="O227" i="4"/>
  <c r="N227" i="4"/>
  <c r="L227" i="4"/>
  <c r="M227" i="4" s="1"/>
  <c r="K227" i="4"/>
  <c r="H227" i="4"/>
  <c r="P227" i="4" s="1"/>
  <c r="C227" i="4"/>
  <c r="A227" i="4"/>
  <c r="U226" i="4"/>
  <c r="T226" i="4"/>
  <c r="R226" i="4"/>
  <c r="S226" i="4" s="1"/>
  <c r="P226" i="4"/>
  <c r="O226" i="4"/>
  <c r="L226" i="4"/>
  <c r="K226" i="4"/>
  <c r="H226" i="4"/>
  <c r="C226" i="4"/>
  <c r="A226" i="4"/>
  <c r="U225" i="4"/>
  <c r="T225" i="4"/>
  <c r="R225" i="4"/>
  <c r="S225" i="4" s="1"/>
  <c r="O225" i="4"/>
  <c r="L225" i="4"/>
  <c r="K225" i="4"/>
  <c r="H225" i="4"/>
  <c r="P225" i="4" s="1"/>
  <c r="C225" i="4"/>
  <c r="A225" i="4"/>
  <c r="U224" i="4"/>
  <c r="T224" i="4"/>
  <c r="R224" i="4"/>
  <c r="S224" i="4" s="1"/>
  <c r="O224" i="4"/>
  <c r="N224" i="4"/>
  <c r="L224" i="4"/>
  <c r="M224" i="4" s="1"/>
  <c r="K224" i="4"/>
  <c r="H224" i="4"/>
  <c r="P224" i="4" s="1"/>
  <c r="C224" i="4"/>
  <c r="A224" i="4"/>
  <c r="U223" i="4"/>
  <c r="T223" i="4"/>
  <c r="R223" i="4"/>
  <c r="S223" i="4" s="1"/>
  <c r="O223" i="4"/>
  <c r="L223" i="4"/>
  <c r="K223" i="4"/>
  <c r="H223" i="4"/>
  <c r="P223" i="4" s="1"/>
  <c r="C223" i="4"/>
  <c r="A223" i="4"/>
  <c r="U222" i="4"/>
  <c r="T222" i="4"/>
  <c r="R222" i="4"/>
  <c r="S222" i="4" s="1"/>
  <c r="P222" i="4"/>
  <c r="O222" i="4"/>
  <c r="L222" i="4"/>
  <c r="K222" i="4"/>
  <c r="H222" i="4"/>
  <c r="C222" i="4"/>
  <c r="A222" i="4"/>
  <c r="U221" i="4"/>
  <c r="T221" i="4"/>
  <c r="R221" i="4"/>
  <c r="S221" i="4" s="1"/>
  <c r="O221" i="4"/>
  <c r="M221" i="4"/>
  <c r="L221" i="4"/>
  <c r="N221" i="4" s="1"/>
  <c r="K221" i="4"/>
  <c r="H221" i="4"/>
  <c r="P221" i="4" s="1"/>
  <c r="C221" i="4"/>
  <c r="A221" i="4"/>
  <c r="U220" i="4"/>
  <c r="T220" i="4"/>
  <c r="S220" i="4"/>
  <c r="R220" i="4"/>
  <c r="O220" i="4"/>
  <c r="L220" i="4"/>
  <c r="K220" i="4"/>
  <c r="H220" i="4"/>
  <c r="P220" i="4" s="1"/>
  <c r="C220" i="4"/>
  <c r="A220" i="4"/>
  <c r="U219" i="4"/>
  <c r="T219" i="4"/>
  <c r="R219" i="4"/>
  <c r="S219" i="4" s="1"/>
  <c r="O219" i="4"/>
  <c r="N219" i="4"/>
  <c r="L219" i="4"/>
  <c r="M219" i="4" s="1"/>
  <c r="K219" i="4"/>
  <c r="H219" i="4"/>
  <c r="P219" i="4" s="1"/>
  <c r="C219" i="4"/>
  <c r="A219" i="4"/>
  <c r="U218" i="4"/>
  <c r="T218" i="4"/>
  <c r="R218" i="4"/>
  <c r="S218" i="4" s="1"/>
  <c r="P218" i="4"/>
  <c r="O218" i="4"/>
  <c r="L218" i="4"/>
  <c r="K218" i="4"/>
  <c r="H218" i="4"/>
  <c r="C218" i="4"/>
  <c r="A218" i="4"/>
  <c r="U217" i="4"/>
  <c r="T217" i="4"/>
  <c r="R217" i="4"/>
  <c r="S217" i="4" s="1"/>
  <c r="O217" i="4"/>
  <c r="L217" i="4"/>
  <c r="K217" i="4"/>
  <c r="H217" i="4"/>
  <c r="P217" i="4" s="1"/>
  <c r="C217" i="4"/>
  <c r="A217" i="4"/>
  <c r="U216" i="4"/>
  <c r="T216" i="4"/>
  <c r="R216" i="4"/>
  <c r="S216" i="4" s="1"/>
  <c r="O216" i="4"/>
  <c r="N216" i="4"/>
  <c r="M216" i="4"/>
  <c r="L216" i="4"/>
  <c r="K216" i="4"/>
  <c r="H216" i="4"/>
  <c r="P216" i="4" s="1"/>
  <c r="C216" i="4"/>
  <c r="A216" i="4"/>
  <c r="U215" i="4"/>
  <c r="T215" i="4"/>
  <c r="S215" i="4"/>
  <c r="R215" i="4"/>
  <c r="O215" i="4"/>
  <c r="N215" i="4"/>
  <c r="L215" i="4"/>
  <c r="M215" i="4" s="1"/>
  <c r="K215" i="4"/>
  <c r="H215" i="4"/>
  <c r="P215" i="4" s="1"/>
  <c r="C215" i="4"/>
  <c r="A215" i="4"/>
  <c r="U214" i="4"/>
  <c r="T214" i="4"/>
  <c r="R214" i="4"/>
  <c r="S214" i="4" s="1"/>
  <c r="O214" i="4"/>
  <c r="L214" i="4"/>
  <c r="K214" i="4"/>
  <c r="H214" i="4"/>
  <c r="P214" i="4" s="1"/>
  <c r="C214" i="4"/>
  <c r="A214" i="4"/>
  <c r="U213" i="4"/>
  <c r="T213" i="4"/>
  <c r="R213" i="4"/>
  <c r="S213" i="4" s="1"/>
  <c r="O213" i="4"/>
  <c r="M213" i="4"/>
  <c r="L213" i="4"/>
  <c r="N213" i="4" s="1"/>
  <c r="K213" i="4"/>
  <c r="H213" i="4"/>
  <c r="P213" i="4" s="1"/>
  <c r="C213" i="4"/>
  <c r="A213" i="4"/>
  <c r="U212" i="4"/>
  <c r="T212" i="4"/>
  <c r="S212" i="4"/>
  <c r="R212" i="4"/>
  <c r="O212" i="4"/>
  <c r="N212" i="4"/>
  <c r="M212" i="4"/>
  <c r="L212" i="4"/>
  <c r="K212" i="4"/>
  <c r="H212" i="4"/>
  <c r="P212" i="4" s="1"/>
  <c r="C212" i="4"/>
  <c r="A212" i="4"/>
  <c r="U211" i="4"/>
  <c r="T211" i="4"/>
  <c r="S211" i="4"/>
  <c r="R211" i="4"/>
  <c r="O211" i="4"/>
  <c r="N211" i="4"/>
  <c r="L211" i="4"/>
  <c r="M211" i="4" s="1"/>
  <c r="K211" i="4"/>
  <c r="H211" i="4"/>
  <c r="P211" i="4" s="1"/>
  <c r="C211" i="4"/>
  <c r="A211" i="4"/>
  <c r="U210" i="4"/>
  <c r="T210" i="4"/>
  <c r="R210" i="4"/>
  <c r="S210" i="4" s="1"/>
  <c r="O210" i="4"/>
  <c r="L210" i="4"/>
  <c r="K210" i="4"/>
  <c r="H210" i="4"/>
  <c r="P210" i="4" s="1"/>
  <c r="C210" i="4"/>
  <c r="A210" i="4"/>
  <c r="U209" i="4"/>
  <c r="T209" i="4"/>
  <c r="R209" i="4"/>
  <c r="S209" i="4" s="1"/>
  <c r="O209" i="4"/>
  <c r="L209" i="4"/>
  <c r="K209" i="4"/>
  <c r="H209" i="4"/>
  <c r="P209" i="4" s="1"/>
  <c r="C209" i="4"/>
  <c r="A209" i="4"/>
  <c r="U208" i="4"/>
  <c r="T208" i="4"/>
  <c r="R208" i="4"/>
  <c r="S208" i="4" s="1"/>
  <c r="O208" i="4"/>
  <c r="N208" i="4"/>
  <c r="M208" i="4"/>
  <c r="L208" i="4"/>
  <c r="K208" i="4"/>
  <c r="H208" i="4"/>
  <c r="P208" i="4" s="1"/>
  <c r="C208" i="4"/>
  <c r="A208" i="4"/>
  <c r="U207" i="4"/>
  <c r="T207" i="4"/>
  <c r="S207" i="4"/>
  <c r="R207" i="4"/>
  <c r="O207" i="4"/>
  <c r="N207" i="4"/>
  <c r="L207" i="4"/>
  <c r="M207" i="4" s="1"/>
  <c r="K207" i="4"/>
  <c r="H207" i="4"/>
  <c r="P207" i="4" s="1"/>
  <c r="C207" i="4"/>
  <c r="A207" i="4"/>
  <c r="U206" i="4"/>
  <c r="T206" i="4"/>
  <c r="R206" i="4"/>
  <c r="S206" i="4" s="1"/>
  <c r="O206" i="4"/>
  <c r="L206" i="4"/>
  <c r="K206" i="4"/>
  <c r="H206" i="4"/>
  <c r="P206" i="4" s="1"/>
  <c r="C206" i="4"/>
  <c r="A206" i="4"/>
  <c r="U205" i="4"/>
  <c r="T205" i="4"/>
  <c r="R205" i="4"/>
  <c r="S205" i="4" s="1"/>
  <c r="P205" i="4"/>
  <c r="O205" i="4"/>
  <c r="M205" i="4"/>
  <c r="L205" i="4"/>
  <c r="N205" i="4" s="1"/>
  <c r="K205" i="4"/>
  <c r="H205" i="4"/>
  <c r="C205" i="4"/>
  <c r="A205" i="4"/>
  <c r="U204" i="4"/>
  <c r="T204" i="4"/>
  <c r="R204" i="4"/>
  <c r="S204" i="4" s="1"/>
  <c r="O204" i="4"/>
  <c r="N204" i="4"/>
  <c r="M204" i="4"/>
  <c r="L204" i="4"/>
  <c r="K204" i="4"/>
  <c r="H204" i="4"/>
  <c r="P204" i="4" s="1"/>
  <c r="C204" i="4"/>
  <c r="A204" i="4"/>
  <c r="U203" i="4"/>
  <c r="T203" i="4"/>
  <c r="S203" i="4"/>
  <c r="R203" i="4"/>
  <c r="O203" i="4"/>
  <c r="N203" i="4"/>
  <c r="L203" i="4"/>
  <c r="M203" i="4" s="1"/>
  <c r="K203" i="4"/>
  <c r="H203" i="4"/>
  <c r="P203" i="4" s="1"/>
  <c r="C203" i="4"/>
  <c r="A203" i="4"/>
  <c r="U202" i="4"/>
  <c r="T202" i="4"/>
  <c r="R202" i="4"/>
  <c r="S202" i="4" s="1"/>
  <c r="O202" i="4"/>
  <c r="L202" i="4"/>
  <c r="K202" i="4"/>
  <c r="H202" i="4"/>
  <c r="P202" i="4" s="1"/>
  <c r="C202" i="4"/>
  <c r="A202" i="4"/>
  <c r="U201" i="4"/>
  <c r="T201" i="4"/>
  <c r="R201" i="4"/>
  <c r="S201" i="4" s="1"/>
  <c r="O201" i="4"/>
  <c r="M201" i="4"/>
  <c r="L201" i="4"/>
  <c r="N201" i="4" s="1"/>
  <c r="K201" i="4"/>
  <c r="H201" i="4"/>
  <c r="P201" i="4" s="1"/>
  <c r="C201" i="4"/>
  <c r="A201" i="4"/>
  <c r="U200" i="4"/>
  <c r="T200" i="4"/>
  <c r="S200" i="4"/>
  <c r="R200" i="4"/>
  <c r="O200" i="4"/>
  <c r="N200" i="4"/>
  <c r="M200" i="4"/>
  <c r="L200" i="4"/>
  <c r="K200" i="4"/>
  <c r="H200" i="4"/>
  <c r="P200" i="4" s="1"/>
  <c r="C200" i="4"/>
  <c r="A200" i="4"/>
  <c r="U199" i="4"/>
  <c r="T199" i="4"/>
  <c r="S199" i="4"/>
  <c r="R199" i="4"/>
  <c r="O199" i="4"/>
  <c r="L199" i="4"/>
  <c r="M199" i="4" s="1"/>
  <c r="K199" i="4"/>
  <c r="H199" i="4"/>
  <c r="P199" i="4" s="1"/>
  <c r="C199" i="4"/>
  <c r="A199" i="4"/>
  <c r="U198" i="4"/>
  <c r="T198" i="4"/>
  <c r="R198" i="4"/>
  <c r="S198" i="4" s="1"/>
  <c r="P198" i="4"/>
  <c r="O198" i="4"/>
  <c r="L198" i="4"/>
  <c r="N198" i="4" s="1"/>
  <c r="K198" i="4"/>
  <c r="H198" i="4"/>
  <c r="C198" i="4"/>
  <c r="A198" i="4"/>
  <c r="U197" i="4"/>
  <c r="T197" i="4"/>
  <c r="R197" i="4"/>
  <c r="S197" i="4" s="1"/>
  <c r="P197" i="4"/>
  <c r="O197" i="4"/>
  <c r="L197" i="4"/>
  <c r="N197" i="4" s="1"/>
  <c r="K197" i="4"/>
  <c r="H197" i="4"/>
  <c r="C197" i="4"/>
  <c r="A197" i="4"/>
  <c r="U196" i="4"/>
  <c r="T196" i="4"/>
  <c r="R196" i="4"/>
  <c r="S196" i="4" s="1"/>
  <c r="O196" i="4"/>
  <c r="N196" i="4"/>
  <c r="L196" i="4"/>
  <c r="M196" i="4" s="1"/>
  <c r="K196" i="4"/>
  <c r="H196" i="4"/>
  <c r="P196" i="4" s="1"/>
  <c r="C196" i="4"/>
  <c r="A196" i="4"/>
  <c r="U195" i="4"/>
  <c r="T195" i="4"/>
  <c r="R195" i="4"/>
  <c r="S195" i="4" s="1"/>
  <c r="O195" i="4"/>
  <c r="L195" i="4"/>
  <c r="K195" i="4"/>
  <c r="H195" i="4"/>
  <c r="P195" i="4" s="1"/>
  <c r="C195" i="4"/>
  <c r="A195" i="4"/>
  <c r="U194" i="4"/>
  <c r="T194" i="4"/>
  <c r="R194" i="4"/>
  <c r="S194" i="4" s="1"/>
  <c r="O194" i="4"/>
  <c r="L194" i="4"/>
  <c r="K194" i="4"/>
  <c r="H194" i="4"/>
  <c r="P194" i="4" s="1"/>
  <c r="C194" i="4"/>
  <c r="A194" i="4"/>
  <c r="U193" i="4"/>
  <c r="T193" i="4"/>
  <c r="R193" i="4"/>
  <c r="S193" i="4" s="1"/>
  <c r="P193" i="4"/>
  <c r="O193" i="4"/>
  <c r="L193" i="4"/>
  <c r="N193" i="4" s="1"/>
  <c r="K193" i="4"/>
  <c r="H193" i="4"/>
  <c r="C193" i="4"/>
  <c r="A193" i="4"/>
  <c r="U192" i="4"/>
  <c r="T192" i="4"/>
  <c r="R192" i="4"/>
  <c r="S192" i="4" s="1"/>
  <c r="O192" i="4"/>
  <c r="L192" i="4"/>
  <c r="K192" i="4"/>
  <c r="H192" i="4"/>
  <c r="P192" i="4" s="1"/>
  <c r="C192" i="4"/>
  <c r="A192" i="4"/>
  <c r="U191" i="4"/>
  <c r="T191" i="4"/>
  <c r="R191" i="4"/>
  <c r="S191" i="4" s="1"/>
  <c r="O191" i="4"/>
  <c r="L191" i="4"/>
  <c r="M191" i="4" s="1"/>
  <c r="K191" i="4"/>
  <c r="H191" i="4"/>
  <c r="P191" i="4" s="1"/>
  <c r="C191" i="4"/>
  <c r="A191" i="4"/>
  <c r="U190" i="4"/>
  <c r="T190" i="4"/>
  <c r="R190" i="4"/>
  <c r="S190" i="4" s="1"/>
  <c r="P190" i="4"/>
  <c r="O190" i="4"/>
  <c r="L190" i="4"/>
  <c r="K190" i="4"/>
  <c r="H190" i="4"/>
  <c r="C190" i="4"/>
  <c r="A190" i="4"/>
  <c r="U189" i="4"/>
  <c r="T189" i="4"/>
  <c r="R189" i="4"/>
  <c r="S189" i="4" s="1"/>
  <c r="O189" i="4"/>
  <c r="L189" i="4"/>
  <c r="N189" i="4" s="1"/>
  <c r="K189" i="4"/>
  <c r="H189" i="4"/>
  <c r="P189" i="4" s="1"/>
  <c r="C189" i="4"/>
  <c r="A189" i="4"/>
  <c r="U188" i="4"/>
  <c r="T188" i="4"/>
  <c r="R188" i="4"/>
  <c r="S188" i="4" s="1"/>
  <c r="O188" i="4"/>
  <c r="N188" i="4"/>
  <c r="M188" i="4"/>
  <c r="L188" i="4"/>
  <c r="K188" i="4"/>
  <c r="H188" i="4"/>
  <c r="P188" i="4" s="1"/>
  <c r="C188" i="4"/>
  <c r="A188" i="4"/>
  <c r="U187" i="4"/>
  <c r="T187" i="4"/>
  <c r="S187" i="4"/>
  <c r="R187" i="4"/>
  <c r="O187" i="4"/>
  <c r="L187" i="4"/>
  <c r="K187" i="4"/>
  <c r="H187" i="4"/>
  <c r="P187" i="4" s="1"/>
  <c r="C187" i="4"/>
  <c r="A187" i="4"/>
  <c r="U186" i="4"/>
  <c r="T186" i="4"/>
  <c r="R186" i="4"/>
  <c r="S186" i="4" s="1"/>
  <c r="O186" i="4"/>
  <c r="L186" i="4"/>
  <c r="K186" i="4"/>
  <c r="H186" i="4"/>
  <c r="P186" i="4" s="1"/>
  <c r="C186" i="4"/>
  <c r="A186" i="4"/>
  <c r="U185" i="4"/>
  <c r="T185" i="4"/>
  <c r="R185" i="4"/>
  <c r="S185" i="4" s="1"/>
  <c r="O185" i="4"/>
  <c r="L185" i="4"/>
  <c r="N185" i="4" s="1"/>
  <c r="K185" i="4"/>
  <c r="H185" i="4"/>
  <c r="P185" i="4" s="1"/>
  <c r="C185" i="4"/>
  <c r="A185" i="4"/>
  <c r="U184" i="4"/>
  <c r="T184" i="4"/>
  <c r="R184" i="4"/>
  <c r="S184" i="4" s="1"/>
  <c r="O184" i="4"/>
  <c r="L184" i="4"/>
  <c r="K184" i="4"/>
  <c r="H184" i="4"/>
  <c r="P184" i="4" s="1"/>
  <c r="C184" i="4"/>
  <c r="A184" i="4"/>
  <c r="U183" i="4"/>
  <c r="T183" i="4"/>
  <c r="R183" i="4"/>
  <c r="S183" i="4" s="1"/>
  <c r="O183" i="4"/>
  <c r="L183" i="4"/>
  <c r="M183" i="4" s="1"/>
  <c r="K183" i="4"/>
  <c r="H183" i="4"/>
  <c r="P183" i="4" s="1"/>
  <c r="C183" i="4"/>
  <c r="A183" i="4"/>
  <c r="U182" i="4"/>
  <c r="T182" i="4"/>
  <c r="R182" i="4"/>
  <c r="S182" i="4" s="1"/>
  <c r="O182" i="4"/>
  <c r="L182" i="4"/>
  <c r="N182" i="4" s="1"/>
  <c r="K182" i="4"/>
  <c r="H182" i="4"/>
  <c r="P182" i="4" s="1"/>
  <c r="C182" i="4"/>
  <c r="A182" i="4"/>
  <c r="U181" i="4"/>
  <c r="T181" i="4"/>
  <c r="R181" i="4"/>
  <c r="S181" i="4" s="1"/>
  <c r="O181" i="4"/>
  <c r="N181" i="4"/>
  <c r="L181" i="4"/>
  <c r="M181" i="4" s="1"/>
  <c r="K181" i="4"/>
  <c r="H181" i="4"/>
  <c r="P181" i="4" s="1"/>
  <c r="C181" i="4"/>
  <c r="A181" i="4"/>
  <c r="U180" i="4"/>
  <c r="T180" i="4"/>
  <c r="R180" i="4"/>
  <c r="S180" i="4" s="1"/>
  <c r="P180" i="4"/>
  <c r="O180" i="4"/>
  <c r="L180" i="4"/>
  <c r="N180" i="4" s="1"/>
  <c r="K180" i="4"/>
  <c r="H180" i="4"/>
  <c r="C180" i="4"/>
  <c r="A180" i="4"/>
  <c r="U179" i="4"/>
  <c r="T179" i="4"/>
  <c r="R179" i="4"/>
  <c r="S179" i="4" s="1"/>
  <c r="P179" i="4"/>
  <c r="O179" i="4"/>
  <c r="L179" i="4"/>
  <c r="K179" i="4"/>
  <c r="H179" i="4"/>
  <c r="C179" i="4"/>
  <c r="A179" i="4"/>
  <c r="U178" i="4"/>
  <c r="T178" i="4"/>
  <c r="R178" i="4"/>
  <c r="S178" i="4" s="1"/>
  <c r="O178" i="4"/>
  <c r="N178" i="4"/>
  <c r="L178" i="4"/>
  <c r="M178" i="4" s="1"/>
  <c r="K178" i="4"/>
  <c r="H178" i="4"/>
  <c r="P178" i="4" s="1"/>
  <c r="C178" i="4"/>
  <c r="A178" i="4"/>
  <c r="U177" i="4"/>
  <c r="T177" i="4"/>
  <c r="R177" i="4"/>
  <c r="S177" i="4" s="1"/>
  <c r="O177" i="4"/>
  <c r="L177" i="4"/>
  <c r="K177" i="4"/>
  <c r="H177" i="4"/>
  <c r="P177" i="4" s="1"/>
  <c r="C177" i="4"/>
  <c r="A177" i="4"/>
  <c r="U176" i="4"/>
  <c r="T176" i="4"/>
  <c r="R176" i="4"/>
  <c r="S176" i="4" s="1"/>
  <c r="P176" i="4"/>
  <c r="O176" i="4"/>
  <c r="L176" i="4"/>
  <c r="N176" i="4" s="1"/>
  <c r="K176" i="4"/>
  <c r="H176" i="4"/>
  <c r="C176" i="4"/>
  <c r="A176" i="4"/>
  <c r="U175" i="4"/>
  <c r="T175" i="4"/>
  <c r="R175" i="4"/>
  <c r="S175" i="4" s="1"/>
  <c r="O175" i="4"/>
  <c r="L175" i="4"/>
  <c r="N175" i="4" s="1"/>
  <c r="K175" i="4"/>
  <c r="H175" i="4"/>
  <c r="P175" i="4" s="1"/>
  <c r="C175" i="4"/>
  <c r="A175" i="4"/>
  <c r="U174" i="4"/>
  <c r="T174" i="4"/>
  <c r="R174" i="4"/>
  <c r="S174" i="4" s="1"/>
  <c r="O174" i="4"/>
  <c r="N174" i="4"/>
  <c r="M174" i="4"/>
  <c r="L174" i="4"/>
  <c r="K174" i="4"/>
  <c r="H174" i="4"/>
  <c r="P174" i="4" s="1"/>
  <c r="C174" i="4"/>
  <c r="A174" i="4"/>
  <c r="U173" i="4"/>
  <c r="T173" i="4"/>
  <c r="S173" i="4"/>
  <c r="R173" i="4"/>
  <c r="O173" i="4"/>
  <c r="N173" i="4"/>
  <c r="M173" i="4"/>
  <c r="L173" i="4"/>
  <c r="K173" i="4"/>
  <c r="H173" i="4"/>
  <c r="P173" i="4" s="1"/>
  <c r="C173" i="4"/>
  <c r="A173" i="4"/>
  <c r="U172" i="4"/>
  <c r="T172" i="4"/>
  <c r="S172" i="4"/>
  <c r="R172" i="4"/>
  <c r="O172" i="4"/>
  <c r="L172" i="4"/>
  <c r="N172" i="4" s="1"/>
  <c r="K172" i="4"/>
  <c r="H172" i="4"/>
  <c r="P172" i="4" s="1"/>
  <c r="C172" i="4"/>
  <c r="A172" i="4"/>
  <c r="U171" i="4"/>
  <c r="T171" i="4"/>
  <c r="R171" i="4"/>
  <c r="S171" i="4" s="1"/>
  <c r="P171" i="4"/>
  <c r="O171" i="4"/>
  <c r="L171" i="4"/>
  <c r="K171" i="4"/>
  <c r="H171" i="4"/>
  <c r="C171" i="4"/>
  <c r="A171" i="4"/>
  <c r="U170" i="4"/>
  <c r="T170" i="4"/>
  <c r="R170" i="4"/>
  <c r="S170" i="4" s="1"/>
  <c r="O170" i="4"/>
  <c r="M170" i="4"/>
  <c r="L170" i="4"/>
  <c r="N170" i="4" s="1"/>
  <c r="K170" i="4"/>
  <c r="H170" i="4"/>
  <c r="P170" i="4" s="1"/>
  <c r="C170" i="4"/>
  <c r="A170" i="4"/>
  <c r="U169" i="4"/>
  <c r="T169" i="4"/>
  <c r="S169" i="4"/>
  <c r="R169" i="4"/>
  <c r="O169" i="4"/>
  <c r="L169" i="4"/>
  <c r="M169" i="4" s="1"/>
  <c r="K169" i="4"/>
  <c r="H169" i="4"/>
  <c r="P169" i="4" s="1"/>
  <c r="C169" i="4"/>
  <c r="A169" i="4"/>
  <c r="U168" i="4"/>
  <c r="T168" i="4"/>
  <c r="R168" i="4"/>
  <c r="S168" i="4" s="1"/>
  <c r="O168" i="4"/>
  <c r="L168" i="4"/>
  <c r="N168" i="4" s="1"/>
  <c r="K168" i="4"/>
  <c r="H168" i="4"/>
  <c r="P168" i="4" s="1"/>
  <c r="C168" i="4"/>
  <c r="A168" i="4"/>
  <c r="U167" i="4"/>
  <c r="T167" i="4"/>
  <c r="R167" i="4"/>
  <c r="S167" i="4" s="1"/>
  <c r="O167" i="4"/>
  <c r="L167" i="4"/>
  <c r="N167" i="4" s="1"/>
  <c r="K167" i="4"/>
  <c r="H167" i="4"/>
  <c r="P167" i="4" s="1"/>
  <c r="C167" i="4"/>
  <c r="A167" i="4"/>
  <c r="U166" i="4"/>
  <c r="T166" i="4"/>
  <c r="R166" i="4"/>
  <c r="S166" i="4" s="1"/>
  <c r="O166" i="4"/>
  <c r="N166" i="4"/>
  <c r="M166" i="4"/>
  <c r="L166" i="4"/>
  <c r="K166" i="4"/>
  <c r="H166" i="4"/>
  <c r="P166" i="4" s="1"/>
  <c r="C166" i="4"/>
  <c r="A166" i="4"/>
  <c r="U165" i="4"/>
  <c r="T165" i="4"/>
  <c r="S165" i="4"/>
  <c r="R165" i="4"/>
  <c r="O165" i="4"/>
  <c r="L165" i="4"/>
  <c r="K165" i="4"/>
  <c r="H165" i="4"/>
  <c r="P165" i="4" s="1"/>
  <c r="C165" i="4"/>
  <c r="A165" i="4"/>
  <c r="U164" i="4"/>
  <c r="T164" i="4"/>
  <c r="R164" i="4"/>
  <c r="S164" i="4" s="1"/>
  <c r="P164" i="4"/>
  <c r="O164" i="4"/>
  <c r="L164" i="4"/>
  <c r="N164" i="4" s="1"/>
  <c r="K164" i="4"/>
  <c r="H164" i="4"/>
  <c r="C164" i="4"/>
  <c r="A164" i="4"/>
  <c r="U163" i="4"/>
  <c r="T163" i="4"/>
  <c r="R163" i="4"/>
  <c r="S163" i="4" s="1"/>
  <c r="P163" i="4"/>
  <c r="O163" i="4"/>
  <c r="L163" i="4"/>
  <c r="K163" i="4"/>
  <c r="H163" i="4"/>
  <c r="C163" i="4"/>
  <c r="A163" i="4"/>
  <c r="U162" i="4"/>
  <c r="T162" i="4"/>
  <c r="R162" i="4"/>
  <c r="S162" i="4" s="1"/>
  <c r="O162" i="4"/>
  <c r="M162" i="4"/>
  <c r="L162" i="4"/>
  <c r="N162" i="4" s="1"/>
  <c r="K162" i="4"/>
  <c r="H162" i="4"/>
  <c r="P162" i="4" s="1"/>
  <c r="C162" i="4"/>
  <c r="A162" i="4"/>
  <c r="U161" i="4"/>
  <c r="T161" i="4"/>
  <c r="S161" i="4"/>
  <c r="R161" i="4"/>
  <c r="O161" i="4"/>
  <c r="N161" i="4"/>
  <c r="L161" i="4"/>
  <c r="M161" i="4" s="1"/>
  <c r="K161" i="4"/>
  <c r="H161" i="4"/>
  <c r="P161" i="4" s="1"/>
  <c r="C161" i="4"/>
  <c r="A161" i="4"/>
  <c r="U160" i="4"/>
  <c r="T160" i="4"/>
  <c r="R160" i="4"/>
  <c r="S160" i="4" s="1"/>
  <c r="O160" i="4"/>
  <c r="L160" i="4"/>
  <c r="N160" i="4" s="1"/>
  <c r="K160" i="4"/>
  <c r="H160" i="4"/>
  <c r="P160" i="4" s="1"/>
  <c r="C160" i="4"/>
  <c r="A160" i="4"/>
  <c r="U159" i="4"/>
  <c r="T159" i="4"/>
  <c r="R159" i="4"/>
  <c r="S159" i="4" s="1"/>
  <c r="O159" i="4"/>
  <c r="L159" i="4"/>
  <c r="N159" i="4" s="1"/>
  <c r="K159" i="4"/>
  <c r="H159" i="4"/>
  <c r="P159" i="4" s="1"/>
  <c r="C159" i="4"/>
  <c r="A159" i="4"/>
  <c r="U158" i="4"/>
  <c r="T158" i="4"/>
  <c r="R158" i="4"/>
  <c r="S158" i="4" s="1"/>
  <c r="P158" i="4"/>
  <c r="O158" i="4"/>
  <c r="N158" i="4"/>
  <c r="M158" i="4"/>
  <c r="L158" i="4"/>
  <c r="K158" i="4"/>
  <c r="H158" i="4"/>
  <c r="C158" i="4"/>
  <c r="A158" i="4"/>
  <c r="U157" i="4"/>
  <c r="T157" i="4"/>
  <c r="S157" i="4"/>
  <c r="R157" i="4"/>
  <c r="O157" i="4"/>
  <c r="L157" i="4"/>
  <c r="N157" i="4" s="1"/>
  <c r="K157" i="4"/>
  <c r="H157" i="4"/>
  <c r="P157" i="4" s="1"/>
  <c r="C157" i="4"/>
  <c r="A157" i="4"/>
  <c r="U156" i="4"/>
  <c r="T156" i="4"/>
  <c r="R156" i="4"/>
  <c r="S156" i="4" s="1"/>
  <c r="O156" i="4"/>
  <c r="L156" i="4"/>
  <c r="N156" i="4" s="1"/>
  <c r="K156" i="4"/>
  <c r="H156" i="4"/>
  <c r="P156" i="4" s="1"/>
  <c r="C156" i="4"/>
  <c r="A156" i="4"/>
  <c r="U155" i="4"/>
  <c r="T155" i="4"/>
  <c r="R155" i="4"/>
  <c r="S155" i="4" s="1"/>
  <c r="P155" i="4"/>
  <c r="O155" i="4"/>
  <c r="L155" i="4"/>
  <c r="K155" i="4"/>
  <c r="H155" i="4"/>
  <c r="C155" i="4"/>
  <c r="A155" i="4"/>
  <c r="U154" i="4"/>
  <c r="T154" i="4"/>
  <c r="R154" i="4"/>
  <c r="S154" i="4" s="1"/>
  <c r="O154" i="4"/>
  <c r="L154" i="4"/>
  <c r="N154" i="4" s="1"/>
  <c r="K154" i="4"/>
  <c r="H154" i="4"/>
  <c r="P154" i="4" s="1"/>
  <c r="C154" i="4"/>
  <c r="A154" i="4"/>
  <c r="U153" i="4"/>
  <c r="T153" i="4"/>
  <c r="R153" i="4"/>
  <c r="S153" i="4" s="1"/>
  <c r="O153" i="4"/>
  <c r="L153" i="4"/>
  <c r="K153" i="4"/>
  <c r="H153" i="4"/>
  <c r="P153" i="4" s="1"/>
  <c r="C153" i="4"/>
  <c r="A153" i="4"/>
  <c r="U152" i="4"/>
  <c r="T152" i="4"/>
  <c r="R152" i="4"/>
  <c r="S152" i="4" s="1"/>
  <c r="P152" i="4"/>
  <c r="O152" i="4"/>
  <c r="L152" i="4"/>
  <c r="N152" i="4" s="1"/>
  <c r="K152" i="4"/>
  <c r="H152" i="4"/>
  <c r="C152" i="4"/>
  <c r="A152" i="4"/>
  <c r="U151" i="4"/>
  <c r="T151" i="4"/>
  <c r="R151" i="4"/>
  <c r="S151" i="4" s="1"/>
  <c r="O151" i="4"/>
  <c r="L151" i="4"/>
  <c r="N151" i="4" s="1"/>
  <c r="K151" i="4"/>
  <c r="H151" i="4"/>
  <c r="P151" i="4" s="1"/>
  <c r="C151" i="4"/>
  <c r="A151" i="4"/>
  <c r="U150" i="4"/>
  <c r="T150" i="4"/>
  <c r="R150" i="4"/>
  <c r="S150" i="4" s="1"/>
  <c r="O150" i="4"/>
  <c r="L150" i="4"/>
  <c r="K150" i="4"/>
  <c r="H150" i="4"/>
  <c r="P150" i="4" s="1"/>
  <c r="C150" i="4"/>
  <c r="A150" i="4"/>
  <c r="U149" i="4"/>
  <c r="T149" i="4"/>
  <c r="R149" i="4"/>
  <c r="S149" i="4" s="1"/>
  <c r="O149" i="4"/>
  <c r="N149" i="4"/>
  <c r="M149" i="4"/>
  <c r="L149" i="4"/>
  <c r="K149" i="4"/>
  <c r="H149" i="4"/>
  <c r="P149" i="4" s="1"/>
  <c r="C149" i="4"/>
  <c r="A149" i="4"/>
  <c r="U148" i="4"/>
  <c r="T148" i="4"/>
  <c r="S148" i="4"/>
  <c r="R148" i="4"/>
  <c r="O148" i="4"/>
  <c r="L148" i="4"/>
  <c r="N148" i="4" s="1"/>
  <c r="K148" i="4"/>
  <c r="H148" i="4"/>
  <c r="P148" i="4" s="1"/>
  <c r="C148" i="4"/>
  <c r="A148" i="4"/>
  <c r="U147" i="4"/>
  <c r="T147" i="4"/>
  <c r="R147" i="4"/>
  <c r="S147" i="4" s="1"/>
  <c r="P147" i="4"/>
  <c r="O147" i="4"/>
  <c r="L147" i="4"/>
  <c r="K147" i="4"/>
  <c r="H147" i="4"/>
  <c r="C147" i="4"/>
  <c r="A147" i="4"/>
  <c r="U146" i="4"/>
  <c r="T146" i="4"/>
  <c r="R146" i="4"/>
  <c r="S146" i="4" s="1"/>
  <c r="O146" i="4"/>
  <c r="M146" i="4"/>
  <c r="L146" i="4"/>
  <c r="N146" i="4" s="1"/>
  <c r="K146" i="4"/>
  <c r="H146" i="4"/>
  <c r="P146" i="4" s="1"/>
  <c r="C146" i="4"/>
  <c r="A146" i="4"/>
  <c r="U145" i="4"/>
  <c r="T145" i="4"/>
  <c r="S145" i="4"/>
  <c r="R145" i="4"/>
  <c r="O145" i="4"/>
  <c r="L145" i="4"/>
  <c r="M145" i="4" s="1"/>
  <c r="K145" i="4"/>
  <c r="H145" i="4"/>
  <c r="P145" i="4" s="1"/>
  <c r="C145" i="4"/>
  <c r="A145" i="4"/>
  <c r="U144" i="4"/>
  <c r="T144" i="4"/>
  <c r="R144" i="4"/>
  <c r="S144" i="4" s="1"/>
  <c r="O144" i="4"/>
  <c r="L144" i="4"/>
  <c r="N144" i="4" s="1"/>
  <c r="K144" i="4"/>
  <c r="H144" i="4"/>
  <c r="P144" i="4" s="1"/>
  <c r="C144" i="4"/>
  <c r="A144" i="4"/>
  <c r="U143" i="4"/>
  <c r="T143" i="4"/>
  <c r="R143" i="4"/>
  <c r="S143" i="4" s="1"/>
  <c r="O143" i="4"/>
  <c r="L143" i="4"/>
  <c r="N143" i="4" s="1"/>
  <c r="K143" i="4"/>
  <c r="H143" i="4"/>
  <c r="P143" i="4" s="1"/>
  <c r="C143" i="4"/>
  <c r="A143" i="4"/>
  <c r="U142" i="4"/>
  <c r="T142" i="4"/>
  <c r="R142" i="4"/>
  <c r="S142" i="4" s="1"/>
  <c r="P142" i="4"/>
  <c r="O142" i="4"/>
  <c r="L142" i="4"/>
  <c r="N142" i="4" s="1"/>
  <c r="K142" i="4"/>
  <c r="H142" i="4"/>
  <c r="C142" i="4"/>
  <c r="A142" i="4"/>
  <c r="U141" i="4"/>
  <c r="T141" i="4"/>
  <c r="R141" i="4"/>
  <c r="S141" i="4" s="1"/>
  <c r="O141" i="4"/>
  <c r="L141" i="4"/>
  <c r="N141" i="4" s="1"/>
  <c r="K141" i="4"/>
  <c r="H141" i="4"/>
  <c r="P141" i="4" s="1"/>
  <c r="C141" i="4"/>
  <c r="A141" i="4"/>
  <c r="U140" i="4"/>
  <c r="T140" i="4"/>
  <c r="R140" i="4"/>
  <c r="S140" i="4" s="1"/>
  <c r="O140" i="4"/>
  <c r="L140" i="4"/>
  <c r="N140" i="4" s="1"/>
  <c r="K140" i="4"/>
  <c r="H140" i="4"/>
  <c r="P140" i="4" s="1"/>
  <c r="C140" i="4"/>
  <c r="A140" i="4"/>
  <c r="U139" i="4"/>
  <c r="T139" i="4"/>
  <c r="R139" i="4"/>
  <c r="S139" i="4" s="1"/>
  <c r="O139" i="4"/>
  <c r="L139" i="4"/>
  <c r="K139" i="4"/>
  <c r="H139" i="4"/>
  <c r="P139" i="4" s="1"/>
  <c r="C139" i="4"/>
  <c r="A139" i="4"/>
  <c r="U138" i="4"/>
  <c r="T138" i="4"/>
  <c r="R138" i="4"/>
  <c r="S138" i="4" s="1"/>
  <c r="O138" i="4"/>
  <c r="L138" i="4"/>
  <c r="K138" i="4"/>
  <c r="H138" i="4"/>
  <c r="P138" i="4" s="1"/>
  <c r="C138" i="4"/>
  <c r="A138" i="4"/>
  <c r="U137" i="4"/>
  <c r="T137" i="4"/>
  <c r="R137" i="4"/>
  <c r="S137" i="4" s="1"/>
  <c r="O137" i="4"/>
  <c r="N137" i="4"/>
  <c r="L137" i="4"/>
  <c r="M137" i="4" s="1"/>
  <c r="K137" i="4"/>
  <c r="H137" i="4"/>
  <c r="P137" i="4" s="1"/>
  <c r="C137" i="4"/>
  <c r="A137" i="4"/>
  <c r="U136" i="4"/>
  <c r="T136" i="4"/>
  <c r="R136" i="4"/>
  <c r="S136" i="4" s="1"/>
  <c r="P136" i="4"/>
  <c r="O136" i="4"/>
  <c r="L136" i="4"/>
  <c r="N136" i="4" s="1"/>
  <c r="K136" i="4"/>
  <c r="H136" i="4"/>
  <c r="C136" i="4"/>
  <c r="A136" i="4"/>
  <c r="U135" i="4"/>
  <c r="T135" i="4"/>
  <c r="R135" i="4"/>
  <c r="S135" i="4" s="1"/>
  <c r="O135" i="4"/>
  <c r="L135" i="4"/>
  <c r="N135" i="4" s="1"/>
  <c r="K135" i="4"/>
  <c r="H135" i="4"/>
  <c r="P135" i="4" s="1"/>
  <c r="C135" i="4"/>
  <c r="A135" i="4"/>
  <c r="U134" i="4"/>
  <c r="T134" i="4"/>
  <c r="R134" i="4"/>
  <c r="S134" i="4" s="1"/>
  <c r="O134" i="4"/>
  <c r="N134" i="4"/>
  <c r="M134" i="4"/>
  <c r="L134" i="4"/>
  <c r="K134" i="4"/>
  <c r="H134" i="4"/>
  <c r="P134" i="4" s="1"/>
  <c r="C134" i="4"/>
  <c r="A134" i="4"/>
  <c r="U133" i="4"/>
  <c r="S133" i="4"/>
  <c r="R133" i="4"/>
  <c r="K133" i="4"/>
  <c r="L133" i="4" s="1"/>
  <c r="H133" i="4"/>
  <c r="C133" i="4"/>
  <c r="A133" i="4"/>
  <c r="U132" i="4"/>
  <c r="R132" i="4"/>
  <c r="S132" i="4" s="1"/>
  <c r="K132" i="4"/>
  <c r="L132" i="4" s="1"/>
  <c r="H132" i="4"/>
  <c r="C132" i="4"/>
  <c r="A132" i="4"/>
  <c r="U131" i="4"/>
  <c r="R131" i="4"/>
  <c r="S131" i="4" s="1"/>
  <c r="K131" i="4"/>
  <c r="L131" i="4" s="1"/>
  <c r="H131" i="4"/>
  <c r="C131" i="4"/>
  <c r="A131" i="4"/>
  <c r="U130" i="4"/>
  <c r="R130" i="4"/>
  <c r="S130" i="4" s="1"/>
  <c r="K130" i="4"/>
  <c r="L130" i="4" s="1"/>
  <c r="H130" i="4"/>
  <c r="C130" i="4"/>
  <c r="A130" i="4"/>
  <c r="U129" i="4"/>
  <c r="S129" i="4"/>
  <c r="R129" i="4"/>
  <c r="K129" i="4"/>
  <c r="L129" i="4" s="1"/>
  <c r="M129" i="4" s="1"/>
  <c r="H129" i="4"/>
  <c r="C129" i="4"/>
  <c r="A129" i="4"/>
  <c r="U128" i="4"/>
  <c r="S128" i="4"/>
  <c r="R128" i="4"/>
  <c r="K128" i="4"/>
  <c r="L128" i="4" s="1"/>
  <c r="H128" i="4"/>
  <c r="C128" i="4"/>
  <c r="A128" i="4"/>
  <c r="U127" i="4"/>
  <c r="S127" i="4"/>
  <c r="R127" i="4"/>
  <c r="K127" i="4"/>
  <c r="L127" i="4" s="1"/>
  <c r="H127" i="4"/>
  <c r="C127" i="4"/>
  <c r="A127" i="4"/>
  <c r="U126" i="4"/>
  <c r="R126" i="4"/>
  <c r="S126" i="4" s="1"/>
  <c r="M126" i="4"/>
  <c r="K126" i="4"/>
  <c r="L126" i="4" s="1"/>
  <c r="N126" i="4" s="1"/>
  <c r="H126" i="4"/>
  <c r="C126" i="4"/>
  <c r="A126" i="4"/>
  <c r="U125" i="4"/>
  <c r="S125" i="4"/>
  <c r="R125" i="4"/>
  <c r="K125" i="4"/>
  <c r="L125" i="4" s="1"/>
  <c r="H125" i="4"/>
  <c r="C125" i="4"/>
  <c r="A125" i="4"/>
  <c r="U124" i="4"/>
  <c r="R124" i="4"/>
  <c r="S124" i="4" s="1"/>
  <c r="M124" i="4"/>
  <c r="K124" i="4"/>
  <c r="L124" i="4" s="1"/>
  <c r="N124" i="4" s="1"/>
  <c r="H124" i="4"/>
  <c r="C124" i="4"/>
  <c r="A124" i="4"/>
  <c r="U123" i="4"/>
  <c r="S123" i="4"/>
  <c r="R123" i="4"/>
  <c r="L123" i="4"/>
  <c r="K123" i="4"/>
  <c r="H123" i="4"/>
  <c r="C123" i="4"/>
  <c r="A123" i="4"/>
  <c r="U122" i="4"/>
  <c r="R122" i="4"/>
  <c r="S122" i="4" s="1"/>
  <c r="K122" i="4"/>
  <c r="L122" i="4" s="1"/>
  <c r="H122" i="4"/>
  <c r="C122" i="4"/>
  <c r="A122" i="4"/>
  <c r="U121" i="4"/>
  <c r="R121" i="4"/>
  <c r="S121" i="4" s="1"/>
  <c r="L121" i="4"/>
  <c r="M121" i="4" s="1"/>
  <c r="K121" i="4"/>
  <c r="H121" i="4"/>
  <c r="C121" i="4"/>
  <c r="A121" i="4"/>
  <c r="U120" i="4"/>
  <c r="R120" i="4"/>
  <c r="S120" i="4" s="1"/>
  <c r="K120" i="4"/>
  <c r="L120" i="4" s="1"/>
  <c r="H120" i="4"/>
  <c r="C120" i="4"/>
  <c r="A120" i="4"/>
  <c r="U119" i="4"/>
  <c r="S119" i="4"/>
  <c r="R119" i="4"/>
  <c r="K119" i="4"/>
  <c r="L119" i="4" s="1"/>
  <c r="H119" i="4"/>
  <c r="C119" i="4"/>
  <c r="A119" i="4"/>
  <c r="U118" i="4"/>
  <c r="R118" i="4"/>
  <c r="S118" i="4" s="1"/>
  <c r="K118" i="4"/>
  <c r="L118" i="4" s="1"/>
  <c r="N118" i="4" s="1"/>
  <c r="H118" i="4"/>
  <c r="C118" i="4"/>
  <c r="A118" i="4"/>
  <c r="U117" i="4"/>
  <c r="R117" i="4"/>
  <c r="S117" i="4" s="1"/>
  <c r="K117" i="4"/>
  <c r="L117" i="4" s="1"/>
  <c r="H117" i="4"/>
  <c r="C117" i="4"/>
  <c r="A117" i="4"/>
  <c r="U116" i="4"/>
  <c r="R116" i="4"/>
  <c r="S116" i="4" s="1"/>
  <c r="K116" i="4"/>
  <c r="L116" i="4" s="1"/>
  <c r="N116" i="4" s="1"/>
  <c r="H116" i="4"/>
  <c r="C116" i="4"/>
  <c r="A116" i="4"/>
  <c r="U115" i="4"/>
  <c r="S115" i="4"/>
  <c r="R115" i="4"/>
  <c r="L115" i="4"/>
  <c r="K115" i="4"/>
  <c r="H115" i="4"/>
  <c r="C115" i="4"/>
  <c r="A115" i="4"/>
  <c r="U114" i="4"/>
  <c r="R114" i="4"/>
  <c r="S114" i="4" s="1"/>
  <c r="K114" i="4"/>
  <c r="L114" i="4" s="1"/>
  <c r="H114" i="4"/>
  <c r="C114" i="4"/>
  <c r="A114" i="4"/>
  <c r="U113" i="4"/>
  <c r="S113" i="4"/>
  <c r="R113" i="4"/>
  <c r="K113" i="4"/>
  <c r="L113" i="4" s="1"/>
  <c r="H113" i="4"/>
  <c r="C113" i="4"/>
  <c r="A113" i="4"/>
  <c r="U112" i="4"/>
  <c r="R112" i="4"/>
  <c r="S112" i="4" s="1"/>
  <c r="K112" i="4"/>
  <c r="L112" i="4" s="1"/>
  <c r="H112" i="4"/>
  <c r="C112" i="4"/>
  <c r="A112" i="4"/>
  <c r="U111" i="4"/>
  <c r="S111" i="4"/>
  <c r="R111" i="4"/>
  <c r="N111" i="4"/>
  <c r="L111" i="4"/>
  <c r="M111" i="4" s="1"/>
  <c r="K111" i="4"/>
  <c r="H111" i="4"/>
  <c r="C111" i="4"/>
  <c r="A111" i="4"/>
  <c r="U110" i="4"/>
  <c r="R110" i="4"/>
  <c r="S110" i="4" s="1"/>
  <c r="K110" i="4"/>
  <c r="L110" i="4" s="1"/>
  <c r="H110" i="4"/>
  <c r="C110" i="4"/>
  <c r="A110" i="4"/>
  <c r="U109" i="4"/>
  <c r="R109" i="4"/>
  <c r="S109" i="4" s="1"/>
  <c r="N109" i="4"/>
  <c r="L109" i="4"/>
  <c r="M109" i="4" s="1"/>
  <c r="K109" i="4"/>
  <c r="H109" i="4"/>
  <c r="C109" i="4"/>
  <c r="A109" i="4"/>
  <c r="U108" i="4"/>
  <c r="R108" i="4"/>
  <c r="S108" i="4" s="1"/>
  <c r="K108" i="4"/>
  <c r="L108" i="4" s="1"/>
  <c r="N108" i="4" s="1"/>
  <c r="H108" i="4"/>
  <c r="C108" i="4"/>
  <c r="A108" i="4"/>
  <c r="U107" i="4"/>
  <c r="S107" i="4"/>
  <c r="R107" i="4"/>
  <c r="L107" i="4"/>
  <c r="K107" i="4"/>
  <c r="H107" i="4"/>
  <c r="C107" i="4"/>
  <c r="A107" i="4"/>
  <c r="U106" i="4"/>
  <c r="R106" i="4"/>
  <c r="S106" i="4" s="1"/>
  <c r="K106" i="4"/>
  <c r="L106" i="4" s="1"/>
  <c r="H106" i="4"/>
  <c r="C106" i="4"/>
  <c r="A106" i="4"/>
  <c r="U105" i="4"/>
  <c r="S105" i="4"/>
  <c r="R105" i="4"/>
  <c r="K105" i="4"/>
  <c r="L105" i="4" s="1"/>
  <c r="H105" i="4"/>
  <c r="C105" i="4"/>
  <c r="A105" i="4"/>
  <c r="U104" i="4"/>
  <c r="R104" i="4"/>
  <c r="S104" i="4" s="1"/>
  <c r="K104" i="4"/>
  <c r="L104" i="4" s="1"/>
  <c r="H104" i="4"/>
  <c r="C104" i="4"/>
  <c r="A104" i="4"/>
  <c r="U103" i="4"/>
  <c r="R103" i="4"/>
  <c r="S103" i="4" s="1"/>
  <c r="K103" i="4"/>
  <c r="L103" i="4" s="1"/>
  <c r="H103" i="4"/>
  <c r="C103" i="4"/>
  <c r="A103" i="4"/>
  <c r="U102" i="4"/>
  <c r="R102" i="4"/>
  <c r="S102" i="4" s="1"/>
  <c r="M102" i="4"/>
  <c r="K102" i="4"/>
  <c r="L102" i="4" s="1"/>
  <c r="N102" i="4" s="1"/>
  <c r="H102" i="4"/>
  <c r="C102" i="4"/>
  <c r="A102" i="4"/>
  <c r="U101" i="4"/>
  <c r="R101" i="4"/>
  <c r="S101" i="4" s="1"/>
  <c r="K101" i="4"/>
  <c r="L101" i="4" s="1"/>
  <c r="H101" i="4"/>
  <c r="C101" i="4"/>
  <c r="A101" i="4"/>
  <c r="U100" i="4"/>
  <c r="R100" i="4"/>
  <c r="S100" i="4" s="1"/>
  <c r="M100" i="4"/>
  <c r="K100" i="4"/>
  <c r="L100" i="4" s="1"/>
  <c r="N100" i="4" s="1"/>
  <c r="H100" i="4"/>
  <c r="C100" i="4"/>
  <c r="A100" i="4"/>
  <c r="U99" i="4"/>
  <c r="R99" i="4"/>
  <c r="S99" i="4" s="1"/>
  <c r="L99" i="4"/>
  <c r="K99" i="4"/>
  <c r="H99" i="4"/>
  <c r="C99" i="4"/>
  <c r="A99" i="4"/>
  <c r="U98" i="4"/>
  <c r="R98" i="4"/>
  <c r="S98" i="4" s="1"/>
  <c r="K98" i="4"/>
  <c r="L98" i="4" s="1"/>
  <c r="N98" i="4" s="1"/>
  <c r="H98" i="4"/>
  <c r="C98" i="4"/>
  <c r="A98" i="4"/>
  <c r="U97" i="4"/>
  <c r="S97" i="4"/>
  <c r="R97" i="4"/>
  <c r="K97" i="4"/>
  <c r="L97" i="4" s="1"/>
  <c r="M97" i="4" s="1"/>
  <c r="H97" i="4"/>
  <c r="C97" i="4"/>
  <c r="A97" i="4"/>
  <c r="U96" i="4"/>
  <c r="R96" i="4"/>
  <c r="S96" i="4" s="1"/>
  <c r="K96" i="4"/>
  <c r="L96" i="4" s="1"/>
  <c r="H96" i="4"/>
  <c r="C96" i="4"/>
  <c r="A96" i="4"/>
  <c r="U95" i="4"/>
  <c r="R95" i="4"/>
  <c r="S95" i="4" s="1"/>
  <c r="L95" i="4"/>
  <c r="M95" i="4" s="1"/>
  <c r="K95" i="4"/>
  <c r="H95" i="4"/>
  <c r="C95" i="4"/>
  <c r="A95" i="4"/>
  <c r="U94" i="4"/>
  <c r="R94" i="4"/>
  <c r="S94" i="4" s="1"/>
  <c r="M94" i="4"/>
  <c r="K94" i="4"/>
  <c r="L94" i="4" s="1"/>
  <c r="N94" i="4" s="1"/>
  <c r="H94" i="4"/>
  <c r="C94" i="4"/>
  <c r="A94" i="4"/>
  <c r="U93" i="4"/>
  <c r="R93" i="4"/>
  <c r="S93" i="4" s="1"/>
  <c r="N93" i="4"/>
  <c r="L93" i="4"/>
  <c r="M93" i="4" s="1"/>
  <c r="K93" i="4"/>
  <c r="H93" i="4"/>
  <c r="C93" i="4"/>
  <c r="A93" i="4"/>
  <c r="U92" i="4"/>
  <c r="R92" i="4"/>
  <c r="S92" i="4" s="1"/>
  <c r="M92" i="4"/>
  <c r="K92" i="4"/>
  <c r="L92" i="4" s="1"/>
  <c r="N92" i="4" s="1"/>
  <c r="H92" i="4"/>
  <c r="C92" i="4"/>
  <c r="A92" i="4"/>
  <c r="U91" i="4"/>
  <c r="R91" i="4"/>
  <c r="S91" i="4" s="1"/>
  <c r="L91" i="4"/>
  <c r="K91" i="4"/>
  <c r="H91" i="4"/>
  <c r="C91" i="4"/>
  <c r="A91" i="4"/>
  <c r="U90" i="4"/>
  <c r="R90" i="4"/>
  <c r="S90" i="4" s="1"/>
  <c r="M90" i="4"/>
  <c r="K90" i="4"/>
  <c r="L90" i="4" s="1"/>
  <c r="N90" i="4" s="1"/>
  <c r="H90" i="4"/>
  <c r="C90" i="4"/>
  <c r="A90" i="4"/>
  <c r="U89" i="4"/>
  <c r="S89" i="4"/>
  <c r="R89" i="4"/>
  <c r="N89" i="4"/>
  <c r="L89" i="4"/>
  <c r="M89" i="4" s="1"/>
  <c r="K89" i="4"/>
  <c r="H89" i="4"/>
  <c r="C89" i="4"/>
  <c r="A89" i="4"/>
  <c r="U88" i="4"/>
  <c r="R88" i="4"/>
  <c r="S88" i="4" s="1"/>
  <c r="K88" i="4"/>
  <c r="L88" i="4" s="1"/>
  <c r="H88" i="4"/>
  <c r="C88" i="4"/>
  <c r="A88" i="4"/>
  <c r="U87" i="4"/>
  <c r="S87" i="4"/>
  <c r="R87" i="4"/>
  <c r="K87" i="4"/>
  <c r="L87" i="4" s="1"/>
  <c r="H87" i="4"/>
  <c r="C87" i="4"/>
  <c r="A87" i="4"/>
  <c r="U86" i="4"/>
  <c r="R86" i="4"/>
  <c r="S86" i="4" s="1"/>
  <c r="K86" i="4"/>
  <c r="L86" i="4" s="1"/>
  <c r="N86" i="4" s="1"/>
  <c r="H86" i="4"/>
  <c r="C86" i="4"/>
  <c r="A86" i="4"/>
  <c r="U85" i="4"/>
  <c r="R85" i="4"/>
  <c r="S85" i="4" s="1"/>
  <c r="K85" i="4"/>
  <c r="L85" i="4" s="1"/>
  <c r="H85" i="4"/>
  <c r="C85" i="4"/>
  <c r="A85" i="4"/>
  <c r="U84" i="4"/>
  <c r="R84" i="4"/>
  <c r="S84" i="4" s="1"/>
  <c r="K84" i="4"/>
  <c r="L84" i="4" s="1"/>
  <c r="H84" i="4"/>
  <c r="C84" i="4"/>
  <c r="A84" i="4"/>
  <c r="U83" i="4"/>
  <c r="S83" i="4"/>
  <c r="R83" i="4"/>
  <c r="L83" i="4"/>
  <c r="K83" i="4"/>
  <c r="H83" i="4"/>
  <c r="C83" i="4"/>
  <c r="A83" i="4"/>
  <c r="U82" i="4"/>
  <c r="R82" i="4"/>
  <c r="S82" i="4" s="1"/>
  <c r="K82" i="4"/>
  <c r="L82" i="4" s="1"/>
  <c r="H82" i="4"/>
  <c r="C82" i="4"/>
  <c r="A82" i="4"/>
  <c r="U81" i="4"/>
  <c r="S81" i="4"/>
  <c r="R81" i="4"/>
  <c r="L81" i="4"/>
  <c r="K81" i="4"/>
  <c r="H81" i="4"/>
  <c r="C81" i="4"/>
  <c r="A81" i="4"/>
  <c r="U80" i="4"/>
  <c r="R80" i="4"/>
  <c r="S80" i="4" s="1"/>
  <c r="K80" i="4"/>
  <c r="L80" i="4" s="1"/>
  <c r="H80" i="4"/>
  <c r="C80" i="4"/>
  <c r="A80" i="4"/>
  <c r="U79" i="4"/>
  <c r="S79" i="4"/>
  <c r="R79" i="4"/>
  <c r="K79" i="4"/>
  <c r="L79" i="4" s="1"/>
  <c r="M79" i="4" s="1"/>
  <c r="H79" i="4"/>
  <c r="C79" i="4"/>
  <c r="A79" i="4"/>
  <c r="U78" i="4"/>
  <c r="R78" i="4"/>
  <c r="S78" i="4" s="1"/>
  <c r="M78" i="4"/>
  <c r="K78" i="4"/>
  <c r="L78" i="4" s="1"/>
  <c r="N78" i="4" s="1"/>
  <c r="H78" i="4"/>
  <c r="C78" i="4"/>
  <c r="A78" i="4"/>
  <c r="U77" i="4"/>
  <c r="S77" i="4"/>
  <c r="R77" i="4"/>
  <c r="L77" i="4"/>
  <c r="K77" i="4"/>
  <c r="H77" i="4"/>
  <c r="C77" i="4"/>
  <c r="A77" i="4"/>
  <c r="U76" i="4"/>
  <c r="R76" i="4"/>
  <c r="S76" i="4" s="1"/>
  <c r="M76" i="4"/>
  <c r="K76" i="4"/>
  <c r="L76" i="4" s="1"/>
  <c r="N76" i="4" s="1"/>
  <c r="H76" i="4"/>
  <c r="C76" i="4"/>
  <c r="A76" i="4"/>
  <c r="U75" i="4"/>
  <c r="S75" i="4"/>
  <c r="R75" i="4"/>
  <c r="L75" i="4"/>
  <c r="M75" i="4" s="1"/>
  <c r="K75" i="4"/>
  <c r="H75" i="4"/>
  <c r="C75" i="4"/>
  <c r="A75" i="4"/>
  <c r="U74" i="4"/>
  <c r="R74" i="4"/>
  <c r="S74" i="4" s="1"/>
  <c r="K74" i="4"/>
  <c r="L74" i="4" s="1"/>
  <c r="N74" i="4" s="1"/>
  <c r="H74" i="4"/>
  <c r="C74" i="4"/>
  <c r="A74" i="4"/>
  <c r="U73" i="4"/>
  <c r="S73" i="4"/>
  <c r="R73" i="4"/>
  <c r="N73" i="4"/>
  <c r="L73" i="4"/>
  <c r="M73" i="4" s="1"/>
  <c r="K73" i="4"/>
  <c r="H73" i="4"/>
  <c r="C73" i="4"/>
  <c r="A73" i="4"/>
  <c r="U72" i="4"/>
  <c r="R72" i="4"/>
  <c r="S72" i="4" s="1"/>
  <c r="M72" i="4"/>
  <c r="K72" i="4"/>
  <c r="L72" i="4" s="1"/>
  <c r="N72" i="4" s="1"/>
  <c r="H72" i="4"/>
  <c r="C72" i="4"/>
  <c r="A72" i="4"/>
  <c r="U71" i="4"/>
  <c r="S71" i="4"/>
  <c r="R71" i="4"/>
  <c r="N71" i="4"/>
  <c r="L71" i="4"/>
  <c r="M71" i="4" s="1"/>
  <c r="K71" i="4"/>
  <c r="H71" i="4"/>
  <c r="C71" i="4"/>
  <c r="A71" i="4"/>
  <c r="U70" i="4"/>
  <c r="R70" i="4"/>
  <c r="S70" i="4" s="1"/>
  <c r="K70" i="4"/>
  <c r="L70" i="4" s="1"/>
  <c r="H70" i="4"/>
  <c r="C70" i="4"/>
  <c r="A70" i="4"/>
  <c r="U69" i="4"/>
  <c r="R69" i="4"/>
  <c r="S69" i="4" s="1"/>
  <c r="K69" i="4"/>
  <c r="L69" i="4" s="1"/>
  <c r="H69" i="4"/>
  <c r="C69" i="4"/>
  <c r="A69" i="4"/>
  <c r="U68" i="4"/>
  <c r="R68" i="4"/>
  <c r="S68" i="4" s="1"/>
  <c r="K68" i="4"/>
  <c r="L68" i="4" s="1"/>
  <c r="H68" i="4"/>
  <c r="C68" i="4"/>
  <c r="A68" i="4"/>
  <c r="U67" i="4"/>
  <c r="S67" i="4"/>
  <c r="R67" i="4"/>
  <c r="K67" i="4"/>
  <c r="L67" i="4" s="1"/>
  <c r="H67" i="4"/>
  <c r="C67" i="4"/>
  <c r="A67" i="4"/>
  <c r="U66" i="4"/>
  <c r="R66" i="4"/>
  <c r="S66" i="4" s="1"/>
  <c r="M66" i="4"/>
  <c r="K66" i="4"/>
  <c r="L66" i="4" s="1"/>
  <c r="N66" i="4" s="1"/>
  <c r="H66" i="4"/>
  <c r="C66" i="4"/>
  <c r="A66" i="4"/>
  <c r="U65" i="4"/>
  <c r="R65" i="4"/>
  <c r="S65" i="4" s="1"/>
  <c r="L65" i="4"/>
  <c r="K65" i="4"/>
  <c r="H65" i="4"/>
  <c r="C65" i="4"/>
  <c r="A65" i="4"/>
  <c r="U64" i="4"/>
  <c r="R64" i="4"/>
  <c r="S64" i="4" s="1"/>
  <c r="L64" i="4"/>
  <c r="M64" i="4" s="1"/>
  <c r="K64" i="4"/>
  <c r="H64" i="4"/>
  <c r="C64" i="4"/>
  <c r="A64" i="4"/>
  <c r="U63" i="4"/>
  <c r="R63" i="4"/>
  <c r="S63" i="4" s="1"/>
  <c r="K63" i="4"/>
  <c r="L63" i="4" s="1"/>
  <c r="M63" i="4" s="1"/>
  <c r="H63" i="4"/>
  <c r="C63" i="4"/>
  <c r="A63" i="4"/>
  <c r="U62" i="4"/>
  <c r="R62" i="4"/>
  <c r="S62" i="4" s="1"/>
  <c r="K62" i="4"/>
  <c r="L62" i="4" s="1"/>
  <c r="H62" i="4"/>
  <c r="C62" i="4"/>
  <c r="A62" i="4"/>
  <c r="U61" i="4"/>
  <c r="R61" i="4"/>
  <c r="S61" i="4" s="1"/>
  <c r="K61" i="4"/>
  <c r="L61" i="4" s="1"/>
  <c r="H61" i="4"/>
  <c r="C61" i="4"/>
  <c r="A61" i="4"/>
  <c r="U60" i="4"/>
  <c r="R60" i="4"/>
  <c r="S60" i="4" s="1"/>
  <c r="K60" i="4"/>
  <c r="L60" i="4" s="1"/>
  <c r="N60" i="4" s="1"/>
  <c r="H60" i="4"/>
  <c r="C60" i="4"/>
  <c r="A60" i="4"/>
  <c r="U59" i="4"/>
  <c r="S59" i="4"/>
  <c r="R59" i="4"/>
  <c r="K59" i="4"/>
  <c r="L59" i="4" s="1"/>
  <c r="H59" i="4"/>
  <c r="C59" i="4"/>
  <c r="A59" i="4"/>
  <c r="U58" i="4"/>
  <c r="R58" i="4"/>
  <c r="S58" i="4" s="1"/>
  <c r="L58" i="4"/>
  <c r="N58" i="4" s="1"/>
  <c r="K58" i="4"/>
  <c r="H58" i="4"/>
  <c r="C58" i="4"/>
  <c r="A58" i="4"/>
  <c r="U57" i="4"/>
  <c r="R57" i="4"/>
  <c r="S57" i="4" s="1"/>
  <c r="K57" i="4"/>
  <c r="L57" i="4" s="1"/>
  <c r="H57" i="4"/>
  <c r="C57" i="4"/>
  <c r="A57" i="4"/>
  <c r="U56" i="4"/>
  <c r="R56" i="4"/>
  <c r="S56" i="4" s="1"/>
  <c r="K56" i="4"/>
  <c r="L56" i="4" s="1"/>
  <c r="H56" i="4"/>
  <c r="C56" i="4"/>
  <c r="A56" i="4"/>
  <c r="U55" i="4"/>
  <c r="R55" i="4"/>
  <c r="S55" i="4" s="1"/>
  <c r="K55" i="4"/>
  <c r="L55" i="4" s="1"/>
  <c r="H55" i="4"/>
  <c r="C55" i="4"/>
  <c r="A55" i="4"/>
  <c r="U54" i="4"/>
  <c r="R54" i="4"/>
  <c r="S54" i="4" s="1"/>
  <c r="K54" i="4"/>
  <c r="L54" i="4" s="1"/>
  <c r="H54" i="4"/>
  <c r="C54" i="4"/>
  <c r="A54" i="4"/>
  <c r="U53" i="4"/>
  <c r="R53" i="4"/>
  <c r="S53" i="4" s="1"/>
  <c r="K53" i="4"/>
  <c r="L53" i="4" s="1"/>
  <c r="H53" i="4"/>
  <c r="C53" i="4"/>
  <c r="A53" i="4"/>
  <c r="U52" i="4"/>
  <c r="R52" i="4"/>
  <c r="S52" i="4" s="1"/>
  <c r="M52" i="4"/>
  <c r="L52" i="4"/>
  <c r="N52" i="4" s="1"/>
  <c r="K52" i="4"/>
  <c r="H52" i="4"/>
  <c r="C52" i="4"/>
  <c r="A52" i="4"/>
  <c r="U51" i="4"/>
  <c r="R51" i="4"/>
  <c r="S51" i="4" s="1"/>
  <c r="K51" i="4"/>
  <c r="L51" i="4" s="1"/>
  <c r="H51" i="4"/>
  <c r="C51" i="4"/>
  <c r="A51" i="4"/>
  <c r="U50" i="4"/>
  <c r="R50" i="4"/>
  <c r="S50" i="4" s="1"/>
  <c r="K50" i="4"/>
  <c r="L50" i="4" s="1"/>
  <c r="N50" i="4" s="1"/>
  <c r="H50" i="4"/>
  <c r="C50" i="4"/>
  <c r="A50" i="4"/>
  <c r="U49" i="4"/>
  <c r="R49" i="4"/>
  <c r="S49" i="4" s="1"/>
  <c r="K49" i="4"/>
  <c r="L49" i="4" s="1"/>
  <c r="H49" i="4"/>
  <c r="C49" i="4"/>
  <c r="A49" i="4"/>
  <c r="U48" i="4"/>
  <c r="R48" i="4"/>
  <c r="S48" i="4" s="1"/>
  <c r="L48" i="4"/>
  <c r="K48" i="4"/>
  <c r="H48" i="4"/>
  <c r="C48" i="4"/>
  <c r="A48" i="4"/>
  <c r="U47" i="4"/>
  <c r="R47" i="4"/>
  <c r="S47" i="4" s="1"/>
  <c r="K47" i="4"/>
  <c r="L47" i="4" s="1"/>
  <c r="M47" i="4" s="1"/>
  <c r="H47" i="4"/>
  <c r="C47" i="4"/>
  <c r="A47" i="4"/>
  <c r="U46" i="4"/>
  <c r="R46" i="4"/>
  <c r="S46" i="4" s="1"/>
  <c r="K46" i="4"/>
  <c r="L46" i="4" s="1"/>
  <c r="H46" i="4"/>
  <c r="C46" i="4"/>
  <c r="A46" i="4"/>
  <c r="U45" i="4"/>
  <c r="R45" i="4"/>
  <c r="S45" i="4" s="1"/>
  <c r="K45" i="4"/>
  <c r="L45" i="4" s="1"/>
  <c r="H45" i="4"/>
  <c r="C45" i="4"/>
  <c r="A45" i="4"/>
  <c r="U44" i="4"/>
  <c r="R44" i="4"/>
  <c r="S44" i="4" s="1"/>
  <c r="K44" i="4"/>
  <c r="L44" i="4" s="1"/>
  <c r="H44" i="4"/>
  <c r="C44" i="4"/>
  <c r="A44" i="4"/>
  <c r="U43" i="4"/>
  <c r="S43" i="4"/>
  <c r="R43" i="4"/>
  <c r="K43" i="4"/>
  <c r="L43" i="4" s="1"/>
  <c r="H43" i="4"/>
  <c r="C43" i="4"/>
  <c r="A43" i="4"/>
  <c r="U42" i="4"/>
  <c r="S42" i="4"/>
  <c r="R42" i="4"/>
  <c r="K42" i="4"/>
  <c r="L42" i="4" s="1"/>
  <c r="H42" i="4"/>
  <c r="C42" i="4"/>
  <c r="A42" i="4"/>
  <c r="U41" i="4"/>
  <c r="R41" i="4"/>
  <c r="S41" i="4" s="1"/>
  <c r="L41" i="4"/>
  <c r="K41" i="4"/>
  <c r="H41" i="4"/>
  <c r="C41" i="4"/>
  <c r="A41" i="4"/>
  <c r="U40" i="4"/>
  <c r="R40" i="4"/>
  <c r="S40" i="4" s="1"/>
  <c r="L40" i="4"/>
  <c r="M40" i="4" s="1"/>
  <c r="K40" i="4"/>
  <c r="H40" i="4"/>
  <c r="C40" i="4"/>
  <c r="A40" i="4"/>
  <c r="U39" i="4"/>
  <c r="R39" i="4"/>
  <c r="S39" i="4" s="1"/>
  <c r="K39" i="4"/>
  <c r="L39" i="4" s="1"/>
  <c r="M39" i="4" s="1"/>
  <c r="H39" i="4"/>
  <c r="C39" i="4"/>
  <c r="A39" i="4"/>
  <c r="U38" i="4"/>
  <c r="R38" i="4"/>
  <c r="S38" i="4" s="1"/>
  <c r="K38" i="4"/>
  <c r="L38" i="4" s="1"/>
  <c r="H38" i="4"/>
  <c r="C38" i="4"/>
  <c r="A38" i="4"/>
  <c r="U37" i="4"/>
  <c r="R37" i="4"/>
  <c r="S37" i="4" s="1"/>
  <c r="K37" i="4"/>
  <c r="L37" i="4" s="1"/>
  <c r="H37" i="4"/>
  <c r="C37" i="4"/>
  <c r="A37" i="4"/>
  <c r="U36" i="4"/>
  <c r="S36" i="4"/>
  <c r="R36" i="4"/>
  <c r="K36" i="4"/>
  <c r="L36" i="4" s="1"/>
  <c r="H36" i="4"/>
  <c r="C36" i="4"/>
  <c r="A36" i="4"/>
  <c r="U35" i="4"/>
  <c r="S35" i="4"/>
  <c r="R35" i="4"/>
  <c r="K35" i="4"/>
  <c r="L35" i="4" s="1"/>
  <c r="H35" i="4"/>
  <c r="C35" i="4"/>
  <c r="A35" i="4"/>
  <c r="U34" i="4"/>
  <c r="R34" i="4"/>
  <c r="S34" i="4" s="1"/>
  <c r="K34" i="4"/>
  <c r="L34" i="4" s="1"/>
  <c r="H34" i="4"/>
  <c r="C34" i="4"/>
  <c r="A34" i="4"/>
  <c r="U33" i="4"/>
  <c r="R33" i="4"/>
  <c r="S33" i="4" s="1"/>
  <c r="L33" i="4"/>
  <c r="K33" i="4"/>
  <c r="H33" i="4"/>
  <c r="C33" i="4"/>
  <c r="A33" i="4"/>
  <c r="U32" i="4"/>
  <c r="R32" i="4"/>
  <c r="S32" i="4" s="1"/>
  <c r="L32" i="4"/>
  <c r="M32" i="4" s="1"/>
  <c r="K32" i="4"/>
  <c r="H32" i="4"/>
  <c r="C32" i="4"/>
  <c r="A32" i="4"/>
  <c r="U31" i="4"/>
  <c r="R31" i="4"/>
  <c r="S31" i="4" s="1"/>
  <c r="K31" i="4"/>
  <c r="L31" i="4" s="1"/>
  <c r="M31" i="4" s="1"/>
  <c r="H31" i="4"/>
  <c r="C31" i="4"/>
  <c r="A31" i="4"/>
  <c r="U30" i="4"/>
  <c r="S30" i="4"/>
  <c r="R30" i="4"/>
  <c r="K30" i="4"/>
  <c r="L30" i="4" s="1"/>
  <c r="H30" i="4"/>
  <c r="C30" i="4"/>
  <c r="A30" i="4"/>
  <c r="U29" i="4"/>
  <c r="R29" i="4"/>
  <c r="S29" i="4" s="1"/>
  <c r="K29" i="4"/>
  <c r="L29" i="4" s="1"/>
  <c r="N29" i="4" s="1"/>
  <c r="H29" i="4"/>
  <c r="C29" i="4"/>
  <c r="A29" i="4"/>
  <c r="U28" i="4"/>
  <c r="R28" i="4"/>
  <c r="S28" i="4" s="1"/>
  <c r="L28" i="4"/>
  <c r="N28" i="4" s="1"/>
  <c r="K28" i="4"/>
  <c r="H28" i="4"/>
  <c r="C28" i="4"/>
  <c r="A28" i="4"/>
  <c r="U27" i="4"/>
  <c r="R27" i="4"/>
  <c r="S27" i="4" s="1"/>
  <c r="K27" i="4"/>
  <c r="L27" i="4" s="1"/>
  <c r="H27" i="4"/>
  <c r="C27" i="4"/>
  <c r="A27" i="4"/>
  <c r="U26" i="4"/>
  <c r="R26" i="4"/>
  <c r="S26" i="4" s="1"/>
  <c r="K26" i="4"/>
  <c r="L26" i="4" s="1"/>
  <c r="H26" i="4"/>
  <c r="C26" i="4"/>
  <c r="A26" i="4"/>
  <c r="U25" i="4"/>
  <c r="R25" i="4"/>
  <c r="S25" i="4" s="1"/>
  <c r="K25" i="4"/>
  <c r="L25" i="4" s="1"/>
  <c r="H25" i="4"/>
  <c r="C25" i="4"/>
  <c r="A25" i="4"/>
  <c r="U24" i="4"/>
  <c r="R24" i="4"/>
  <c r="S24" i="4" s="1"/>
  <c r="K24" i="4"/>
  <c r="L24" i="4" s="1"/>
  <c r="H24" i="4"/>
  <c r="C24" i="4"/>
  <c r="A24" i="4"/>
  <c r="U23" i="4"/>
  <c r="R23" i="4"/>
  <c r="S23" i="4" s="1"/>
  <c r="K23" i="4"/>
  <c r="L23" i="4" s="1"/>
  <c r="M23" i="4" s="1"/>
  <c r="H23" i="4"/>
  <c r="C23" i="4"/>
  <c r="A23" i="4"/>
  <c r="U22" i="4"/>
  <c r="S22" i="4"/>
  <c r="R22" i="4"/>
  <c r="K22" i="4"/>
  <c r="L22" i="4" s="1"/>
  <c r="H22" i="4"/>
  <c r="C22" i="4"/>
  <c r="A22" i="4"/>
  <c r="U21" i="4"/>
  <c r="R21" i="4"/>
  <c r="S21" i="4" s="1"/>
  <c r="M21" i="4"/>
  <c r="K21" i="4"/>
  <c r="L21" i="4" s="1"/>
  <c r="N21" i="4" s="1"/>
  <c r="H21" i="4"/>
  <c r="C21" i="4"/>
  <c r="A21" i="4"/>
  <c r="U20" i="4"/>
  <c r="R20" i="4"/>
  <c r="S20" i="4" s="1"/>
  <c r="K20" i="4"/>
  <c r="L20" i="4" s="1"/>
  <c r="N20" i="4" s="1"/>
  <c r="H20" i="4"/>
  <c r="C20" i="4"/>
  <c r="A20" i="4"/>
  <c r="U19" i="4"/>
  <c r="S19" i="4"/>
  <c r="R19" i="4"/>
  <c r="K19" i="4"/>
  <c r="L19" i="4" s="1"/>
  <c r="H19" i="4"/>
  <c r="C19" i="4"/>
  <c r="A19" i="4"/>
  <c r="U18" i="4"/>
  <c r="R18" i="4"/>
  <c r="S18" i="4" s="1"/>
  <c r="L18" i="4"/>
  <c r="K18" i="4"/>
  <c r="H18" i="4"/>
  <c r="C18" i="4"/>
  <c r="A18" i="4"/>
  <c r="U17" i="4"/>
  <c r="R17" i="4"/>
  <c r="S17" i="4" s="1"/>
  <c r="K17" i="4"/>
  <c r="L17" i="4" s="1"/>
  <c r="H17" i="4"/>
  <c r="C17" i="4"/>
  <c r="A17" i="4"/>
  <c r="U16" i="4"/>
  <c r="R16" i="4"/>
  <c r="S16" i="4" s="1"/>
  <c r="K16" i="4"/>
  <c r="L16" i="4" s="1"/>
  <c r="H16" i="4"/>
  <c r="C16" i="4"/>
  <c r="A16" i="4"/>
  <c r="U15" i="4"/>
  <c r="R15" i="4"/>
  <c r="S15" i="4" s="1"/>
  <c r="K15" i="4"/>
  <c r="L15" i="4" s="1"/>
  <c r="N15" i="4" s="1"/>
  <c r="H15" i="4"/>
  <c r="C15" i="4"/>
  <c r="A15" i="4"/>
  <c r="U14" i="4"/>
  <c r="R14" i="4"/>
  <c r="S14" i="4" s="1"/>
  <c r="K14" i="4"/>
  <c r="L14" i="4" s="1"/>
  <c r="H14" i="4"/>
  <c r="C14" i="4"/>
  <c r="A14" i="4"/>
  <c r="U13" i="4"/>
  <c r="R13" i="4"/>
  <c r="S13" i="4" s="1"/>
  <c r="K13" i="4"/>
  <c r="L13" i="4" s="1"/>
  <c r="N13" i="4" s="1"/>
  <c r="H13" i="4"/>
  <c r="C13" i="4"/>
  <c r="A13" i="4"/>
  <c r="U12" i="4"/>
  <c r="R12" i="4"/>
  <c r="S12" i="4" s="1"/>
  <c r="K12" i="4"/>
  <c r="L12" i="4" s="1"/>
  <c r="H12" i="4"/>
  <c r="C12" i="4"/>
  <c r="A12" i="4"/>
  <c r="U11" i="4"/>
  <c r="S11" i="4"/>
  <c r="R11" i="4"/>
  <c r="K11" i="4"/>
  <c r="L11" i="4" s="1"/>
  <c r="H11" i="4"/>
  <c r="C11" i="4"/>
  <c r="A11" i="4"/>
  <c r="U10" i="4"/>
  <c r="R10" i="4"/>
  <c r="S10" i="4" s="1"/>
  <c r="N10" i="4"/>
  <c r="L10" i="4"/>
  <c r="M10" i="4" s="1"/>
  <c r="K10" i="4"/>
  <c r="H10" i="4"/>
  <c r="C10" i="4"/>
  <c r="A10" i="4"/>
  <c r="U9" i="4"/>
  <c r="R9" i="4"/>
  <c r="S9" i="4" s="1"/>
  <c r="L9" i="4"/>
  <c r="K9" i="4"/>
  <c r="H9" i="4"/>
  <c r="C9" i="4"/>
  <c r="A9" i="4"/>
  <c r="U8" i="4"/>
  <c r="R8" i="4"/>
  <c r="S8" i="4" s="1"/>
  <c r="L8" i="4"/>
  <c r="M8" i="4" s="1"/>
  <c r="K8" i="4"/>
  <c r="H8" i="4"/>
  <c r="C8" i="4"/>
  <c r="A8" i="4"/>
  <c r="U7" i="4"/>
  <c r="R7" i="4"/>
  <c r="S7" i="4" s="1"/>
  <c r="K7" i="4"/>
  <c r="L7" i="4" s="1"/>
  <c r="N7" i="4" s="1"/>
  <c r="H7" i="4"/>
  <c r="C7" i="4"/>
  <c r="A7" i="4"/>
  <c r="U6" i="4"/>
  <c r="R6" i="4"/>
  <c r="S6" i="4" s="1"/>
  <c r="K6" i="4"/>
  <c r="L6" i="4" s="1"/>
  <c r="H6" i="4"/>
  <c r="C6" i="4"/>
  <c r="A6" i="4"/>
  <c r="R5" i="4"/>
  <c r="S5" i="4" s="1"/>
  <c r="M5" i="4"/>
  <c r="L5" i="4"/>
  <c r="N5" i="4" s="1"/>
  <c r="K5" i="4"/>
  <c r="U5" i="4" s="1"/>
  <c r="H5" i="4"/>
  <c r="C5" i="4"/>
  <c r="A5" i="4"/>
  <c r="G38" i="3"/>
  <c r="F38" i="3"/>
  <c r="F37" i="3"/>
  <c r="E37" i="3"/>
  <c r="D37" i="3"/>
  <c r="C37" i="3"/>
  <c r="F36" i="3"/>
  <c r="E36" i="3"/>
  <c r="D36" i="3"/>
  <c r="C36" i="3"/>
  <c r="F35" i="3"/>
  <c r="E35" i="3"/>
  <c r="D35" i="3"/>
  <c r="C35" i="3"/>
  <c r="H33" i="3"/>
  <c r="G33" i="3"/>
  <c r="H32" i="3"/>
  <c r="G32" i="3"/>
  <c r="H31" i="3"/>
  <c r="G31" i="3"/>
  <c r="H30" i="3"/>
  <c r="G30" i="3"/>
  <c r="G36" i="3" s="1"/>
  <c r="H29" i="3"/>
  <c r="G29" i="3"/>
  <c r="H28" i="3"/>
  <c r="G28" i="3"/>
  <c r="H27" i="3"/>
  <c r="G27" i="3"/>
  <c r="H26" i="3"/>
  <c r="G26" i="3"/>
  <c r="H25" i="3"/>
  <c r="G25" i="3"/>
  <c r="H24" i="3"/>
  <c r="G24" i="3"/>
  <c r="H23" i="3"/>
  <c r="G23" i="3"/>
  <c r="H22" i="3"/>
  <c r="G22" i="3"/>
  <c r="B50" i="2" s="1"/>
  <c r="P18" i="3"/>
  <c r="K18" i="3"/>
  <c r="D18" i="3"/>
  <c r="F18" i="3" s="1"/>
  <c r="C18" i="3"/>
  <c r="B18" i="3"/>
  <c r="P17" i="3"/>
  <c r="K17" i="3"/>
  <c r="F17" i="3"/>
  <c r="D17" i="3"/>
  <c r="C17" i="3"/>
  <c r="B17" i="3"/>
  <c r="P16" i="3"/>
  <c r="K16" i="3"/>
  <c r="D16" i="3"/>
  <c r="F16" i="3" s="1"/>
  <c r="C16" i="3"/>
  <c r="B16" i="3"/>
  <c r="P15" i="3"/>
  <c r="K15" i="3"/>
  <c r="D15" i="3"/>
  <c r="F15" i="3" s="1"/>
  <c r="H15" i="3" s="1"/>
  <c r="C15" i="3"/>
  <c r="B15" i="3"/>
  <c r="P14" i="3"/>
  <c r="K14" i="3"/>
  <c r="F14" i="3"/>
  <c r="D14" i="3"/>
  <c r="C14" i="3"/>
  <c r="B14" i="3"/>
  <c r="P13" i="3"/>
  <c r="K13" i="3"/>
  <c r="F13" i="3"/>
  <c r="D13" i="3"/>
  <c r="C13" i="3"/>
  <c r="B13" i="3"/>
  <c r="P12" i="3"/>
  <c r="K12" i="3"/>
  <c r="D12" i="3"/>
  <c r="F12" i="3" s="1"/>
  <c r="C12" i="3"/>
  <c r="B12" i="3"/>
  <c r="P11" i="3"/>
  <c r="K11" i="3"/>
  <c r="F11" i="3"/>
  <c r="D11" i="3"/>
  <c r="C11" i="3"/>
  <c r="B11" i="3"/>
  <c r="P10" i="3"/>
  <c r="K10" i="3"/>
  <c r="D10" i="3"/>
  <c r="F10" i="3" s="1"/>
  <c r="C10" i="3"/>
  <c r="B10" i="3"/>
  <c r="P9" i="3"/>
  <c r="K9" i="3"/>
  <c r="D9" i="3"/>
  <c r="F9" i="3" s="1"/>
  <c r="C9" i="3"/>
  <c r="B9" i="3"/>
  <c r="P8" i="3"/>
  <c r="K8" i="3"/>
  <c r="D8" i="3"/>
  <c r="F8" i="3" s="1"/>
  <c r="C8" i="3"/>
  <c r="B8" i="3"/>
  <c r="P7" i="3"/>
  <c r="K7" i="3"/>
  <c r="F7" i="3"/>
  <c r="D7" i="3"/>
  <c r="C7" i="3"/>
  <c r="B7" i="3"/>
  <c r="K6" i="3"/>
  <c r="F6" i="3"/>
  <c r="D6" i="3"/>
  <c r="C6" i="3"/>
  <c r="B6" i="3"/>
  <c r="B58" i="2"/>
  <c r="B49" i="2"/>
  <c r="D33" i="2"/>
  <c r="C33" i="2"/>
  <c r="O58" i="4" s="1"/>
  <c r="E32" i="2"/>
  <c r="B32" i="2"/>
  <c r="B33" i="2" s="1"/>
  <c r="O100" i="4" s="1"/>
  <c r="B24" i="2"/>
  <c r="E16" i="2"/>
  <c r="B9" i="2"/>
  <c r="A31" i="11" s="1"/>
  <c r="B4" i="2"/>
  <c r="M87" i="4" l="1"/>
  <c r="N87" i="4"/>
  <c r="M24" i="4"/>
  <c r="N24" i="4"/>
  <c r="M119" i="4"/>
  <c r="N119" i="4"/>
  <c r="N44" i="4"/>
  <c r="M44" i="4"/>
  <c r="M105" i="4"/>
  <c r="N105" i="4"/>
  <c r="N12" i="4"/>
  <c r="M12" i="4"/>
  <c r="M16" i="4"/>
  <c r="N16" i="4"/>
  <c r="N36" i="4"/>
  <c r="M36" i="4"/>
  <c r="M56" i="4"/>
  <c r="N56" i="4"/>
  <c r="M81" i="4"/>
  <c r="N81" i="4"/>
  <c r="M117" i="4"/>
  <c r="N117" i="4"/>
  <c r="G35" i="3"/>
  <c r="H7" i="3"/>
  <c r="M7" i="3" s="1"/>
  <c r="N7" i="3" s="1"/>
  <c r="M125" i="4"/>
  <c r="N125" i="4"/>
  <c r="M182" i="4"/>
  <c r="N233" i="4"/>
  <c r="M233" i="4"/>
  <c r="M28" i="4"/>
  <c r="N150" i="4"/>
  <c r="M150" i="4"/>
  <c r="M195" i="4"/>
  <c r="N195" i="4"/>
  <c r="N209" i="4"/>
  <c r="M209" i="4"/>
  <c r="M69" i="4"/>
  <c r="N69" i="4"/>
  <c r="N80" i="4"/>
  <c r="M80" i="4"/>
  <c r="N45" i="4"/>
  <c r="M45" i="4"/>
  <c r="N82" i="4"/>
  <c r="M82" i="4"/>
  <c r="M268" i="4"/>
  <c r="N268" i="4"/>
  <c r="N63" i="4"/>
  <c r="M141" i="4"/>
  <c r="N225" i="4"/>
  <c r="M225" i="4"/>
  <c r="H6" i="3"/>
  <c r="H12" i="3"/>
  <c r="F12" i="5" s="1"/>
  <c r="D12" i="7" s="1"/>
  <c r="N23" i="4"/>
  <c r="M48" i="4"/>
  <c r="N48" i="4"/>
  <c r="M55" i="4"/>
  <c r="N55" i="4"/>
  <c r="N165" i="4"/>
  <c r="M165" i="4"/>
  <c r="N217" i="4"/>
  <c r="M217" i="4"/>
  <c r="N8" i="4"/>
  <c r="M85" i="4"/>
  <c r="N85" i="4"/>
  <c r="M101" i="4"/>
  <c r="N101" i="4"/>
  <c r="N138" i="4"/>
  <c r="M138" i="4"/>
  <c r="M177" i="4"/>
  <c r="N177" i="4"/>
  <c r="N187" i="4"/>
  <c r="M187" i="4"/>
  <c r="M7" i="4"/>
  <c r="N37" i="4"/>
  <c r="M37" i="4"/>
  <c r="N64" i="4"/>
  <c r="B51" i="2"/>
  <c r="N40" i="4"/>
  <c r="N106" i="4"/>
  <c r="M106" i="4"/>
  <c r="M127" i="4"/>
  <c r="N127" i="4"/>
  <c r="M153" i="4"/>
  <c r="N153" i="4"/>
  <c r="N220" i="4"/>
  <c r="M220" i="4"/>
  <c r="J11" i="12"/>
  <c r="K11" i="12"/>
  <c r="M103" i="4"/>
  <c r="N103" i="4"/>
  <c r="T47" i="4"/>
  <c r="T7" i="4"/>
  <c r="C38" i="3"/>
  <c r="M13" i="4"/>
  <c r="M20" i="4"/>
  <c r="N10" i="9" s="1"/>
  <c r="N31" i="4"/>
  <c r="N32" i="4"/>
  <c r="M60" i="4"/>
  <c r="M113" i="4"/>
  <c r="N113" i="4"/>
  <c r="M223" i="4"/>
  <c r="N223" i="4"/>
  <c r="M228" i="4"/>
  <c r="N231" i="4"/>
  <c r="M236" i="4"/>
  <c r="M244" i="4"/>
  <c r="M252" i="4"/>
  <c r="M260" i="4"/>
  <c r="M272" i="4"/>
  <c r="M277" i="4"/>
  <c r="N283" i="4"/>
  <c r="M289" i="4"/>
  <c r="N292" i="4"/>
  <c r="B16" i="5"/>
  <c r="M157" i="4"/>
  <c r="N191" i="4"/>
  <c r="N199" i="4"/>
  <c r="M240" i="4"/>
  <c r="M248" i="4"/>
  <c r="M256" i="4"/>
  <c r="M264" i="4"/>
  <c r="M269" i="4"/>
  <c r="N275" i="4"/>
  <c r="M281" i="4"/>
  <c r="M296" i="4"/>
  <c r="B17" i="5"/>
  <c r="J9" i="12"/>
  <c r="M142" i="4"/>
  <c r="N145" i="4"/>
  <c r="M154" i="4"/>
  <c r="N169" i="4"/>
  <c r="K10" i="12"/>
  <c r="D11" i="12"/>
  <c r="L12" i="3"/>
  <c r="N12" i="3" s="1"/>
  <c r="M12" i="3"/>
  <c r="F15" i="5"/>
  <c r="D15" i="7" s="1"/>
  <c r="D14" i="12"/>
  <c r="L15" i="3"/>
  <c r="M15" i="3"/>
  <c r="L7" i="3"/>
  <c r="F6" i="5"/>
  <c r="D6" i="7" s="1"/>
  <c r="P6" i="3"/>
  <c r="B28" i="8" s="1"/>
  <c r="M6" i="3"/>
  <c r="L6" i="3"/>
  <c r="H14" i="3"/>
  <c r="O13" i="4"/>
  <c r="P13" i="4" s="1"/>
  <c r="H9" i="3"/>
  <c r="H10" i="3"/>
  <c r="E38" i="3"/>
  <c r="M15" i="4"/>
  <c r="T30" i="4"/>
  <c r="T31" i="4"/>
  <c r="N39" i="4"/>
  <c r="N41" i="4"/>
  <c r="M41" i="4"/>
  <c r="O42" i="4"/>
  <c r="O43" i="4"/>
  <c r="N46" i="4"/>
  <c r="M46" i="4"/>
  <c r="N54" i="4"/>
  <c r="M54" i="4"/>
  <c r="N57" i="4"/>
  <c r="M57" i="4"/>
  <c r="M77" i="4"/>
  <c r="N77" i="4"/>
  <c r="N83" i="4"/>
  <c r="M83" i="4"/>
  <c r="O45" i="4"/>
  <c r="P45" i="4" s="1"/>
  <c r="O56" i="4"/>
  <c r="P56" i="4" s="1"/>
  <c r="O32" i="4"/>
  <c r="P32" i="4" s="1"/>
  <c r="O59" i="4"/>
  <c r="O46" i="4"/>
  <c r="P46" i="4" s="1"/>
  <c r="O57" i="4"/>
  <c r="P57" i="4" s="1"/>
  <c r="O33" i="4"/>
  <c r="P33" i="4" s="1"/>
  <c r="O25" i="4"/>
  <c r="P25" i="4" s="1"/>
  <c r="O9" i="4"/>
  <c r="P9" i="4" s="1"/>
  <c r="O60" i="4"/>
  <c r="O44" i="4"/>
  <c r="H8" i="3"/>
  <c r="H11" i="3"/>
  <c r="O5" i="4"/>
  <c r="P5" i="4" s="1"/>
  <c r="N18" i="4"/>
  <c r="M18" i="4"/>
  <c r="N19" i="4"/>
  <c r="M19" i="4"/>
  <c r="N6" i="9" s="1"/>
  <c r="N51" i="4"/>
  <c r="M51" i="4"/>
  <c r="N53" i="4"/>
  <c r="M53" i="4"/>
  <c r="T62" i="4"/>
  <c r="N70" i="4"/>
  <c r="M70" i="4"/>
  <c r="O76" i="4"/>
  <c r="P76" i="4" s="1"/>
  <c r="T80" i="4"/>
  <c r="B5" i="8"/>
  <c r="C6" i="5"/>
  <c r="H16" i="3"/>
  <c r="G37" i="3"/>
  <c r="D38" i="3"/>
  <c r="T14" i="4"/>
  <c r="N17" i="4"/>
  <c r="M17" i="4"/>
  <c r="O18" i="4"/>
  <c r="O19" i="4"/>
  <c r="P19" i="4" s="1"/>
  <c r="N22" i="4"/>
  <c r="M22" i="4"/>
  <c r="T38" i="4"/>
  <c r="T39" i="4"/>
  <c r="N47" i="4"/>
  <c r="N49" i="4"/>
  <c r="M49" i="4"/>
  <c r="O50" i="4"/>
  <c r="O72" i="4"/>
  <c r="E18" i="12"/>
  <c r="E10" i="12"/>
  <c r="E15" i="12"/>
  <c r="E11" i="12"/>
  <c r="E6" i="12"/>
  <c r="E9" i="12"/>
  <c r="E17" i="12"/>
  <c r="A32" i="11"/>
  <c r="E16" i="12"/>
  <c r="E8" i="12"/>
  <c r="E14" i="12"/>
  <c r="E12" i="12"/>
  <c r="E7" i="12"/>
  <c r="E13" i="12"/>
  <c r="T6" i="4"/>
  <c r="N9" i="4"/>
  <c r="M9" i="4"/>
  <c r="T15" i="4"/>
  <c r="N26" i="4"/>
  <c r="M26" i="4"/>
  <c r="N27" i="4"/>
  <c r="M27" i="4"/>
  <c r="T54" i="4"/>
  <c r="N68" i="4"/>
  <c r="M68" i="4"/>
  <c r="N25" i="4"/>
  <c r="M25" i="4"/>
  <c r="O26" i="4"/>
  <c r="P26" i="4" s="1"/>
  <c r="O27" i="4"/>
  <c r="P27" i="4" s="1"/>
  <c r="N30" i="4"/>
  <c r="M30" i="4"/>
  <c r="T46" i="4"/>
  <c r="M67" i="4"/>
  <c r="N67" i="4"/>
  <c r="P93" i="4"/>
  <c r="B14" i="8"/>
  <c r="O127" i="4"/>
  <c r="P127" i="4" s="1"/>
  <c r="O119" i="4"/>
  <c r="P119" i="4" s="1"/>
  <c r="O111" i="4"/>
  <c r="P111" i="4" s="1"/>
  <c r="O103" i="4"/>
  <c r="P103" i="4" s="1"/>
  <c r="O95" i="4"/>
  <c r="P95" i="4" s="1"/>
  <c r="O87" i="4"/>
  <c r="P87" i="4" s="1"/>
  <c r="O79" i="4"/>
  <c r="P79" i="4" s="1"/>
  <c r="O130" i="4"/>
  <c r="P130" i="4" s="1"/>
  <c r="O133" i="4"/>
  <c r="O125" i="4"/>
  <c r="P125" i="4" s="1"/>
  <c r="O117" i="4"/>
  <c r="P117" i="4" s="1"/>
  <c r="O109" i="4"/>
  <c r="O101" i="4"/>
  <c r="P101" i="4" s="1"/>
  <c r="O93" i="4"/>
  <c r="O85" i="4"/>
  <c r="P85" i="4" s="1"/>
  <c r="O77" i="4"/>
  <c r="P77" i="4" s="1"/>
  <c r="O128" i="4"/>
  <c r="O120" i="4"/>
  <c r="P120" i="4" s="1"/>
  <c r="O112" i="4"/>
  <c r="O131" i="4"/>
  <c r="P131" i="4" s="1"/>
  <c r="O123" i="4"/>
  <c r="O115" i="4"/>
  <c r="O107" i="4"/>
  <c r="P107" i="4" s="1"/>
  <c r="O99" i="4"/>
  <c r="P99" i="4" s="1"/>
  <c r="O91" i="4"/>
  <c r="P91" i="4" s="1"/>
  <c r="O83" i="4"/>
  <c r="P83" i="4" s="1"/>
  <c r="O75" i="4"/>
  <c r="P75" i="4" s="1"/>
  <c r="O67" i="4"/>
  <c r="P67" i="4" s="1"/>
  <c r="O126" i="4"/>
  <c r="O118" i="4"/>
  <c r="O110" i="4"/>
  <c r="O102" i="4"/>
  <c r="P102" i="4" s="1"/>
  <c r="O94" i="4"/>
  <c r="O86" i="4"/>
  <c r="P86" i="4" s="1"/>
  <c r="O129" i="4"/>
  <c r="O121" i="4"/>
  <c r="P121" i="4" s="1"/>
  <c r="O113" i="4"/>
  <c r="O105" i="4"/>
  <c r="O97" i="4"/>
  <c r="P97" i="4" s="1"/>
  <c r="O89" i="4"/>
  <c r="O81" i="4"/>
  <c r="P81" i="4" s="1"/>
  <c r="O73" i="4"/>
  <c r="P73" i="4" s="1"/>
  <c r="O108" i="4"/>
  <c r="O98" i="4"/>
  <c r="P98" i="4" s="1"/>
  <c r="O68" i="4"/>
  <c r="P68" i="4" s="1"/>
  <c r="O66" i="4"/>
  <c r="P66" i="4" s="1"/>
  <c r="O53" i="4"/>
  <c r="P53" i="4" s="1"/>
  <c r="O37" i="4"/>
  <c r="P37" i="4" s="1"/>
  <c r="O29" i="4"/>
  <c r="P29" i="4" s="1"/>
  <c r="O21" i="4"/>
  <c r="P21" i="4" s="1"/>
  <c r="O132" i="4"/>
  <c r="P132" i="4" s="1"/>
  <c r="O124" i="4"/>
  <c r="P124" i="4" s="1"/>
  <c r="O122" i="4"/>
  <c r="P122" i="4" s="1"/>
  <c r="O106" i="4"/>
  <c r="P106" i="4" s="1"/>
  <c r="O88" i="4"/>
  <c r="P88" i="4" s="1"/>
  <c r="O80" i="4"/>
  <c r="O71" i="4"/>
  <c r="P71" i="4" s="1"/>
  <c r="O64" i="4"/>
  <c r="P64" i="4" s="1"/>
  <c r="O48" i="4"/>
  <c r="P48" i="4" s="1"/>
  <c r="O40" i="4"/>
  <c r="P40" i="4" s="1"/>
  <c r="O24" i="4"/>
  <c r="P24" i="4" s="1"/>
  <c r="O16" i="4"/>
  <c r="P16" i="4" s="1"/>
  <c r="O8" i="4"/>
  <c r="P8" i="4" s="1"/>
  <c r="O96" i="4"/>
  <c r="O74" i="4"/>
  <c r="P74" i="4" s="1"/>
  <c r="O51" i="4"/>
  <c r="P51" i="4" s="1"/>
  <c r="O104" i="4"/>
  <c r="O70" i="4"/>
  <c r="P70" i="4" s="1"/>
  <c r="O62" i="4"/>
  <c r="P62" i="4" s="1"/>
  <c r="O54" i="4"/>
  <c r="P54" i="4" s="1"/>
  <c r="O38" i="4"/>
  <c r="P38" i="4" s="1"/>
  <c r="O30" i="4"/>
  <c r="P30" i="4" s="1"/>
  <c r="O22" i="4"/>
  <c r="P22" i="4" s="1"/>
  <c r="O14" i="4"/>
  <c r="P14" i="4" s="1"/>
  <c r="O116" i="4"/>
  <c r="O114" i="4"/>
  <c r="P114" i="4" s="1"/>
  <c r="O78" i="4"/>
  <c r="O65" i="4"/>
  <c r="P65" i="4" s="1"/>
  <c r="O49" i="4"/>
  <c r="P49" i="4" s="1"/>
  <c r="O41" i="4"/>
  <c r="P41" i="4" s="1"/>
  <c r="O17" i="4"/>
  <c r="P17" i="4" s="1"/>
  <c r="O84" i="4"/>
  <c r="O52" i="4"/>
  <c r="O36" i="4"/>
  <c r="P36" i="4" s="1"/>
  <c r="O20" i="4"/>
  <c r="P20" i="4" s="1"/>
  <c r="O12" i="4"/>
  <c r="P12" i="4" s="1"/>
  <c r="O92" i="4"/>
  <c r="O82" i="4"/>
  <c r="P82" i="4" s="1"/>
  <c r="O69" i="4"/>
  <c r="P69" i="4" s="1"/>
  <c r="O63" i="4"/>
  <c r="P63" i="4" s="1"/>
  <c r="O55" i="4"/>
  <c r="P55" i="4" s="1"/>
  <c r="O39" i="4"/>
  <c r="P39" i="4" s="1"/>
  <c r="O31" i="4"/>
  <c r="P31" i="4" s="1"/>
  <c r="O23" i="4"/>
  <c r="P23" i="4" s="1"/>
  <c r="O15" i="4"/>
  <c r="P15" i="4" s="1"/>
  <c r="O7" i="4"/>
  <c r="P7" i="4" s="1"/>
  <c r="N11" i="4"/>
  <c r="M11" i="4"/>
  <c r="O18" i="9" s="1"/>
  <c r="O29" i="9"/>
  <c r="O25" i="9"/>
  <c r="O13" i="9"/>
  <c r="O9" i="9"/>
  <c r="N29" i="9"/>
  <c r="N25" i="9"/>
  <c r="N13" i="9"/>
  <c r="N9" i="9"/>
  <c r="O28" i="9"/>
  <c r="O24" i="9"/>
  <c r="O16" i="9"/>
  <c r="O12" i="9"/>
  <c r="O8" i="9"/>
  <c r="N28" i="9"/>
  <c r="N24" i="9"/>
  <c r="N16" i="9"/>
  <c r="N12" i="9"/>
  <c r="N8" i="9"/>
  <c r="O27" i="9"/>
  <c r="O23" i="9"/>
  <c r="O19" i="9"/>
  <c r="O15" i="9"/>
  <c r="O11" i="9"/>
  <c r="N27" i="9"/>
  <c r="N23" i="9"/>
  <c r="N19" i="9"/>
  <c r="N15" i="9"/>
  <c r="N11" i="9"/>
  <c r="O26" i="9"/>
  <c r="O14" i="9"/>
  <c r="N26" i="9"/>
  <c r="N14" i="9"/>
  <c r="A4" i="11"/>
  <c r="A11" i="11"/>
  <c r="T131" i="4"/>
  <c r="T123" i="4"/>
  <c r="T115" i="4"/>
  <c r="T107" i="4"/>
  <c r="T99" i="4"/>
  <c r="T91" i="4"/>
  <c r="T83" i="4"/>
  <c r="T75" i="4"/>
  <c r="T129" i="4"/>
  <c r="T121" i="4"/>
  <c r="T113" i="4"/>
  <c r="T105" i="4"/>
  <c r="T97" i="4"/>
  <c r="T89" i="4"/>
  <c r="T81" i="4"/>
  <c r="T73" i="4"/>
  <c r="T132" i="4"/>
  <c r="T124" i="4"/>
  <c r="T116" i="4"/>
  <c r="T127" i="4"/>
  <c r="T119" i="4"/>
  <c r="T111" i="4"/>
  <c r="T103" i="4"/>
  <c r="T95" i="4"/>
  <c r="T87" i="4"/>
  <c r="T79" i="4"/>
  <c r="T71" i="4"/>
  <c r="T130" i="4"/>
  <c r="T122" i="4"/>
  <c r="T114" i="4"/>
  <c r="T106" i="4"/>
  <c r="T98" i="4"/>
  <c r="T90" i="4"/>
  <c r="T82" i="4"/>
  <c r="T133" i="4"/>
  <c r="T125" i="4"/>
  <c r="T117" i="4"/>
  <c r="T109" i="4"/>
  <c r="T101" i="4"/>
  <c r="T93" i="4"/>
  <c r="T85" i="4"/>
  <c r="T77" i="4"/>
  <c r="T69" i="4"/>
  <c r="T120" i="4"/>
  <c r="T96" i="4"/>
  <c r="T74" i="4"/>
  <c r="T65" i="4"/>
  <c r="T57" i="4"/>
  <c r="T49" i="4"/>
  <c r="T41" i="4"/>
  <c r="T33" i="4"/>
  <c r="T25" i="4"/>
  <c r="T17" i="4"/>
  <c r="T118" i="4"/>
  <c r="T104" i="4"/>
  <c r="T86" i="4"/>
  <c r="T70" i="4"/>
  <c r="T67" i="4"/>
  <c r="T60" i="4"/>
  <c r="T52" i="4"/>
  <c r="T44" i="4"/>
  <c r="T36" i="4"/>
  <c r="T28" i="4"/>
  <c r="T20" i="4"/>
  <c r="T12" i="4"/>
  <c r="T94" i="4"/>
  <c r="T78" i="4"/>
  <c r="T63" i="4"/>
  <c r="T55" i="4"/>
  <c r="T112" i="4"/>
  <c r="T102" i="4"/>
  <c r="T84" i="4"/>
  <c r="T58" i="4"/>
  <c r="T50" i="4"/>
  <c r="T42" i="4"/>
  <c r="T34" i="4"/>
  <c r="T26" i="4"/>
  <c r="T18" i="4"/>
  <c r="T10" i="4"/>
  <c r="T128" i="4"/>
  <c r="T110" i="4"/>
  <c r="T92" i="4"/>
  <c r="T72" i="4"/>
  <c r="T66" i="4"/>
  <c r="T61" i="4"/>
  <c r="T53" i="4"/>
  <c r="T45" i="4"/>
  <c r="T37" i="4"/>
  <c r="T29" i="4"/>
  <c r="T21" i="4"/>
  <c r="T13" i="4"/>
  <c r="T5" i="4"/>
  <c r="T100" i="4"/>
  <c r="T76" i="4"/>
  <c r="T64" i="4"/>
  <c r="T56" i="4"/>
  <c r="T48" i="4"/>
  <c r="T40" i="4"/>
  <c r="T32" i="4"/>
  <c r="T24" i="4"/>
  <c r="T16" i="4"/>
  <c r="T8" i="4"/>
  <c r="T126" i="4"/>
  <c r="T108" i="4"/>
  <c r="T68" i="4"/>
  <c r="T59" i="4"/>
  <c r="T51" i="4"/>
  <c r="T43" i="4"/>
  <c r="T35" i="4"/>
  <c r="T27" i="4"/>
  <c r="T19" i="4"/>
  <c r="T11" i="4"/>
  <c r="O61" i="4"/>
  <c r="P61" i="4" s="1"/>
  <c r="O6" i="4"/>
  <c r="P6" i="4" s="1"/>
  <c r="O28" i="4"/>
  <c r="P28" i="4" s="1"/>
  <c r="O47" i="4"/>
  <c r="P47" i="4" s="1"/>
  <c r="T9" i="4"/>
  <c r="O10" i="4"/>
  <c r="P10" i="4" s="1"/>
  <c r="O11" i="4"/>
  <c r="P11" i="4" s="1"/>
  <c r="M29" i="4"/>
  <c r="N34" i="4"/>
  <c r="M34" i="4"/>
  <c r="N35" i="4"/>
  <c r="M35" i="4"/>
  <c r="N7" i="9" s="1"/>
  <c r="P42" i="4"/>
  <c r="P58" i="4"/>
  <c r="P60" i="4"/>
  <c r="P109" i="4"/>
  <c r="H17" i="3"/>
  <c r="H18" i="3"/>
  <c r="B26" i="8"/>
  <c r="N14" i="4"/>
  <c r="M14" i="4"/>
  <c r="O5" i="9" s="1"/>
  <c r="T22" i="4"/>
  <c r="T23" i="4"/>
  <c r="N33" i="4"/>
  <c r="M33" i="4"/>
  <c r="O34" i="4"/>
  <c r="P34" i="4" s="1"/>
  <c r="O35" i="4"/>
  <c r="P35" i="4" s="1"/>
  <c r="N38" i="4"/>
  <c r="M38" i="4"/>
  <c r="P43" i="4"/>
  <c r="P44" i="4"/>
  <c r="P59" i="4"/>
  <c r="N62" i="4"/>
  <c r="M62" i="4"/>
  <c r="N65" i="4"/>
  <c r="M65" i="4"/>
  <c r="P78" i="4"/>
  <c r="H13" i="3"/>
  <c r="N6" i="4"/>
  <c r="M6" i="4"/>
  <c r="N22" i="9" s="1"/>
  <c r="P18" i="4"/>
  <c r="N42" i="4"/>
  <c r="B24" i="8" s="1"/>
  <c r="M42" i="4"/>
  <c r="N43" i="4"/>
  <c r="M43" i="4"/>
  <c r="P50" i="4"/>
  <c r="P52" i="4"/>
  <c r="N59" i="4"/>
  <c r="M59" i="4"/>
  <c r="N61" i="4"/>
  <c r="K11" i="7" s="1"/>
  <c r="M61" i="4"/>
  <c r="N84" i="4"/>
  <c r="M84" i="4"/>
  <c r="T88" i="4"/>
  <c r="O90" i="4"/>
  <c r="P90" i="4" s="1"/>
  <c r="N110" i="4"/>
  <c r="M110" i="4"/>
  <c r="P113" i="4"/>
  <c r="P115" i="4"/>
  <c r="P116" i="4"/>
  <c r="N128" i="4"/>
  <c r="M128" i="4"/>
  <c r="N130" i="4"/>
  <c r="M130" i="4"/>
  <c r="P94" i="4"/>
  <c r="P112" i="4"/>
  <c r="N129" i="4"/>
  <c r="N139" i="4"/>
  <c r="M139" i="4"/>
  <c r="P104" i="4"/>
  <c r="P105" i="4"/>
  <c r="N112" i="4"/>
  <c r="M112" i="4"/>
  <c r="N114" i="4"/>
  <c r="M114" i="4"/>
  <c r="N115" i="4"/>
  <c r="M115" i="4"/>
  <c r="M116" i="4"/>
  <c r="P118" i="4"/>
  <c r="N163" i="4"/>
  <c r="M163" i="4"/>
  <c r="N184" i="4"/>
  <c r="M184" i="4"/>
  <c r="P80" i="4"/>
  <c r="P96" i="4"/>
  <c r="N104" i="4"/>
  <c r="K16" i="7" s="1"/>
  <c r="M104" i="4"/>
  <c r="P123" i="4"/>
  <c r="P133" i="4"/>
  <c r="N192" i="4"/>
  <c r="M192" i="4"/>
  <c r="M74" i="4"/>
  <c r="N79" i="4"/>
  <c r="M86" i="4"/>
  <c r="P89" i="4"/>
  <c r="N95" i="4"/>
  <c r="N96" i="4"/>
  <c r="M96" i="4"/>
  <c r="P108" i="4"/>
  <c r="M118" i="4"/>
  <c r="N133" i="4"/>
  <c r="M133" i="4"/>
  <c r="N155" i="4"/>
  <c r="M155" i="4"/>
  <c r="P72" i="4"/>
  <c r="N88" i="4"/>
  <c r="M88" i="4"/>
  <c r="P100" i="4"/>
  <c r="N107" i="4"/>
  <c r="M107" i="4"/>
  <c r="N120" i="4"/>
  <c r="M120" i="4"/>
  <c r="N122" i="4"/>
  <c r="M122" i="4"/>
  <c r="N123" i="4"/>
  <c r="M123" i="4"/>
  <c r="P126" i="4"/>
  <c r="N132" i="4"/>
  <c r="M132" i="4"/>
  <c r="N179" i="4"/>
  <c r="M179" i="4"/>
  <c r="N186" i="4"/>
  <c r="M186" i="4"/>
  <c r="M50" i="4"/>
  <c r="M58" i="4"/>
  <c r="N75" i="4"/>
  <c r="P92" i="4"/>
  <c r="N97" i="4"/>
  <c r="M98" i="4"/>
  <c r="N99" i="4"/>
  <c r="M99" i="4"/>
  <c r="M108" i="4"/>
  <c r="N121" i="4"/>
  <c r="N194" i="4"/>
  <c r="M194" i="4"/>
  <c r="P84" i="4"/>
  <c r="N91" i="4"/>
  <c r="M91" i="4"/>
  <c r="P110" i="4"/>
  <c r="P128" i="4"/>
  <c r="P129" i="4"/>
  <c r="N131" i="4"/>
  <c r="M131" i="4"/>
  <c r="D12" i="5" s="1"/>
  <c r="N147" i="4"/>
  <c r="M147" i="4"/>
  <c r="N171" i="4"/>
  <c r="M171" i="4"/>
  <c r="N190" i="4"/>
  <c r="M190" i="4"/>
  <c r="N286" i="4"/>
  <c r="M286" i="4"/>
  <c r="A6" i="6"/>
  <c r="A11" i="6"/>
  <c r="A12" i="7"/>
  <c r="K12" i="7" s="1"/>
  <c r="A12" i="12"/>
  <c r="B12" i="5"/>
  <c r="M136" i="4"/>
  <c r="M144" i="4"/>
  <c r="M152" i="4"/>
  <c r="M160" i="4"/>
  <c r="M168" i="4"/>
  <c r="M176" i="4"/>
  <c r="M197" i="4"/>
  <c r="N278" i="4"/>
  <c r="M278" i="4"/>
  <c r="N202" i="4"/>
  <c r="M202" i="4"/>
  <c r="N218" i="4"/>
  <c r="M218" i="4"/>
  <c r="N226" i="4"/>
  <c r="M226" i="4"/>
  <c r="N234" i="4"/>
  <c r="M234" i="4"/>
  <c r="N210" i="4"/>
  <c r="M210" i="4"/>
  <c r="N270" i="4"/>
  <c r="M270" i="4"/>
  <c r="M135" i="4"/>
  <c r="M143" i="4"/>
  <c r="M151" i="4"/>
  <c r="M159" i="4"/>
  <c r="M167" i="4"/>
  <c r="M175" i="4"/>
  <c r="N183" i="4"/>
  <c r="M185" i="4"/>
  <c r="M189" i="4"/>
  <c r="M193" i="4"/>
  <c r="N294" i="4"/>
  <c r="M294" i="4"/>
  <c r="A13" i="6"/>
  <c r="M140" i="4"/>
  <c r="M148" i="4"/>
  <c r="M156" i="4"/>
  <c r="M164" i="4"/>
  <c r="M172" i="4"/>
  <c r="M180" i="4"/>
  <c r="M198" i="4"/>
  <c r="N222" i="4"/>
  <c r="M222" i="4"/>
  <c r="N230" i="4"/>
  <c r="M230" i="4"/>
  <c r="N238" i="4"/>
  <c r="M238" i="4"/>
  <c r="N246" i="4"/>
  <c r="M246" i="4"/>
  <c r="N254" i="4"/>
  <c r="M254" i="4"/>
  <c r="N262" i="4"/>
  <c r="M262" i="4"/>
  <c r="B6" i="7"/>
  <c r="B6" i="12"/>
  <c r="B8" i="7"/>
  <c r="B8" i="12"/>
  <c r="J8" i="5"/>
  <c r="A8" i="6" s="1"/>
  <c r="N206" i="4"/>
  <c r="M206" i="4"/>
  <c r="N214" i="4"/>
  <c r="M214" i="4"/>
  <c r="M291" i="4"/>
  <c r="M299" i="4"/>
  <c r="A15" i="7"/>
  <c r="A15" i="12"/>
  <c r="B15" i="5"/>
  <c r="B11" i="12"/>
  <c r="B11" i="7"/>
  <c r="A13" i="7"/>
  <c r="A13" i="12"/>
  <c r="A7" i="7"/>
  <c r="A7" i="12"/>
  <c r="B13" i="12"/>
  <c r="B13" i="7"/>
  <c r="B16" i="12"/>
  <c r="J16" i="5"/>
  <c r="A16" i="6" s="1"/>
  <c r="B16" i="7"/>
  <c r="M242" i="4"/>
  <c r="M250" i="4"/>
  <c r="M258" i="4"/>
  <c r="M266" i="4"/>
  <c r="M274" i="4"/>
  <c r="M282" i="4"/>
  <c r="M290" i="4"/>
  <c r="M298" i="4"/>
  <c r="B7" i="5"/>
  <c r="A10" i="7"/>
  <c r="K10" i="7" s="1"/>
  <c r="A10" i="12"/>
  <c r="B10" i="5"/>
  <c r="K17" i="7"/>
  <c r="A18" i="7"/>
  <c r="A18" i="12"/>
  <c r="B18" i="5"/>
  <c r="M239" i="4"/>
  <c r="M247" i="4"/>
  <c r="M255" i="4"/>
  <c r="M263" i="4"/>
  <c r="M271" i="4"/>
  <c r="M279" i="4"/>
  <c r="M287" i="4"/>
  <c r="M295" i="4"/>
  <c r="B17" i="7"/>
  <c r="J17" i="5"/>
  <c r="A17" i="6" s="1"/>
  <c r="A6" i="12"/>
  <c r="A6" i="7"/>
  <c r="K6" i="7" s="1"/>
  <c r="L6" i="7" s="1"/>
  <c r="A8" i="7"/>
  <c r="K8" i="7" s="1"/>
  <c r="A8" i="12"/>
  <c r="A9" i="7"/>
  <c r="B9" i="5"/>
  <c r="B17" i="12"/>
  <c r="A11" i="12"/>
  <c r="J12" i="12"/>
  <c r="A14" i="12"/>
  <c r="A14" i="7"/>
  <c r="B14" i="7"/>
  <c r="J7" i="12"/>
  <c r="J13" i="12"/>
  <c r="J17" i="12"/>
  <c r="J18" i="12"/>
  <c r="J14" i="5"/>
  <c r="A14" i="6" s="1"/>
  <c r="J15" i="12"/>
  <c r="J8" i="12"/>
  <c r="A17" i="12"/>
  <c r="J16" i="12"/>
  <c r="A27" i="11" l="1"/>
  <c r="N18" i="9"/>
  <c r="F7" i="5"/>
  <c r="D7" i="7" s="1"/>
  <c r="D11" i="5"/>
  <c r="A28" i="11"/>
  <c r="D6" i="12"/>
  <c r="B22" i="8"/>
  <c r="B13" i="8"/>
  <c r="O10" i="9"/>
  <c r="B6" i="8"/>
  <c r="B20" i="8"/>
  <c r="E13" i="5"/>
  <c r="B23" i="8"/>
  <c r="C13" i="12"/>
  <c r="C13" i="7"/>
  <c r="B9" i="7"/>
  <c r="J9" i="5"/>
  <c r="A9" i="6" s="1"/>
  <c r="B9" i="12"/>
  <c r="E10" i="5"/>
  <c r="B15" i="7"/>
  <c r="J15" i="5"/>
  <c r="A15" i="6" s="1"/>
  <c r="B15" i="12"/>
  <c r="D7" i="5"/>
  <c r="D18" i="5"/>
  <c r="B15" i="8"/>
  <c r="A33" i="11"/>
  <c r="A18" i="11"/>
  <c r="B21" i="8"/>
  <c r="G12" i="12"/>
  <c r="F12" i="12"/>
  <c r="G11" i="12"/>
  <c r="F11" i="12"/>
  <c r="D14" i="5"/>
  <c r="E16" i="5"/>
  <c r="O6" i="5"/>
  <c r="O7" i="5" s="1"/>
  <c r="Q6" i="5"/>
  <c r="Q7" i="5" s="1"/>
  <c r="B7" i="12"/>
  <c r="B7" i="7"/>
  <c r="J7" i="5"/>
  <c r="A7" i="6" s="1"/>
  <c r="E15" i="5"/>
  <c r="D11" i="6"/>
  <c r="F11" i="6"/>
  <c r="F18" i="5"/>
  <c r="D18" i="7" s="1"/>
  <c r="D18" i="12"/>
  <c r="D17" i="12"/>
  <c r="M18" i="3"/>
  <c r="N18" i="3" s="1"/>
  <c r="L18" i="3"/>
  <c r="N5" i="9"/>
  <c r="O17" i="9"/>
  <c r="G14" i="12"/>
  <c r="F14" i="12"/>
  <c r="F15" i="12"/>
  <c r="G15" i="12"/>
  <c r="D10" i="12"/>
  <c r="F11" i="5"/>
  <c r="D11" i="7" s="1"/>
  <c r="N11" i="3"/>
  <c r="L11" i="3"/>
  <c r="M11" i="3"/>
  <c r="D6" i="5"/>
  <c r="D17" i="5"/>
  <c r="E11" i="5"/>
  <c r="K7" i="7"/>
  <c r="L7" i="7" s="1"/>
  <c r="O6" i="9"/>
  <c r="D10" i="5"/>
  <c r="K18" i="7"/>
  <c r="D13" i="5"/>
  <c r="K15" i="7"/>
  <c r="D8" i="6"/>
  <c r="F8" i="6"/>
  <c r="F13" i="6"/>
  <c r="D13" i="6"/>
  <c r="I6" i="6"/>
  <c r="E6" i="6"/>
  <c r="D6" i="6"/>
  <c r="B6" i="6"/>
  <c r="H6" i="6"/>
  <c r="G6" i="6"/>
  <c r="F6" i="6"/>
  <c r="C6" i="6"/>
  <c r="F17" i="5"/>
  <c r="D17" i="7" s="1"/>
  <c r="D16" i="12"/>
  <c r="L17" i="3"/>
  <c r="M17" i="3"/>
  <c r="O21" i="9"/>
  <c r="G8" i="12"/>
  <c r="F8" i="12"/>
  <c r="G10" i="12"/>
  <c r="F10" i="12"/>
  <c r="D7" i="12"/>
  <c r="F8" i="5"/>
  <c r="D8" i="7" s="1"/>
  <c r="L8" i="3"/>
  <c r="M8" i="3"/>
  <c r="R7" i="5" s="1"/>
  <c r="C7" i="11" s="1"/>
  <c r="E8" i="5"/>
  <c r="E17" i="5"/>
  <c r="N6" i="3"/>
  <c r="S6" i="5" s="1"/>
  <c r="S7" i="5" s="1"/>
  <c r="G16" i="12"/>
  <c r="F16" i="12"/>
  <c r="G18" i="12"/>
  <c r="F18" i="12"/>
  <c r="M6" i="7"/>
  <c r="E9" i="5"/>
  <c r="K13" i="7"/>
  <c r="O7" i="9"/>
  <c r="N17" i="9"/>
  <c r="A26" i="11"/>
  <c r="B27" i="8"/>
  <c r="A29" i="11"/>
  <c r="E14" i="5"/>
  <c r="F10" i="5"/>
  <c r="D10" i="7" s="1"/>
  <c r="D9" i="12"/>
  <c r="M10" i="3"/>
  <c r="L10" i="3"/>
  <c r="F16" i="6"/>
  <c r="D16" i="6"/>
  <c r="K14" i="7"/>
  <c r="K9" i="7"/>
  <c r="E18" i="5"/>
  <c r="B12" i="12"/>
  <c r="B12" i="7"/>
  <c r="J12" i="5"/>
  <c r="A12" i="6" s="1"/>
  <c r="F13" i="5"/>
  <c r="D13" i="7" s="1"/>
  <c r="D12" i="12"/>
  <c r="L13" i="3"/>
  <c r="M13" i="3"/>
  <c r="O22" i="9"/>
  <c r="D16" i="5"/>
  <c r="D8" i="5"/>
  <c r="F17" i="6"/>
  <c r="D17" i="6"/>
  <c r="B10" i="7"/>
  <c r="B10" i="12"/>
  <c r="J10" i="5"/>
  <c r="A10" i="6" s="1"/>
  <c r="E12" i="5"/>
  <c r="N20" i="9"/>
  <c r="O20" i="9"/>
  <c r="N21" i="9"/>
  <c r="G17" i="12"/>
  <c r="F17" i="12"/>
  <c r="E6" i="5"/>
  <c r="D8" i="12"/>
  <c r="F9" i="5"/>
  <c r="D9" i="7" s="1"/>
  <c r="L9" i="3"/>
  <c r="N9" i="3"/>
  <c r="M9" i="3"/>
  <c r="B52" i="2"/>
  <c r="E52" i="2" s="1"/>
  <c r="F14" i="6"/>
  <c r="D14" i="6"/>
  <c r="G13" i="12"/>
  <c r="F13" i="12"/>
  <c r="G9" i="12"/>
  <c r="F9" i="12"/>
  <c r="E7" i="5"/>
  <c r="D15" i="5"/>
  <c r="R6" i="5"/>
  <c r="N15" i="3"/>
  <c r="B18" i="7"/>
  <c r="B18" i="12"/>
  <c r="J18" i="5"/>
  <c r="A18" i="6" s="1"/>
  <c r="F7" i="12"/>
  <c r="G7" i="12"/>
  <c r="F6" i="12"/>
  <c r="G6" i="12"/>
  <c r="D15" i="12"/>
  <c r="F16" i="5"/>
  <c r="D16" i="7" s="1"/>
  <c r="L16" i="3"/>
  <c r="M16" i="3"/>
  <c r="D9" i="5"/>
  <c r="D13" i="12"/>
  <c r="F14" i="5"/>
  <c r="D14" i="7" s="1"/>
  <c r="M14" i="3"/>
  <c r="L14" i="3"/>
  <c r="P6" i="5"/>
  <c r="N13" i="3" l="1"/>
  <c r="N16" i="3"/>
  <c r="C7" i="12"/>
  <c r="C7" i="7"/>
  <c r="C9" i="12"/>
  <c r="C9" i="7"/>
  <c r="C14" i="12"/>
  <c r="C14" i="7"/>
  <c r="M7" i="7"/>
  <c r="L8" i="7" s="1"/>
  <c r="C17" i="12"/>
  <c r="C17" i="7"/>
  <c r="C15" i="7"/>
  <c r="C15" i="12"/>
  <c r="C6" i="7"/>
  <c r="C6" i="12"/>
  <c r="B8" i="11"/>
  <c r="C16" i="12"/>
  <c r="C16" i="7"/>
  <c r="C10" i="7"/>
  <c r="C10" i="12"/>
  <c r="C8" i="12"/>
  <c r="C8" i="7"/>
  <c r="C11" i="12"/>
  <c r="C11" i="7"/>
  <c r="H7" i="6"/>
  <c r="E7" i="6"/>
  <c r="D7" i="6"/>
  <c r="B7" i="6"/>
  <c r="I7" i="6"/>
  <c r="C7" i="6"/>
  <c r="G7" i="6"/>
  <c r="F7" i="6"/>
  <c r="G6" i="5"/>
  <c r="F9" i="6"/>
  <c r="D9" i="6"/>
  <c r="P7" i="5"/>
  <c r="B19" i="8"/>
  <c r="F18" i="6"/>
  <c r="D18" i="6"/>
  <c r="N8" i="3"/>
  <c r="T7" i="5" s="1"/>
  <c r="C8" i="11" s="1"/>
  <c r="Q8" i="5"/>
  <c r="B7" i="11"/>
  <c r="D7" i="11" s="1"/>
  <c r="E7" i="11" s="1"/>
  <c r="F12" i="6"/>
  <c r="D12" i="6"/>
  <c r="N10" i="3"/>
  <c r="N14" i="3"/>
  <c r="C12" i="12"/>
  <c r="C12" i="7"/>
  <c r="C18" i="12"/>
  <c r="C18" i="7"/>
  <c r="T6" i="5"/>
  <c r="U6" i="5" s="1"/>
  <c r="F15" i="6"/>
  <c r="D15" i="6"/>
  <c r="F10" i="6"/>
  <c r="D10" i="6"/>
  <c r="N17" i="3"/>
  <c r="O8" i="5"/>
  <c r="P8" i="5" s="1"/>
  <c r="B6" i="11"/>
  <c r="C13" i="11" l="1"/>
  <c r="M8" i="7"/>
  <c r="L9" i="7" s="1"/>
  <c r="U7" i="5"/>
  <c r="C6" i="11"/>
  <c r="D8" i="11"/>
  <c r="E8" i="11" s="1"/>
  <c r="S8" i="5"/>
  <c r="Q9" i="5"/>
  <c r="B14" i="11"/>
  <c r="R8" i="5"/>
  <c r="C14" i="11" s="1"/>
  <c r="D6" i="11"/>
  <c r="E6" i="11" s="1"/>
  <c r="I6" i="5"/>
  <c r="C7" i="5"/>
  <c r="G7" i="5" s="1"/>
  <c r="I6" i="7"/>
  <c r="G6" i="7"/>
  <c r="E6" i="7"/>
  <c r="O9" i="5"/>
  <c r="B13" i="11"/>
  <c r="D13" i="11" s="1"/>
  <c r="E13" i="11" s="1"/>
  <c r="M9" i="7" l="1"/>
  <c r="L10" i="7" s="1"/>
  <c r="F6" i="7"/>
  <c r="E7" i="7" s="1"/>
  <c r="C8" i="5"/>
  <c r="G8" i="5" s="1"/>
  <c r="K6" i="5"/>
  <c r="L6" i="5" s="1"/>
  <c r="O10" i="5"/>
  <c r="B20" i="11"/>
  <c r="P9" i="5"/>
  <c r="D14" i="11"/>
  <c r="E14" i="11" s="1"/>
  <c r="Q10" i="5"/>
  <c r="B21" i="11"/>
  <c r="R9" i="5"/>
  <c r="C21" i="11" s="1"/>
  <c r="H6" i="7"/>
  <c r="P6" i="7"/>
  <c r="O6" i="7"/>
  <c r="G7" i="7"/>
  <c r="N6" i="7"/>
  <c r="S9" i="5"/>
  <c r="B15" i="11"/>
  <c r="T8" i="5"/>
  <c r="C15" i="11" s="1"/>
  <c r="J6" i="7"/>
  <c r="I7" i="7" s="1"/>
  <c r="F7" i="7" l="1"/>
  <c r="E8" i="7" s="1"/>
  <c r="J7" i="7"/>
  <c r="I8" i="7" s="1"/>
  <c r="M10" i="7"/>
  <c r="L11" i="7" s="1"/>
  <c r="Q11" i="5"/>
  <c r="R10" i="5"/>
  <c r="C9" i="5"/>
  <c r="G9" i="5" s="1"/>
  <c r="H6" i="12"/>
  <c r="M6" i="5"/>
  <c r="N6" i="5" s="1"/>
  <c r="S10" i="5"/>
  <c r="B22" i="11"/>
  <c r="T9" i="5"/>
  <c r="C22" i="11" s="1"/>
  <c r="O7" i="7"/>
  <c r="N7" i="7"/>
  <c r="H7" i="7"/>
  <c r="G8" i="7" s="1"/>
  <c r="A30" i="11" s="1"/>
  <c r="P7" i="7"/>
  <c r="C20" i="11"/>
  <c r="D20" i="11" s="1"/>
  <c r="E20" i="11" s="1"/>
  <c r="D15" i="11"/>
  <c r="E15" i="11" s="1"/>
  <c r="D21" i="11"/>
  <c r="E21" i="11" s="1"/>
  <c r="U8" i="5"/>
  <c r="O11" i="5"/>
  <c r="P10" i="5"/>
  <c r="H7" i="5"/>
  <c r="I7" i="5" s="1"/>
  <c r="F8" i="7" l="1"/>
  <c r="E9" i="7" s="1"/>
  <c r="J8" i="7"/>
  <c r="I9" i="7" s="1"/>
  <c r="M11" i="7"/>
  <c r="L12" i="7" s="1"/>
  <c r="O12" i="5"/>
  <c r="P11" i="5"/>
  <c r="Q12" i="5"/>
  <c r="R11" i="5"/>
  <c r="U9" i="5"/>
  <c r="S11" i="5"/>
  <c r="T10" i="5"/>
  <c r="C10" i="5"/>
  <c r="G10" i="5" s="1"/>
  <c r="K7" i="5"/>
  <c r="B9" i="11"/>
  <c r="D22" i="11"/>
  <c r="E22" i="11" s="1"/>
  <c r="U10" i="5"/>
  <c r="H8" i="7"/>
  <c r="G9" i="7" s="1"/>
  <c r="P8" i="7"/>
  <c r="O8" i="7"/>
  <c r="N8" i="7"/>
  <c r="J9" i="7" l="1"/>
  <c r="I10" i="7" s="1"/>
  <c r="M12" i="7"/>
  <c r="L13" i="7" s="1"/>
  <c r="F9" i="7"/>
  <c r="E10" i="7" s="1"/>
  <c r="O13" i="5"/>
  <c r="P12" i="5"/>
  <c r="C11" i="5"/>
  <c r="G11" i="5" s="1"/>
  <c r="H9" i="7"/>
  <c r="G10" i="7" s="1"/>
  <c r="P9" i="7"/>
  <c r="O9" i="7"/>
  <c r="N9" i="7"/>
  <c r="E9" i="11"/>
  <c r="B8" i="8"/>
  <c r="H8" i="5"/>
  <c r="I8" i="5" s="1"/>
  <c r="L7" i="5"/>
  <c r="U11" i="5"/>
  <c r="S12" i="5"/>
  <c r="T11" i="5"/>
  <c r="N7" i="5"/>
  <c r="D9" i="11" s="1"/>
  <c r="Q13" i="5"/>
  <c r="R12" i="5"/>
  <c r="F10" i="7" l="1"/>
  <c r="E11" i="7" s="1"/>
  <c r="H10" i="7"/>
  <c r="G11" i="7" s="1"/>
  <c r="P10" i="7"/>
  <c r="O10" i="7"/>
  <c r="N10" i="7"/>
  <c r="M13" i="7"/>
  <c r="L14" i="7" s="1"/>
  <c r="O14" i="5"/>
  <c r="P13" i="5"/>
  <c r="H7" i="12"/>
  <c r="B7" i="8"/>
  <c r="M7" i="5"/>
  <c r="K8" i="5"/>
  <c r="N8" i="5" s="1"/>
  <c r="B16" i="11"/>
  <c r="B8" i="6"/>
  <c r="Q14" i="5"/>
  <c r="R13" i="5"/>
  <c r="S13" i="5"/>
  <c r="T12" i="5"/>
  <c r="U12" i="5" s="1"/>
  <c r="C12" i="5"/>
  <c r="G12" i="5" s="1"/>
  <c r="J10" i="7"/>
  <c r="I11" i="7" s="1"/>
  <c r="L8" i="5" l="1"/>
  <c r="J11" i="7"/>
  <c r="I12" i="7" s="1"/>
  <c r="O11" i="7"/>
  <c r="N11" i="7"/>
  <c r="H11" i="7"/>
  <c r="G12" i="7" s="1"/>
  <c r="P11" i="7"/>
  <c r="F11" i="7"/>
  <c r="E12" i="7" s="1"/>
  <c r="S14" i="5"/>
  <c r="T13" i="5"/>
  <c r="U13" i="5" s="1"/>
  <c r="C9" i="11"/>
  <c r="Q15" i="5"/>
  <c r="R14" i="5"/>
  <c r="H8" i="12"/>
  <c r="M8" i="5"/>
  <c r="M14" i="7"/>
  <c r="L15" i="7" s="1"/>
  <c r="C13" i="5"/>
  <c r="G13" i="5" s="1"/>
  <c r="D16" i="11"/>
  <c r="H8" i="6"/>
  <c r="O15" i="5"/>
  <c r="P14" i="5"/>
  <c r="B9" i="8"/>
  <c r="E16" i="11"/>
  <c r="C8" i="6"/>
  <c r="E8" i="6" s="1"/>
  <c r="H9" i="5"/>
  <c r="I9" i="5" s="1"/>
  <c r="I8" i="6" l="1"/>
  <c r="M15" i="7"/>
  <c r="L16" i="7" s="1"/>
  <c r="H12" i="7"/>
  <c r="P12" i="7"/>
  <c r="O12" i="7"/>
  <c r="G13" i="7"/>
  <c r="N12" i="7"/>
  <c r="F12" i="7"/>
  <c r="E13" i="7" s="1"/>
  <c r="J12" i="7"/>
  <c r="I13" i="7" s="1"/>
  <c r="K9" i="5"/>
  <c r="L9" i="5" s="1"/>
  <c r="B23" i="11"/>
  <c r="B9" i="6"/>
  <c r="C14" i="5"/>
  <c r="G14" i="5" s="1"/>
  <c r="C16" i="11"/>
  <c r="G8" i="6"/>
  <c r="S15" i="5"/>
  <c r="T14" i="5"/>
  <c r="U14" i="5" s="1"/>
  <c r="Q16" i="5"/>
  <c r="R15" i="5"/>
  <c r="O16" i="5"/>
  <c r="P15" i="5"/>
  <c r="N9" i="5" l="1"/>
  <c r="J13" i="7"/>
  <c r="I14" i="7" s="1"/>
  <c r="F13" i="7"/>
  <c r="E14" i="7" s="1"/>
  <c r="H9" i="12"/>
  <c r="M9" i="5"/>
  <c r="M16" i="7"/>
  <c r="L17" i="7" s="1"/>
  <c r="D23" i="11"/>
  <c r="H9" i="6"/>
  <c r="H13" i="7"/>
  <c r="G14" i="7" s="1"/>
  <c r="P13" i="7"/>
  <c r="O13" i="7"/>
  <c r="N13" i="7"/>
  <c r="S16" i="5"/>
  <c r="T15" i="5"/>
  <c r="U15" i="5" s="1"/>
  <c r="E23" i="11"/>
  <c r="C9" i="6"/>
  <c r="E9" i="6" s="1"/>
  <c r="H10" i="5"/>
  <c r="I10" i="5" s="1"/>
  <c r="O17" i="5"/>
  <c r="P16" i="5"/>
  <c r="C15" i="5"/>
  <c r="G15" i="5" s="1"/>
  <c r="Q17" i="5"/>
  <c r="R16" i="5"/>
  <c r="I9" i="6"/>
  <c r="H14" i="7" l="1"/>
  <c r="P14" i="7"/>
  <c r="O14" i="7"/>
  <c r="G15" i="7"/>
  <c r="N14" i="7"/>
  <c r="F14" i="7"/>
  <c r="E15" i="7" s="1"/>
  <c r="J14" i="7"/>
  <c r="I15" i="7" s="1"/>
  <c r="O18" i="5"/>
  <c r="P18" i="5" s="1"/>
  <c r="P17" i="5"/>
  <c r="C23" i="11"/>
  <c r="G9" i="6"/>
  <c r="N10" i="5"/>
  <c r="H10" i="6" s="1"/>
  <c r="L10" i="5"/>
  <c r="K10" i="5"/>
  <c r="B10" i="6"/>
  <c r="Q18" i="5"/>
  <c r="R18" i="5" s="1"/>
  <c r="R17" i="5"/>
  <c r="S17" i="5"/>
  <c r="T16" i="5"/>
  <c r="U16" i="5" s="1"/>
  <c r="M17" i="7"/>
  <c r="L18" i="7" s="1"/>
  <c r="M18" i="7" s="1"/>
  <c r="C16" i="5"/>
  <c r="G16" i="5" s="1"/>
  <c r="F15" i="7" l="1"/>
  <c r="E16" i="7" s="1"/>
  <c r="H10" i="12"/>
  <c r="M10" i="5"/>
  <c r="G10" i="6" s="1"/>
  <c r="J15" i="7"/>
  <c r="I16" i="7" s="1"/>
  <c r="I10" i="6"/>
  <c r="S18" i="5"/>
  <c r="T18" i="5" s="1"/>
  <c r="U18" i="5" s="1"/>
  <c r="T17" i="5"/>
  <c r="U17" i="5" s="1"/>
  <c r="O15" i="7"/>
  <c r="N15" i="7"/>
  <c r="H15" i="7"/>
  <c r="G16" i="7" s="1"/>
  <c r="P15" i="7"/>
  <c r="C17" i="5"/>
  <c r="G17" i="5" s="1"/>
  <c r="C10" i="6"/>
  <c r="E10" i="6" s="1"/>
  <c r="B12" i="8"/>
  <c r="H11" i="5"/>
  <c r="I11" i="5" s="1"/>
  <c r="J16" i="7" l="1"/>
  <c r="I17" i="7" s="1"/>
  <c r="H16" i="7"/>
  <c r="G17" i="7" s="1"/>
  <c r="P16" i="7"/>
  <c r="O16" i="7"/>
  <c r="N16" i="7"/>
  <c r="F16" i="7"/>
  <c r="E17" i="7" s="1"/>
  <c r="K11" i="5"/>
  <c r="B11" i="6"/>
  <c r="C18" i="5"/>
  <c r="G18" i="5" s="1"/>
  <c r="F17" i="7" l="1"/>
  <c r="E18" i="7"/>
  <c r="F18" i="7" s="1"/>
  <c r="H17" i="7"/>
  <c r="P17" i="7"/>
  <c r="O17" i="7"/>
  <c r="G18" i="7"/>
  <c r="N17" i="7"/>
  <c r="I18" i="7"/>
  <c r="J18" i="7" s="1"/>
  <c r="J17" i="7"/>
  <c r="I11" i="6"/>
  <c r="C11" i="6"/>
  <c r="E11" i="6" s="1"/>
  <c r="H12" i="5"/>
  <c r="I12" i="5" s="1"/>
  <c r="L11" i="5"/>
  <c r="N11" i="5"/>
  <c r="H11" i="6" s="1"/>
  <c r="K12" i="5" l="1"/>
  <c r="N12" i="5" s="1"/>
  <c r="H12" i="6" s="1"/>
  <c r="B12" i="6"/>
  <c r="H11" i="12"/>
  <c r="M11" i="5"/>
  <c r="G11" i="6" s="1"/>
  <c r="H18" i="7"/>
  <c r="P18" i="7"/>
  <c r="O18" i="7"/>
  <c r="N18" i="7"/>
  <c r="I12" i="6" l="1"/>
  <c r="C12" i="6"/>
  <c r="E12" i="6" s="1"/>
  <c r="H13" i="5"/>
  <c r="I13" i="5" s="1"/>
  <c r="L12" i="5"/>
  <c r="K13" i="5" l="1"/>
  <c r="B13" i="6"/>
  <c r="H12" i="12"/>
  <c r="M12" i="5"/>
  <c r="G12" i="6" s="1"/>
  <c r="I13" i="6" l="1"/>
  <c r="C13" i="6"/>
  <c r="E13" i="6" s="1"/>
  <c r="H14" i="5"/>
  <c r="I14" i="5" s="1"/>
  <c r="L13" i="5"/>
  <c r="N13" i="5"/>
  <c r="H13" i="6" s="1"/>
  <c r="H13" i="12" l="1"/>
  <c r="M13" i="5"/>
  <c r="G13" i="6" s="1"/>
  <c r="K14" i="5"/>
  <c r="N14" i="5" s="1"/>
  <c r="H14" i="6" s="1"/>
  <c r="B14" i="6"/>
  <c r="I14" i="6" l="1"/>
  <c r="C14" i="6"/>
  <c r="E14" i="6" s="1"/>
  <c r="H15" i="5"/>
  <c r="I15" i="5" s="1"/>
  <c r="L14" i="5"/>
  <c r="H14" i="12" l="1"/>
  <c r="M14" i="5"/>
  <c r="G14" i="6" s="1"/>
  <c r="K15" i="5"/>
  <c r="L15" i="5" s="1"/>
  <c r="B15" i="6"/>
  <c r="H15" i="12" l="1"/>
  <c r="M15" i="5"/>
  <c r="G15" i="6" s="1"/>
  <c r="I15" i="6"/>
  <c r="N15" i="5"/>
  <c r="H15" i="6" s="1"/>
  <c r="C15" i="6"/>
  <c r="E15" i="6" s="1"/>
  <c r="H16" i="5"/>
  <c r="I16" i="5" s="1"/>
  <c r="K16" i="5" l="1"/>
  <c r="B16" i="6"/>
  <c r="I16" i="6" l="1"/>
  <c r="C16" i="6"/>
  <c r="E16" i="6" s="1"/>
  <c r="H17" i="5"/>
  <c r="I17" i="5" s="1"/>
  <c r="N16" i="5"/>
  <c r="H16" i="6" s="1"/>
  <c r="L16" i="5"/>
  <c r="H16" i="12" l="1"/>
  <c r="M16" i="5"/>
  <c r="G16" i="6" s="1"/>
  <c r="K17" i="5"/>
  <c r="N17" i="5" s="1"/>
  <c r="H17" i="6" s="1"/>
  <c r="B17" i="6"/>
  <c r="I17" i="6" l="1"/>
  <c r="C17" i="6"/>
  <c r="E17" i="6" s="1"/>
  <c r="H18" i="5"/>
  <c r="I18" i="5" s="1"/>
  <c r="L17" i="5"/>
  <c r="K18" i="5" l="1"/>
  <c r="B18" i="6"/>
  <c r="H17" i="12"/>
  <c r="M17" i="5"/>
  <c r="G17" i="6" s="1"/>
  <c r="I18" i="6" l="1"/>
  <c r="C18" i="6"/>
  <c r="E18" i="6" s="1"/>
  <c r="B11" i="8"/>
  <c r="L18" i="5"/>
  <c r="N18" i="5"/>
  <c r="H18" i="6" s="1"/>
  <c r="H18" i="12" l="1"/>
  <c r="M18" i="5"/>
  <c r="G18" i="6" l="1"/>
  <c r="B10" i="8"/>
</calcChain>
</file>

<file path=xl/sharedStrings.xml><?xml version="1.0" encoding="utf-8"?>
<sst xmlns="http://schemas.openxmlformats.org/spreadsheetml/2006/main" count="1535" uniqueCount="681">
  <si>
    <t>PLAN DE COMPRAS SIMULADO - Almar S.R.L. (banana Brasil + Paraguay + Bolivia)</t>
  </si>
  <si>
    <t>Generado el 01/10/2026 12:49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</si>
  <si>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</si>
  <si>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</si>
  <si>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</si>
  <si>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25.000 cajas al cierre del sabado contando los tres origenes (desde el 01/10/2026, verano; antes 22.500).</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</si>
  <si>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</si>
  <si>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</si>
  <si>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</si>
  <si>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</si>
  <si>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</si>
  <si>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</si>
  <si>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</si>
  <si>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</si>
  <si>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</si>
  <si>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</si>
  <si>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</si>
  <si>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</si>
  <si>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</si>
  <si>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</si>
  <si>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</si>
  <si>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</si>
  <si>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</si>
  <si>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</si>
  <si>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</si>
  <si>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</si>
  <si>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</si>
  <si>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</si>
  <si>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</si>
  <si>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</si>
  <si>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</si>
  <si>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</si>
  <si>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</si>
  <si>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y BO,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</si>
  <si>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</si>
  <si>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</si>
  <si>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</si>
  <si>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</si>
  <si>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</si>
  <si>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</si>
  <si>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</si>
  <si>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</si>
  <si>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</si>
  <si>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</si>
  <si>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Viene del JSON (plan_compras.xlsx &gt; supuestos &gt; minimo_cajas_sabado). 01/10/2026: 25.000 contando Brasil + Paraguay + Bolivia ("comienza el calor en Uruguay, levanta las ventas, quieren mantener 25 mil cajas al cierre del sabado"). Antes, 27/09: 22.500 ("de una semana a otra unas 22/23 mil cajas cerrando el sabado"). Equivale a ~8-9 dias de venta.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</si>
  <si>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</si>
  <si>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</si>
  <si>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</si>
  <si>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</si>
  <si>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</si>
  <si>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</si>
  <si>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</si>
  <si>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</si>
  <si>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</si>
  <si>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</si>
  <si>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</si>
  <si>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</si>
  <si>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</si>
  <si>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</si>
  <si>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</si>
  <si>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</si>
  <si>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</si>
  <si>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</si>
  <si>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</si>
  <si>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</si>
  <si>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</si>
  <si>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</si>
  <si>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</si>
  <si>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</si>
  <si>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</si>
  <si>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</si>
  <si>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</si>
  <si>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</si>
  <si>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</si>
  <si>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</si>
  <si>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</si>
  <si>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</si>
  <si>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</si>
  <si>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</si>
  <si>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</si>
  <si>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</si>
  <si>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</si>
  <si>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</si>
  <si>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</si>
  <si>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</si>
  <si>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</si>
  <si>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</si>
  <si>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</si>
  <si>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</si>
  <si>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</si>
  <si>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</si>
  <si>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</si>
  <si>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</si>
  <si>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</si>
  <si>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</si>
  <si>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</si>
  <si>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</si>
  <si>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</si>
  <si>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</si>
  <si>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</si>
  <si>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</si>
  <si>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</si>
  <si>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</si>
  <si>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</si>
  <si>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</si>
  <si>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</si>
  <si>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</si>
  <si>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</si>
  <si>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</si>
  <si>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</si>
  <si>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</si>
  <si>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</si>
  <si>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</si>
  <si>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</si>
  <si>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</si>
  <si>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</si>
  <si>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</si>
  <si>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</si>
  <si>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</si>
  <si>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</si>
  <si>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</si>
  <si>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</si>
  <si>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</si>
  <si>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</si>
  <si>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</si>
  <si>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</si>
  <si>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</si>
  <si>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</si>
  <si>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</si>
  <si>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</si>
  <si>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</si>
  <si>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</si>
  <si>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</si>
  <si>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</si>
  <si>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</si>
  <si>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</si>
  <si>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</si>
  <si>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</si>
  <si>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</si>
  <si>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</si>
  <si>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</si>
  <si>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</si>
  <si>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</si>
  <si>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</si>
  <si>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</si>
  <si>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</si>
  <si>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</si>
  <si>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</si>
  <si>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</si>
  <si>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</si>
  <si>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</si>
  <si>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</si>
  <si>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</si>
  <si>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</si>
  <si>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</si>
  <si>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</si>
  <si>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</si>
  <si>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18.000 (Gonzalo 01/10: "si sube es a 18 mil la venta, no mas"; verano)</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</si>
  <si>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</si>
  <si>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</si>
  <si>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</si>
  <si>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</si>
  <si>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</si>
  <si>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</si>
  <si>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</si>
  <si>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</si>
  <si>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</si>
  <si>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</si>
  <si>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</si>
  <si>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</si>
  <si>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</si>
  <si>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</si>
  <si>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</si>
  <si>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</si>
  <si>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</si>
  <si>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</si>
  <si>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</si>
  <si>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</si>
  <si>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</si>
  <si>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</si>
  <si>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</si>
  <si>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</si>
  <si>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</si>
  <si>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</si>
  <si>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</si>
  <si>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</si>
  <si>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</si>
  <si>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</si>
  <si>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</si>
  <si>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</si>
  <si>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</si>
  <si>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</si>
  <si>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</si>
  <si>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</si>
  <si>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</si>
  <si>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</si>
  <si>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</si>
  <si>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</si>
  <si>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</si>
  <si>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</si>
  <si>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</si>
  <si>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</si>
  <si>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</si>
  <si>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</si>
  <si>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</si>
  <si>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</si>
  <si>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</si>
  <si>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</si>
  <si>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</si>
  <si>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</si>
  <si>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</si>
  <si>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</si>
  <si>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</si>
  <si>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</si>
  <si>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</si>
  <si>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</si>
  <si>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</si>
  <si>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</si>
  <si>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</si>
  <si>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</si>
  <si>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</si>
  <si>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</si>
  <si>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</si>
  <si>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</si>
  <si>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</si>
  <si>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Bolivia (supuesto)</t>
  </si>
  <si>
    <t>Supuesto</t>
  </si>
  <si>
    <t>supuesto: 1 camion BO por semana, descarga el lunes (Gonzalo 01/10)</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</si>
  <si>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</si>
  <si>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</si>
  <si>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</si>
  <si>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</si>
  <si>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</si>
  <si>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</si>
  <si>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</si>
  <si>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30/09: sabado (descarga martes 13, suma a la semana siguiente); transportista supuesto = semana anterior</t>
  </si>
  <si>
    <t>Paraguay (supuesto)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</si>
  <si>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</si>
  <si>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</si>
  <si>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</si>
  <si>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</si>
  <si>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</si>
  <si>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</si>
  <si>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</si>
  <si>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</si>
  <si>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</si>
  <si>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</si>
  <si>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</si>
  <si>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</si>
  <si>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</si>
  <si>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</si>
  <si>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</si>
  <si>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</si>
  <si>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</si>
  <si>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</si>
  <si>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</si>
  <si>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</si>
  <si>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</si>
  <si>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</si>
  <si>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</si>
  <si>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</si>
  <si>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</si>
  <si>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</si>
  <si>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</si>
  <si>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</si>
  <si>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</si>
  <si>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</si>
  <si>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</si>
  <si>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</si>
  <si>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</si>
  <si>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</si>
  <si>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</si>
  <si>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</si>
  <si>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</si>
  <si>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</si>
  <si>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</si>
  <si>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</si>
  <si>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</si>
  <si>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</si>
  <si>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</si>
  <si>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</si>
  <si>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</si>
  <si>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</si>
  <si>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</si>
  <si>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</si>
  <si>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</si>
  <si>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</si>
  <si>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</si>
  <si>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</si>
  <si>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</si>
  <si>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</si>
  <si>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</si>
  <si>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</si>
  <si>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</si>
  <si>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</si>
  <si>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</si>
  <si>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</si>
  <si>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</si>
  <si>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</si>
  <si>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</si>
  <si>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</si>
  <si>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</si>
  <si>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</si>
  <si>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</si>
  <si>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</si>
  <si>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</si>
  <si>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</si>
  <si>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</si>
  <si>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</si>
  <si>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</si>
  <si>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</si>
  <si>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</si>
  <si>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</si>
  <si>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</si>
  <si>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</si>
  <si>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</si>
  <si>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</si>
  <si>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</si>
  <si>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</si>
  <si>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</si>
  <si>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</si>
  <si>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</si>
  <si>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</si>
  <si>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</si>
  <si>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</si>
  <si>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</si>
  <si>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</si>
  <si>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</si>
  <si>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</si>
  <si>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</si>
  <si>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</si>
  <si>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</si>
  <si>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</si>
  <si>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</si>
  <si>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</si>
  <si>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</si>
  <si>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</si>
  <si>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</si>
  <si>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</si>
  <si>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</si>
  <si>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</si>
  <si>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</si>
  <si>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</si>
  <si>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</si>
  <si>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</si>
  <si>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</si>
  <si>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</si>
  <si>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</si>
  <si>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</si>
  <si>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</si>
  <si>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25.000, camiones a cargar y fecha limite (sabado - lead time).</t>
  </si>
  <si>
    <t>Stock de seguridad dinamico (perecederos)</t>
  </si>
  <si>
    <t>Sube y baja con la venta (mas antes del fin de semana / comienzo de mes), acotado por la vida util: mas stock = mas merma.</t>
  </si>
  <si>
    <t>Minimo en cajas (25.000 desde el 01/10/2026)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</si>
  <si>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</si>
  <si>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</si>
  <si>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</si>
  <si>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</si>
  <si>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</si>
  <si>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</si>
  <si>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</si>
  <si>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</si>
  <si>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</si>
  <si>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</si>
  <si>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</si>
  <si>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</si>
  <si>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</si>
  <si>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</si>
  <si>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</si>
  <si>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</si>
  <si>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</si>
  <si>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</si>
  <si>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</si>
  <si>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</si>
  <si>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</si>
  <si>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</si>
  <si>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</si>
  <si>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</si>
  <si>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</si>
  <si>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</si>
  <si>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</si>
  <si>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</si>
  <si>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</si>
  <si>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</si>
  <si>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</si>
  <si>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</si>
  <si>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</si>
  <si>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</si>
  <si>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</si>
  <si>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</si>
  <si>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</si>
  <si>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</si>
  <si>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</si>
  <si>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</si>
  <si>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</si>
  <si>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</si>
  <si>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</si>
  <si>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</si>
  <si>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</si>
  <si>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</si>
  <si>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</si>
  <si>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</si>
  <si>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</si>
  <si>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</si>
  <si>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</si>
  <si>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</si>
  <si>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</si>
  <si>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</si>
  <si>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</si>
  <si>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</si>
  <si>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</si>
  <si>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</si>
  <si>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</si>
  <si>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</si>
  <si>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</si>
  <si>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</si>
  <si>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</si>
  <si>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</si>
  <si>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</si>
  <si>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</si>
  <si>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</si>
  <si>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</si>
  <si>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</si>
  <si>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</si>
  <si>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</si>
  <si>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</si>
  <si>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</si>
  <si>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</si>
  <si>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</si>
  <si>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</si>
  <si>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</si>
  <si>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</si>
  <si>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</si>
  <si>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</si>
  <si>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</si>
  <si>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</si>
  <si>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</si>
  <si>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</si>
  <si>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</si>
  <si>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</si>
  <si>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</si>
  <si>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</si>
  <si>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</si>
  <si>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</si>
  <si>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</si>
  <si>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</si>
  <si>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</si>
  <si>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</si>
  <si>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</si>
  <si>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</si>
  <si>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</si>
  <si>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</si>
  <si>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</si>
  <si>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</si>
  <si>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</si>
  <si>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</si>
  <si>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</si>
  <si>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</si>
  <si>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</si>
  <si>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</si>
  <si>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</si>
  <si>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</si>
  <si>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</si>
  <si>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</si>
  <si>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</si>
  <si>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</si>
  <si>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</si>
  <si>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</si>
  <si>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</si>
  <si>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</si>
  <si>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</si>
  <si>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</si>
  <si>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</si>
  <si>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</si>
  <si>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</si>
  <si>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</si>
  <si>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</si>
  <si>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</si>
  <si>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</si>
  <si>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</si>
  <si>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</si>
  <si>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</si>
  <si>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</si>
  <si>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</si>
  <si>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</si>
  <si>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</si>
  <si>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</si>
  <si>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</si>
  <si>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</si>
  <si>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</si>
  <si>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</si>
  <si>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</si>
  <si>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</si>
  <si>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</si>
  <si>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</si>
  <si>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</si>
  <si>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</si>
  <si>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</si>
  <si>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</si>
  <si>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</si>
  <si>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</si>
  <si>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</si>
  <si>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</si>
  <si>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</si>
  <si>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</si>
  <si>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</si>
  <si>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</si>
  <si>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</si>
  <si>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</si>
  <si>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</si>
  <si>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</si>
  <si>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</si>
  <si>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</si>
  <si>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</si>
  <si>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</si>
  <si>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</si>
  <si>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</si>
  <si>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</si>
  <si>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</si>
  <si>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</si>
  <si>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</si>
  <si>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</si>
  <si>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</si>
  <si>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</si>
  <si>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</si>
  <si>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</si>
  <si>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</si>
  <si>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</si>
  <si>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</si>
  <si>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</si>
  <si>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</si>
  <si>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</si>
  <si>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</si>
  <si>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</si>
  <si>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</si>
  <si>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</si>
  <si>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</si>
  <si>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</si>
  <si>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</si>
  <si>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</si>
  <si>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</si>
  <si>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</si>
  <si>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25.000 cajas al sabado contando los tres origenes (desde el 01/10/2026).</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</si>
  <si>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</si>
  <si>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</si>
  <si>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</si>
  <si>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</si>
  <si>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</si>
  <si>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</si>
  <si>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</si>
  <si>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</si>
  <si>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</si>
  <si>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</si>
  <si>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</si>
  <si>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</si>
  <si>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</si>
  <si>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</si>
  <si>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</si>
  <si>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</si>
  <si>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</si>
  <si>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</si>
  <si>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</si>
  <si>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</si>
  <si>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</si>
  <si>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</si>
  <si>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</si>
  <si>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</si>
  <si>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</si>
  <si>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</si>
  <si>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</si>
  <si>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</si>
  <si>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</si>
  <si>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</si>
  <si>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</si>
  <si>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</si>
  <si>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</si>
  <si>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</si>
  <si>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</si>
  <si>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</si>
  <si>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</si>
  <si>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</si>
  <si>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</si>
  <si>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</si>
  <si>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</si>
  <si>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</si>
  <si>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</si>
  <si>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</si>
  <si>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</si>
  <si>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</si>
  <si>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</si>
  <si>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</si>
  <si>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</si>
  <si>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</si>
  <si>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</si>
  <si>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</si>
  <si>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</si>
  <si>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</si>
  <si>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</si>
  <si>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</si>
  <si>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</si>
  <si>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</si>
  <si>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</si>
  <si>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</si>
  <si>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</si>
  <si>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</si>
  <si>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</si>
  <si>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</si>
  <si>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</si>
  <si>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</si>
  <si>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</si>
  <si>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</si>
  <si>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</si>
  <si>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</si>
  <si>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</si>
  <si>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</si>
  <si>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</si>
  <si>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25.000 cajas al sabado desde el 01/10/2026 (antes 22.500),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</si>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</sst>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507</v>
      </c>
    </row>
    <row r="2" spans="1:12">
      <c r="A2" s="2" t="s">
        <v>508</v>
      </c>
    </row>
    <row r="4" spans="1:12">
      <c r="A4" s="11" t="s">
        <v>172</v>
      </c>
      <c r="B4" s="11" t="s">
        <v>509</v>
      </c>
      <c r="C4" s="11" t="s">
        <v>510</v>
      </c>
      <c r="D4" s="11" t="s">
        <v>511</v>
      </c>
      <c r="E4" s="11" t="s">
        <v>512</v>
      </c>
    </row>
    <row r="5" spans="1:12" ht="45">
      <c r="A5" s="37" t="s">
        <v>513</v>
      </c>
      <c r="B5" s="15" t="s">
        <v>514</v>
      </c>
      <c r="C5" s="15" t="s">
        <v>515</v>
      </c>
      <c r="D5" s="15" t="s">
        <v>516</v>
      </c>
      <c r="E5" s="15" t="s">
        <v>517</v>
      </c>
    </row>
    <row r="6" spans="1:12" ht="30">
      <c r="A6" s="37" t="s">
        <v>518</v>
      </c>
      <c r="B6" s="15" t="s">
        <v>514</v>
      </c>
      <c r="C6" s="15" t="s">
        <v>519</v>
      </c>
      <c r="D6" s="15" t="s">
        <v>520</v>
      </c>
      <c r="E6" s="15" t="s">
        <v>521</v>
      </c>
    </row>
    <row r="7" spans="1:12" ht="45">
      <c r="A7" s="37" t="s">
        <v>522</v>
      </c>
      <c r="B7" s="15" t="s">
        <v>523</v>
      </c>
      <c r="C7" s="15" t="s">
        <v>524</v>
      </c>
      <c r="D7" s="15" t="s">
        <v>525</v>
      </c>
      <c r="E7" s="15" t="s">
        <v>526</v>
      </c>
    </row>
    <row r="8" spans="1:12" ht="30">
      <c r="A8" s="37" t="s">
        <v>527</v>
      </c>
      <c r="B8" s="15" t="s">
        <v>514</v>
      </c>
      <c r="C8" s="15" t="s">
        <v>528</v>
      </c>
      <c r="D8" s="15" t="s">
        <v>525</v>
      </c>
      <c r="E8" s="15" t="s">
        <v>529</v>
      </c>
    </row>
    <row r="9" spans="1:12" ht="30">
      <c r="A9" s="37" t="s">
        <v>530</v>
      </c>
      <c r="B9" s="15" t="s">
        <v>531</v>
      </c>
      <c r="C9" s="15" t="s">
        <v>532</v>
      </c>
      <c r="D9" s="15" t="s">
        <v>525</v>
      </c>
      <c r="E9" s="15" t="s">
        <v>533</v>
      </c>
    </row>
    <row r="10" spans="1:12" ht="30">
      <c r="A10" s="37" t="s">
        <v>160</v>
      </c>
      <c r="B10" s="15" t="s">
        <v>534</v>
      </c>
      <c r="C10" s="15" t="s">
        <v>535</v>
      </c>
      <c r="D10" s="15" t="s">
        <v>536</v>
      </c>
      <c r="E10" s="15" t="s">
        <v>537</v>
      </c>
    </row>
    <row r="11" spans="1:12" ht="30">
      <c r="A11" s="37" t="s">
        <v>538</v>
      </c>
      <c r="B11" s="15" t="s">
        <v>539</v>
      </c>
      <c r="C11" s="15" t="s">
        <v>540</v>
      </c>
      <c r="D11" s="15" t="s">
        <v>525</v>
      </c>
      <c r="E11" s="15" t="s">
        <v>541</v>
      </c>
    </row>
    <row r="13" spans="1:12" ht="48.95" customHeight="1">
      <c r="A13" s="44" t="s">
        <v>542</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25000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24286</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(25.000): la formula pide 714 cajas menos.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18000</v>
      </c>
      <c r="F8" s="10">
        <f t="shared" si="3"/>
        <v>1</v>
      </c>
      <c r="G8" s="8"/>
      <c r="H8" s="12">
        <f t="shared" si="4"/>
        <v>18000</v>
      </c>
      <c r="I8" s="19">
        <v>0.61699999999999999</v>
      </c>
      <c r="J8" s="19">
        <v>0.312</v>
      </c>
      <c r="K8" s="18">
        <f t="shared" si="5"/>
        <v>7.1000000000000008E-2</v>
      </c>
      <c r="L8" s="7">
        <f t="shared" si="6"/>
        <v>11106</v>
      </c>
      <c r="M8" s="7">
        <f t="shared" si="7"/>
        <v>5616</v>
      </c>
      <c r="N8" s="7">
        <f t="shared" si="8"/>
        <v>1278</v>
      </c>
      <c r="O8" s="8"/>
      <c r="P8" s="20" t="str">
        <f t="shared" si="9"/>
        <v/>
      </c>
      <c r="Q8" t="s">
        <v>157</v>
      </c>
    </row>
    <row r="9" spans="1:17">
      <c r="A9" s="5">
        <v>46307</v>
      </c>
      <c r="B9" s="5">
        <f t="shared" si="0"/>
        <v>46312</v>
      </c>
      <c r="C9" t="str">
        <f t="shared" si="1"/>
        <v>Oct</v>
      </c>
      <c r="D9">
        <f t="shared" si="2"/>
        <v>2</v>
      </c>
      <c r="E9" s="8">
        <v>18000</v>
      </c>
      <c r="F9" s="10">
        <f t="shared" si="3"/>
        <v>1</v>
      </c>
      <c r="G9" s="8"/>
      <c r="H9" s="12">
        <f t="shared" si="4"/>
        <v>18000</v>
      </c>
      <c r="I9" s="19">
        <v>0.61699999999999999</v>
      </c>
      <c r="J9" s="19">
        <v>0.312</v>
      </c>
      <c r="K9" s="18">
        <f t="shared" si="5"/>
        <v>7.1000000000000008E-2</v>
      </c>
      <c r="L9" s="7">
        <f t="shared" si="6"/>
        <v>11106</v>
      </c>
      <c r="M9" s="7">
        <f t="shared" si="7"/>
        <v>5616</v>
      </c>
      <c r="N9" s="7">
        <f t="shared" si="8"/>
        <v>1278</v>
      </c>
      <c r="O9" s="8"/>
      <c r="P9" s="20" t="str">
        <f t="shared" si="9"/>
        <v/>
      </c>
      <c r="Q9" t="s">
        <v>157</v>
      </c>
    </row>
    <row r="10" spans="1:17">
      <c r="A10" s="5">
        <v>46314</v>
      </c>
      <c r="B10" s="5">
        <f t="shared" si="0"/>
        <v>46319</v>
      </c>
      <c r="C10" t="str">
        <f t="shared" si="1"/>
        <v>Oct</v>
      </c>
      <c r="D10">
        <f t="shared" si="2"/>
        <v>3</v>
      </c>
      <c r="E10" s="8">
        <v>18000</v>
      </c>
      <c r="F10" s="10">
        <f t="shared" si="3"/>
        <v>1</v>
      </c>
      <c r="G10" s="8"/>
      <c r="H10" s="12">
        <f t="shared" si="4"/>
        <v>18000</v>
      </c>
      <c r="I10" s="19">
        <v>0.61699999999999999</v>
      </c>
      <c r="J10" s="19">
        <v>0.312</v>
      </c>
      <c r="K10" s="18">
        <f t="shared" si="5"/>
        <v>7.1000000000000008E-2</v>
      </c>
      <c r="L10" s="7">
        <f t="shared" si="6"/>
        <v>11106</v>
      </c>
      <c r="M10" s="7">
        <f t="shared" si="7"/>
        <v>5616</v>
      </c>
      <c r="N10" s="7">
        <f t="shared" si="8"/>
        <v>1278</v>
      </c>
      <c r="O10" s="8"/>
      <c r="P10" s="20" t="str">
        <f t="shared" si="9"/>
        <v/>
      </c>
      <c r="Q10" t="s">
        <v>157</v>
      </c>
    </row>
    <row r="11" spans="1:17">
      <c r="A11" s="5">
        <v>46321</v>
      </c>
      <c r="B11" s="5">
        <f t="shared" si="0"/>
        <v>46326</v>
      </c>
      <c r="C11" t="str">
        <f t="shared" si="1"/>
        <v>Oct</v>
      </c>
      <c r="D11">
        <f t="shared" si="2"/>
        <v>4</v>
      </c>
      <c r="E11" s="8">
        <v>18000</v>
      </c>
      <c r="F11" s="10">
        <f t="shared" si="3"/>
        <v>1</v>
      </c>
      <c r="G11" s="8"/>
      <c r="H11" s="12">
        <f t="shared" si="4"/>
        <v>18000</v>
      </c>
      <c r="I11" s="19">
        <v>0.61699999999999999</v>
      </c>
      <c r="J11" s="19">
        <v>0.312</v>
      </c>
      <c r="K11" s="18">
        <f t="shared" si="5"/>
        <v>7.1000000000000008E-2</v>
      </c>
      <c r="L11" s="7">
        <f t="shared" si="6"/>
        <v>11106</v>
      </c>
      <c r="M11" s="7">
        <f t="shared" si="7"/>
        <v>5616</v>
      </c>
      <c r="N11" s="7">
        <f t="shared" si="8"/>
        <v>1278</v>
      </c>
      <c r="O11" s="8"/>
      <c r="P11" s="20" t="str">
        <f t="shared" si="9"/>
        <v/>
      </c>
      <c r="Q11" t="s">
        <v>158</v>
      </c>
    </row>
    <row r="12" spans="1:17">
      <c r="A12" s="5">
        <v>46328</v>
      </c>
      <c r="B12" s="5">
        <f t="shared" si="0"/>
        <v>46333</v>
      </c>
      <c r="C12" t="str">
        <f t="shared" si="1"/>
        <v>Nov</v>
      </c>
      <c r="D12">
        <f t="shared" si="2"/>
        <v>1</v>
      </c>
      <c r="E12" s="8">
        <v>18000</v>
      </c>
      <c r="F12" s="10">
        <f t="shared" si="3"/>
        <v>1</v>
      </c>
      <c r="G12" s="8"/>
      <c r="H12" s="12">
        <f t="shared" si="4"/>
        <v>18000</v>
      </c>
      <c r="I12" s="19">
        <v>0.61699999999999999</v>
      </c>
      <c r="J12" s="19">
        <v>0.312</v>
      </c>
      <c r="K12" s="18">
        <f t="shared" si="5"/>
        <v>7.1000000000000008E-2</v>
      </c>
      <c r="L12" s="7">
        <f t="shared" si="6"/>
        <v>11106</v>
      </c>
      <c r="M12" s="7">
        <f t="shared" si="7"/>
        <v>5616</v>
      </c>
      <c r="N12" s="7">
        <f t="shared" si="8"/>
        <v>1278</v>
      </c>
      <c r="O12" s="8"/>
      <c r="P12" s="20" t="str">
        <f t="shared" si="9"/>
        <v/>
      </c>
      <c r="Q12" t="s">
        <v>158</v>
      </c>
    </row>
    <row r="13" spans="1:17">
      <c r="A13" s="5">
        <v>46335</v>
      </c>
      <c r="B13" s="5">
        <f t="shared" si="0"/>
        <v>46340</v>
      </c>
      <c r="C13" t="str">
        <f t="shared" si="1"/>
        <v>Nov</v>
      </c>
      <c r="D13">
        <f t="shared" si="2"/>
        <v>2</v>
      </c>
      <c r="E13" s="8">
        <v>18000</v>
      </c>
      <c r="F13" s="10">
        <f t="shared" si="3"/>
        <v>1</v>
      </c>
      <c r="G13" s="8"/>
      <c r="H13" s="12">
        <f t="shared" si="4"/>
        <v>18000</v>
      </c>
      <c r="I13" s="19">
        <v>0.61699999999999999</v>
      </c>
      <c r="J13" s="19">
        <v>0.312</v>
      </c>
      <c r="K13" s="18">
        <f t="shared" si="5"/>
        <v>7.1000000000000008E-2</v>
      </c>
      <c r="L13" s="7">
        <f t="shared" si="6"/>
        <v>11106</v>
      </c>
      <c r="M13" s="7">
        <f t="shared" si="7"/>
        <v>5616</v>
      </c>
      <c r="N13" s="7">
        <f t="shared" si="8"/>
        <v>1278</v>
      </c>
      <c r="O13" s="8"/>
      <c r="P13" s="20" t="str">
        <f t="shared" si="9"/>
        <v/>
      </c>
      <c r="Q13" t="s">
        <v>158</v>
      </c>
    </row>
    <row r="14" spans="1:17">
      <c r="A14" s="5">
        <v>46342</v>
      </c>
      <c r="B14" s="5">
        <f t="shared" si="0"/>
        <v>46347</v>
      </c>
      <c r="C14" t="str">
        <f t="shared" si="1"/>
        <v>Nov</v>
      </c>
      <c r="D14">
        <f t="shared" si="2"/>
        <v>3</v>
      </c>
      <c r="E14" s="8">
        <v>18000</v>
      </c>
      <c r="F14" s="10">
        <f t="shared" si="3"/>
        <v>1</v>
      </c>
      <c r="G14" s="8"/>
      <c r="H14" s="12">
        <f t="shared" si="4"/>
        <v>18000</v>
      </c>
      <c r="I14" s="19">
        <v>0.61699999999999999</v>
      </c>
      <c r="J14" s="19">
        <v>0.312</v>
      </c>
      <c r="K14" s="18">
        <f t="shared" si="5"/>
        <v>7.1000000000000008E-2</v>
      </c>
      <c r="L14" s="7">
        <f t="shared" si="6"/>
        <v>11106</v>
      </c>
      <c r="M14" s="7">
        <f t="shared" si="7"/>
        <v>5616</v>
      </c>
      <c r="N14" s="7">
        <f t="shared" si="8"/>
        <v>1278</v>
      </c>
      <c r="O14" s="8"/>
      <c r="P14" s="20" t="str">
        <f t="shared" si="9"/>
        <v/>
      </c>
      <c r="Q14" t="s">
        <v>158</v>
      </c>
    </row>
    <row r="15" spans="1:17">
      <c r="A15" s="5">
        <v>46349</v>
      </c>
      <c r="B15" s="5">
        <f t="shared" si="0"/>
        <v>46354</v>
      </c>
      <c r="C15" t="str">
        <f t="shared" si="1"/>
        <v>Nov</v>
      </c>
      <c r="D15">
        <f t="shared" si="2"/>
        <v>4</v>
      </c>
      <c r="E15" s="8">
        <v>18000</v>
      </c>
      <c r="F15" s="10">
        <f t="shared" si="3"/>
        <v>1</v>
      </c>
      <c r="G15" s="8"/>
      <c r="H15" s="12">
        <f t="shared" si="4"/>
        <v>18000</v>
      </c>
      <c r="I15" s="19">
        <v>0.61699999999999999</v>
      </c>
      <c r="J15" s="19">
        <v>0.312</v>
      </c>
      <c r="K15" s="18">
        <f t="shared" si="5"/>
        <v>7.1000000000000008E-2</v>
      </c>
      <c r="L15" s="7">
        <f t="shared" si="6"/>
        <v>11106</v>
      </c>
      <c r="M15" s="7">
        <f t="shared" si="7"/>
        <v>5616</v>
      </c>
      <c r="N15" s="7">
        <f t="shared" si="8"/>
        <v>1278</v>
      </c>
      <c r="O15" s="8"/>
      <c r="P15" s="20" t="str">
        <f t="shared" si="9"/>
        <v/>
      </c>
      <c r="Q15" t="s">
        <v>158</v>
      </c>
    </row>
    <row r="16" spans="1:17">
      <c r="A16" s="5">
        <v>46356</v>
      </c>
      <c r="B16" s="5">
        <f t="shared" si="0"/>
        <v>46361</v>
      </c>
      <c r="C16" t="str">
        <f t="shared" si="1"/>
        <v>Nov</v>
      </c>
      <c r="D16">
        <f t="shared" si="2"/>
        <v>5</v>
      </c>
      <c r="E16" s="8">
        <v>18000</v>
      </c>
      <c r="F16" s="10">
        <f t="shared" si="3"/>
        <v>1</v>
      </c>
      <c r="G16" s="8"/>
      <c r="H16" s="12">
        <f t="shared" si="4"/>
        <v>18000</v>
      </c>
      <c r="I16" s="19">
        <v>0.61699999999999999</v>
      </c>
      <c r="J16" s="19">
        <v>0.312</v>
      </c>
      <c r="K16" s="18">
        <f t="shared" si="5"/>
        <v>7.1000000000000008E-2</v>
      </c>
      <c r="L16" s="7">
        <f t="shared" si="6"/>
        <v>11106</v>
      </c>
      <c r="M16" s="7">
        <f t="shared" si="7"/>
        <v>5616</v>
      </c>
      <c r="N16" s="7">
        <f t="shared" si="8"/>
        <v>1278</v>
      </c>
      <c r="O16" s="8"/>
      <c r="P16" s="20" t="str">
        <f t="shared" si="9"/>
        <v/>
      </c>
      <c r="Q16" t="s">
        <v>158</v>
      </c>
    </row>
    <row r="17" spans="1:17">
      <c r="A17" s="5">
        <v>46363</v>
      </c>
      <c r="B17" s="5">
        <f t="shared" si="0"/>
        <v>46368</v>
      </c>
      <c r="C17" t="str">
        <f t="shared" si="1"/>
        <v>Dic</v>
      </c>
      <c r="D17">
        <f t="shared" si="2"/>
        <v>1</v>
      </c>
      <c r="E17" s="8">
        <v>18000</v>
      </c>
      <c r="F17" s="10">
        <f t="shared" si="3"/>
        <v>1</v>
      </c>
      <c r="G17" s="8"/>
      <c r="H17" s="12">
        <f t="shared" si="4"/>
        <v>18000</v>
      </c>
      <c r="I17" s="19">
        <v>0.61699999999999999</v>
      </c>
      <c r="J17" s="19">
        <v>0.312</v>
      </c>
      <c r="K17" s="18">
        <f t="shared" si="5"/>
        <v>7.1000000000000008E-2</v>
      </c>
      <c r="L17" s="7">
        <f t="shared" si="6"/>
        <v>11106</v>
      </c>
      <c r="M17" s="7">
        <f t="shared" si="7"/>
        <v>5616</v>
      </c>
      <c r="N17" s="7">
        <f t="shared" si="8"/>
        <v>1278</v>
      </c>
      <c r="O17" s="8"/>
      <c r="P17" s="20" t="str">
        <f t="shared" si="9"/>
        <v/>
      </c>
      <c r="Q17" t="s">
        <v>158</v>
      </c>
    </row>
    <row r="18" spans="1:17">
      <c r="A18" s="5">
        <v>46370</v>
      </c>
      <c r="B18" s="5">
        <f t="shared" si="0"/>
        <v>46375</v>
      </c>
      <c r="C18" t="str">
        <f t="shared" si="1"/>
        <v>Dic</v>
      </c>
      <c r="D18">
        <f t="shared" si="2"/>
        <v>2</v>
      </c>
      <c r="E18" s="8">
        <v>18000</v>
      </c>
      <c r="F18" s="10">
        <f t="shared" si="3"/>
        <v>1</v>
      </c>
      <c r="G18" s="8"/>
      <c r="H18" s="12">
        <f t="shared" si="4"/>
        <v>18000</v>
      </c>
      <c r="I18" s="19">
        <v>0.61699999999999999</v>
      </c>
      <c r="J18" s="19">
        <v>0.312</v>
      </c>
      <c r="K18" s="18">
        <f t="shared" si="5"/>
        <v>7.1000000000000008E-2</v>
      </c>
      <c r="L18" s="7">
        <f t="shared" si="6"/>
        <v>11106</v>
      </c>
      <c r="M18" s="7">
        <f t="shared" si="7"/>
        <v>5616</v>
      </c>
      <c r="N18" s="7">
        <f t="shared" si="8"/>
        <v>1278</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58</v>
      </c>
      <c r="E12" s="9" t="s">
        <v>205</v>
      </c>
      <c r="F12" s="9" t="s">
        <v>206</v>
      </c>
      <c r="G12" s="8">
        <v>1008</v>
      </c>
      <c r="H12" s="7">
        <f t="shared" si="2"/>
        <v>1008</v>
      </c>
      <c r="I12" s="9" t="s">
        <v>199</v>
      </c>
      <c r="J12" s="6"/>
      <c r="K12">
        <f t="shared" si="3"/>
        <v>3</v>
      </c>
      <c r="L12" s="5">
        <f t="shared" si="4"/>
        <v>46297</v>
      </c>
      <c r="M12" s="5">
        <f t="shared" si="5"/>
        <v>46293</v>
      </c>
      <c r="N12">
        <f t="shared" si="6"/>
        <v>1</v>
      </c>
      <c r="O12" s="10">
        <f t="shared" si="7"/>
        <v>7.09</v>
      </c>
      <c r="P12" s="7">
        <f t="shared" si="8"/>
        <v>7146.72</v>
      </c>
      <c r="Q12" s="9" t="s">
        <v>207</v>
      </c>
      <c r="R12" s="5">
        <f t="shared" si="9"/>
        <v>46300</v>
      </c>
      <c r="S12" s="5">
        <f t="shared" si="10"/>
        <v>46300</v>
      </c>
      <c r="T12" s="7">
        <f t="shared" ca="1" si="11"/>
        <v>1008</v>
      </c>
      <c r="U12" t="str">
        <f t="shared" si="12"/>
        <v/>
      </c>
    </row>
    <row r="13" spans="1:21">
      <c r="A13">
        <f t="shared" si="0"/>
        <v>9</v>
      </c>
      <c r="B13" s="6">
        <v>46294</v>
      </c>
      <c r="C13" t="str">
        <f t="shared" si="1"/>
        <v>mar</v>
      </c>
      <c r="D13" s="9" t="s">
        <v>59</v>
      </c>
      <c r="E13" s="9" t="s">
        <v>201</v>
      </c>
      <c r="F13" s="9" t="s">
        <v>3</v>
      </c>
      <c r="G13" s="8">
        <v>980</v>
      </c>
      <c r="H13" s="7">
        <f t="shared" si="2"/>
        <v>980</v>
      </c>
      <c r="I13" s="9" t="s">
        <v>199</v>
      </c>
      <c r="J13" s="6"/>
      <c r="K13">
        <f t="shared" si="3"/>
        <v>4</v>
      </c>
      <c r="L13" s="5">
        <f t="shared" si="4"/>
        <v>46298</v>
      </c>
      <c r="M13" s="5">
        <f t="shared" si="5"/>
        <v>46293</v>
      </c>
      <c r="N13">
        <f t="shared" si="6"/>
        <v>1</v>
      </c>
      <c r="O13" s="10">
        <f t="shared" si="7"/>
        <v>7</v>
      </c>
      <c r="P13" s="7">
        <f t="shared" si="8"/>
        <v>6860</v>
      </c>
      <c r="Q13" s="9" t="s">
        <v>208</v>
      </c>
      <c r="R13" s="5">
        <f t="shared" si="9"/>
        <v>46299</v>
      </c>
      <c r="S13" s="5">
        <f t="shared" si="10"/>
        <v>46300</v>
      </c>
      <c r="T13" s="7">
        <f t="shared" ca="1" si="11"/>
        <v>980</v>
      </c>
      <c r="U13" t="str">
        <f t="shared" si="12"/>
        <v/>
      </c>
    </row>
    <row r="14" spans="1:21">
      <c r="A14">
        <f t="shared" si="0"/>
        <v>10</v>
      </c>
      <c r="B14" s="6">
        <v>46295</v>
      </c>
      <c r="C14" t="str">
        <f t="shared" si="1"/>
        <v>mié</v>
      </c>
      <c r="D14" s="9" t="s">
        <v>58</v>
      </c>
      <c r="E14" s="9" t="s">
        <v>209</v>
      </c>
      <c r="F14" s="9" t="s">
        <v>210</v>
      </c>
      <c r="G14" s="8">
        <v>1008</v>
      </c>
      <c r="H14" s="7">
        <f t="shared" si="2"/>
        <v>1008</v>
      </c>
      <c r="I14" s="9" t="s">
        <v>199</v>
      </c>
      <c r="J14" s="6"/>
      <c r="K14">
        <f t="shared" si="3"/>
        <v>3</v>
      </c>
      <c r="L14" s="5">
        <f t="shared" si="4"/>
        <v>46298</v>
      </c>
      <c r="M14" s="5">
        <f t="shared" si="5"/>
        <v>46293</v>
      </c>
      <c r="N14">
        <f t="shared" si="6"/>
        <v>1</v>
      </c>
      <c r="O14" s="10">
        <f t="shared" si="7"/>
        <v>7.09</v>
      </c>
      <c r="P14" s="7">
        <f t="shared" si="8"/>
        <v>7146.72</v>
      </c>
      <c r="Q14" s="9" t="s">
        <v>211</v>
      </c>
      <c r="R14" s="5">
        <f t="shared" si="9"/>
        <v>46301</v>
      </c>
      <c r="S14" s="5">
        <f t="shared" si="10"/>
        <v>46300</v>
      </c>
      <c r="T14" s="7">
        <f t="shared" ca="1" si="11"/>
        <v>1008</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211</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214</v>
      </c>
      <c r="F16" s="9" t="s">
        <v>210</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215</v>
      </c>
      <c r="R16" s="5">
        <f t="shared" si="9"/>
        <v>46301</v>
      </c>
      <c r="S16" s="5">
        <f t="shared" si="10"/>
        <v>46300</v>
      </c>
      <c r="T16" s="7">
        <f t="shared" ca="1" si="11"/>
        <v>1008</v>
      </c>
      <c r="U16" t="str">
        <f t="shared" si="12"/>
        <v/>
      </c>
    </row>
    <row r="17" spans="1:21">
      <c r="A17">
        <f t="shared" si="0"/>
        <v>13</v>
      </c>
      <c r="B17" s="6">
        <v>46297</v>
      </c>
      <c r="C17" t="str">
        <f t="shared" si="1"/>
        <v>vie</v>
      </c>
      <c r="D17" s="9" t="s">
        <v>58</v>
      </c>
      <c r="E17" s="9" t="s">
        <v>209</v>
      </c>
      <c r="F17" s="9" t="s">
        <v>210</v>
      </c>
      <c r="G17" s="8">
        <v>1008</v>
      </c>
      <c r="H17" s="7">
        <f t="shared" si="2"/>
        <v>1008</v>
      </c>
      <c r="I17" s="9" t="s">
        <v>199</v>
      </c>
      <c r="J17" s="6"/>
      <c r="K17">
        <f t="shared" si="3"/>
        <v>3</v>
      </c>
      <c r="L17" s="5">
        <f t="shared" si="4"/>
        <v>46300</v>
      </c>
      <c r="M17" s="5">
        <f t="shared" si="5"/>
        <v>46300</v>
      </c>
      <c r="N17">
        <f t="shared" si="6"/>
        <v>1</v>
      </c>
      <c r="O17" s="10">
        <f t="shared" si="7"/>
        <v>7.09</v>
      </c>
      <c r="P17" s="7">
        <f t="shared" si="8"/>
        <v>7146.72</v>
      </c>
      <c r="Q17" s="9" t="s">
        <v>216</v>
      </c>
      <c r="R17" s="5">
        <f t="shared" si="9"/>
        <v>46303</v>
      </c>
      <c r="S17" s="5">
        <f t="shared" si="10"/>
        <v>46300</v>
      </c>
      <c r="T17" s="7">
        <f t="shared" ca="1" si="11"/>
        <v>0</v>
      </c>
      <c r="U17" t="str">
        <f t="shared" si="12"/>
        <v/>
      </c>
    </row>
    <row r="18" spans="1:21">
      <c r="A18">
        <f t="shared" si="0"/>
        <v>14</v>
      </c>
      <c r="B18" s="6">
        <v>46297</v>
      </c>
      <c r="C18" t="str">
        <f t="shared" si="1"/>
        <v>vie</v>
      </c>
      <c r="D18" s="9" t="s">
        <v>58</v>
      </c>
      <c r="E18" s="9" t="s">
        <v>217</v>
      </c>
      <c r="F18" s="9" t="s">
        <v>218</v>
      </c>
      <c r="G18" s="8">
        <v>936</v>
      </c>
      <c r="H18" s="7">
        <f t="shared" si="2"/>
        <v>936</v>
      </c>
      <c r="I18" s="9" t="s">
        <v>199</v>
      </c>
      <c r="J18" s="6"/>
      <c r="K18">
        <f t="shared" si="3"/>
        <v>3</v>
      </c>
      <c r="L18" s="5">
        <f t="shared" si="4"/>
        <v>46300</v>
      </c>
      <c r="M18" s="5">
        <f t="shared" si="5"/>
        <v>46300</v>
      </c>
      <c r="N18">
        <f t="shared" si="6"/>
        <v>1</v>
      </c>
      <c r="O18" s="10">
        <f t="shared" si="7"/>
        <v>7.09</v>
      </c>
      <c r="P18" s="7">
        <f t="shared" si="8"/>
        <v>6636.24</v>
      </c>
      <c r="Q18" s="9" t="s">
        <v>216</v>
      </c>
      <c r="R18" s="5">
        <f t="shared" si="9"/>
        <v>46303</v>
      </c>
      <c r="S18" s="5">
        <f t="shared" si="10"/>
        <v>46300</v>
      </c>
      <c r="T18" s="7">
        <f t="shared" ca="1" si="11"/>
        <v>0</v>
      </c>
      <c r="U18" t="str">
        <f t="shared" si="12"/>
        <v/>
      </c>
    </row>
    <row r="19" spans="1:21">
      <c r="A19">
        <f t="shared" si="0"/>
        <v>15</v>
      </c>
      <c r="B19" s="6">
        <v>46297</v>
      </c>
      <c r="C19" t="str">
        <f t="shared" si="1"/>
        <v>vie</v>
      </c>
      <c r="D19" s="9" t="s">
        <v>58</v>
      </c>
      <c r="E19" s="9" t="s">
        <v>212</v>
      </c>
      <c r="F19" s="9" t="s">
        <v>213</v>
      </c>
      <c r="G19" s="8">
        <v>1008</v>
      </c>
      <c r="H19" s="7">
        <f t="shared" si="2"/>
        <v>1008</v>
      </c>
      <c r="I19" s="9" t="s">
        <v>199</v>
      </c>
      <c r="J19" s="6"/>
      <c r="K19">
        <f t="shared" si="3"/>
        <v>3</v>
      </c>
      <c r="L19" s="5">
        <f t="shared" si="4"/>
        <v>46300</v>
      </c>
      <c r="M19" s="5">
        <f t="shared" si="5"/>
        <v>46300</v>
      </c>
      <c r="N19">
        <f t="shared" si="6"/>
        <v>1</v>
      </c>
      <c r="O19" s="10">
        <f t="shared" si="7"/>
        <v>7.09</v>
      </c>
      <c r="P19" s="7">
        <f t="shared" si="8"/>
        <v>7146.72</v>
      </c>
      <c r="Q19" s="9" t="s">
        <v>216</v>
      </c>
      <c r="R19" s="5">
        <f t="shared" si="9"/>
        <v>46303</v>
      </c>
      <c r="S19" s="5">
        <f t="shared" si="10"/>
        <v>46300</v>
      </c>
      <c r="T19" s="7">
        <f t="shared" ca="1" si="11"/>
        <v>0</v>
      </c>
      <c r="U19" t="str">
        <f t="shared" si="12"/>
        <v/>
      </c>
    </row>
    <row r="20" spans="1:21">
      <c r="A20">
        <f t="shared" si="0"/>
        <v>16</v>
      </c>
      <c r="B20" s="6">
        <v>46297</v>
      </c>
      <c r="C20" t="str">
        <f t="shared" si="1"/>
        <v>vie</v>
      </c>
      <c r="D20" s="9" t="s">
        <v>58</v>
      </c>
      <c r="E20" s="9" t="s">
        <v>219</v>
      </c>
      <c r="F20" s="9" t="s">
        <v>210</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216</v>
      </c>
      <c r="R20" s="5">
        <f t="shared" si="9"/>
        <v>46303</v>
      </c>
      <c r="S20" s="5">
        <f t="shared" si="10"/>
        <v>46300</v>
      </c>
      <c r="T20" s="7">
        <f t="shared" ca="1" si="11"/>
        <v>0</v>
      </c>
      <c r="U20" t="str">
        <f t="shared" si="12"/>
        <v/>
      </c>
    </row>
    <row r="21" spans="1:21">
      <c r="A21">
        <f t="shared" si="0"/>
        <v>17</v>
      </c>
      <c r="B21" s="6">
        <v>46297</v>
      </c>
      <c r="C21" t="str">
        <f t="shared" si="1"/>
        <v>vie</v>
      </c>
      <c r="D21" s="9" t="s">
        <v>58</v>
      </c>
      <c r="E21" s="9" t="s">
        <v>205</v>
      </c>
      <c r="F21" s="9" t="s">
        <v>206</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216</v>
      </c>
      <c r="R21" s="5">
        <f t="shared" si="9"/>
        <v>46303</v>
      </c>
      <c r="S21" s="5">
        <f t="shared" si="10"/>
        <v>46300</v>
      </c>
      <c r="T21" s="7">
        <f t="shared" ca="1" si="11"/>
        <v>0</v>
      </c>
      <c r="U21" t="str">
        <f t="shared" si="12"/>
        <v/>
      </c>
    </row>
    <row r="22" spans="1:21">
      <c r="A22">
        <f t="shared" si="0"/>
        <v>18</v>
      </c>
      <c r="B22" s="6">
        <v>46297</v>
      </c>
      <c r="C22" t="str">
        <f t="shared" si="1"/>
        <v>vie</v>
      </c>
      <c r="D22" s="9" t="s">
        <v>58</v>
      </c>
      <c r="E22" s="9" t="s">
        <v>220</v>
      </c>
      <c r="F22" s="9" t="s">
        <v>210</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216</v>
      </c>
      <c r="R22" s="5">
        <f t="shared" si="9"/>
        <v>46303</v>
      </c>
      <c r="S22" s="5">
        <f t="shared" si="10"/>
        <v>46300</v>
      </c>
      <c r="T22" s="7">
        <f t="shared" ca="1" si="11"/>
        <v>0</v>
      </c>
      <c r="U22" t="str">
        <f t="shared" si="12"/>
        <v/>
      </c>
    </row>
    <row r="23" spans="1:21">
      <c r="A23">
        <f t="shared" si="0"/>
        <v>19</v>
      </c>
      <c r="B23" s="6">
        <v>46297</v>
      </c>
      <c r="C23" t="str">
        <f t="shared" si="1"/>
        <v>vie</v>
      </c>
      <c r="D23" s="9" t="s">
        <v>58</v>
      </c>
      <c r="E23" s="9" t="s">
        <v>221</v>
      </c>
      <c r="F23" s="9" t="s">
        <v>206</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216</v>
      </c>
      <c r="R23" s="5">
        <f t="shared" si="9"/>
        <v>46303</v>
      </c>
      <c r="S23" s="5">
        <f t="shared" si="10"/>
        <v>46300</v>
      </c>
      <c r="T23" s="7">
        <f t="shared" ca="1" si="11"/>
        <v>0</v>
      </c>
      <c r="U23" t="str">
        <f t="shared" si="12"/>
        <v/>
      </c>
    </row>
    <row r="24" spans="1:21">
      <c r="A24">
        <f t="shared" si="0"/>
        <v>20</v>
      </c>
      <c r="B24" s="6">
        <v>46297</v>
      </c>
      <c r="C24" t="str">
        <f t="shared" si="1"/>
        <v>vie</v>
      </c>
      <c r="D24" s="9" t="s">
        <v>58</v>
      </c>
      <c r="E24" s="9" t="s">
        <v>214</v>
      </c>
      <c r="F24" s="9" t="s">
        <v>210</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216</v>
      </c>
      <c r="R24" s="5">
        <f t="shared" si="9"/>
        <v>46303</v>
      </c>
      <c r="S24" s="5">
        <f t="shared" si="10"/>
        <v>46300</v>
      </c>
      <c r="T24" s="7">
        <f t="shared" ca="1" si="11"/>
        <v>0</v>
      </c>
      <c r="U24" t="str">
        <f t="shared" si="12"/>
        <v/>
      </c>
    </row>
    <row r="25" spans="1:21">
      <c r="A25">
        <f t="shared" si="0"/>
        <v>21</v>
      </c>
      <c r="B25" s="6">
        <v>46300</v>
      </c>
      <c r="C25" t="str">
        <f t="shared" si="1"/>
        <v>lun</v>
      </c>
      <c r="D25" s="9" t="s">
        <v>59</v>
      </c>
      <c r="E25" s="9" t="s">
        <v>190</v>
      </c>
      <c r="F25" s="9" t="s">
        <v>3</v>
      </c>
      <c r="G25" s="8">
        <v>980</v>
      </c>
      <c r="H25" s="7">
        <f t="shared" si="2"/>
        <v>980</v>
      </c>
      <c r="I25" s="9" t="s">
        <v>199</v>
      </c>
      <c r="J25" s="6"/>
      <c r="K25">
        <f t="shared" si="3"/>
        <v>4</v>
      </c>
      <c r="L25" s="5">
        <f t="shared" si="4"/>
        <v>46304</v>
      </c>
      <c r="M25" s="5">
        <f t="shared" si="5"/>
        <v>46300</v>
      </c>
      <c r="N25">
        <f t="shared" si="6"/>
        <v>1</v>
      </c>
      <c r="O25" s="10">
        <f t="shared" si="7"/>
        <v>7</v>
      </c>
      <c r="P25" s="7">
        <f t="shared" si="8"/>
        <v>6860</v>
      </c>
      <c r="Q25" s="9" t="s">
        <v>222</v>
      </c>
      <c r="R25" s="5">
        <f t="shared" si="9"/>
        <v>46305</v>
      </c>
      <c r="S25" s="5">
        <f t="shared" si="10"/>
        <v>46300</v>
      </c>
      <c r="T25" s="7">
        <f t="shared" ca="1" si="11"/>
        <v>0</v>
      </c>
      <c r="U25" t="str">
        <f t="shared" si="12"/>
        <v/>
      </c>
    </row>
    <row r="26" spans="1:21">
      <c r="A26">
        <f t="shared" si="0"/>
        <v>22</v>
      </c>
      <c r="B26" s="6">
        <v>46300</v>
      </c>
      <c r="C26" t="str">
        <f t="shared" si="1"/>
        <v>lun</v>
      </c>
      <c r="D26" s="9" t="s">
        <v>59</v>
      </c>
      <c r="E26" s="9" t="s">
        <v>201</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223</v>
      </c>
      <c r="R26" s="5">
        <f t="shared" si="9"/>
        <v>46305</v>
      </c>
      <c r="S26" s="5">
        <f t="shared" si="10"/>
        <v>46300</v>
      </c>
      <c r="T26" s="7">
        <f t="shared" ca="1" si="11"/>
        <v>0</v>
      </c>
      <c r="U26" t="str">
        <f t="shared" si="12"/>
        <v/>
      </c>
    </row>
    <row r="27" spans="1:21">
      <c r="A27">
        <f t="shared" si="0"/>
        <v>23</v>
      </c>
      <c r="B27" s="6">
        <v>46300</v>
      </c>
      <c r="C27" t="str">
        <f t="shared" si="1"/>
        <v>lun</v>
      </c>
      <c r="D27" s="9" t="s">
        <v>59</v>
      </c>
      <c r="E27" s="9" t="s">
        <v>203</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224</v>
      </c>
      <c r="R27" s="5">
        <f t="shared" si="9"/>
        <v>46305</v>
      </c>
      <c r="S27" s="5">
        <f t="shared" si="10"/>
        <v>46300</v>
      </c>
      <c r="T27" s="7">
        <f t="shared" ca="1" si="11"/>
        <v>0</v>
      </c>
      <c r="U27" t="str">
        <f t="shared" si="12"/>
        <v/>
      </c>
    </row>
    <row r="28" spans="1:21">
      <c r="A28">
        <f t="shared" si="0"/>
        <v>24</v>
      </c>
      <c r="B28" s="6">
        <v>46301</v>
      </c>
      <c r="C28" t="str">
        <f t="shared" si="1"/>
        <v>mar</v>
      </c>
      <c r="D28" s="9" t="s">
        <v>60</v>
      </c>
      <c r="E28" s="9" t="s">
        <v>225</v>
      </c>
      <c r="F28" s="9" t="s">
        <v>3</v>
      </c>
      <c r="G28" s="8">
        <v>1050</v>
      </c>
      <c r="H28" s="7">
        <f t="shared" si="2"/>
        <v>1050</v>
      </c>
      <c r="I28" s="9" t="s">
        <v>226</v>
      </c>
      <c r="J28" s="6"/>
      <c r="K28">
        <f t="shared" si="3"/>
        <v>6</v>
      </c>
      <c r="L28" s="5">
        <f t="shared" si="4"/>
        <v>46307</v>
      </c>
      <c r="M28" s="5">
        <f t="shared" si="5"/>
        <v>46307</v>
      </c>
      <c r="N28">
        <f t="shared" si="6"/>
        <v>1</v>
      </c>
      <c r="O28" s="10">
        <f t="shared" si="7"/>
        <v>10.8</v>
      </c>
      <c r="P28" s="7">
        <f t="shared" si="8"/>
        <v>11340</v>
      </c>
      <c r="Q28" s="9" t="s">
        <v>227</v>
      </c>
      <c r="R28" s="5">
        <f t="shared" si="9"/>
        <v>46309</v>
      </c>
      <c r="S28" s="5">
        <f t="shared" si="10"/>
        <v>46307</v>
      </c>
      <c r="T28" s="7">
        <f t="shared" ca="1" si="11"/>
        <v>0</v>
      </c>
      <c r="U28" t="str">
        <f t="shared" si="12"/>
        <v/>
      </c>
    </row>
    <row r="29" spans="1:21">
      <c r="A29">
        <f t="shared" si="0"/>
        <v>25</v>
      </c>
      <c r="B29" s="6">
        <v>46301</v>
      </c>
      <c r="C29" t="str">
        <f t="shared" si="1"/>
        <v>mar</v>
      </c>
      <c r="D29" s="9" t="s">
        <v>58</v>
      </c>
      <c r="E29" s="9" t="s">
        <v>212</v>
      </c>
      <c r="F29" s="9" t="s">
        <v>213</v>
      </c>
      <c r="G29" s="8">
        <v>1008</v>
      </c>
      <c r="H29" s="7">
        <f t="shared" si="2"/>
        <v>1008</v>
      </c>
      <c r="I29" s="9" t="s">
        <v>199</v>
      </c>
      <c r="J29" s="6"/>
      <c r="K29">
        <f t="shared" si="3"/>
        <v>3</v>
      </c>
      <c r="L29" s="5">
        <f t="shared" si="4"/>
        <v>46304</v>
      </c>
      <c r="M29" s="5">
        <f t="shared" si="5"/>
        <v>46300</v>
      </c>
      <c r="N29">
        <f t="shared" si="6"/>
        <v>1</v>
      </c>
      <c r="O29" s="10">
        <f t="shared" si="7"/>
        <v>7.09</v>
      </c>
      <c r="P29" s="7">
        <f t="shared" si="8"/>
        <v>7146.72</v>
      </c>
      <c r="Q29" s="9" t="s">
        <v>228</v>
      </c>
      <c r="R29" s="5">
        <f t="shared" si="9"/>
        <v>46307</v>
      </c>
      <c r="S29" s="5">
        <f t="shared" si="10"/>
        <v>46307</v>
      </c>
      <c r="T29" s="7">
        <f t="shared" ca="1" si="11"/>
        <v>0</v>
      </c>
      <c r="U29" t="str">
        <f t="shared" si="12"/>
        <v/>
      </c>
    </row>
    <row r="30" spans="1:21">
      <c r="A30">
        <f t="shared" si="0"/>
        <v>26</v>
      </c>
      <c r="B30" s="6">
        <v>46301</v>
      </c>
      <c r="C30" t="str">
        <f t="shared" si="1"/>
        <v>mar</v>
      </c>
      <c r="D30" s="9" t="s">
        <v>58</v>
      </c>
      <c r="E30" s="9" t="s">
        <v>220</v>
      </c>
      <c r="F30" s="9" t="s">
        <v>210</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229</v>
      </c>
      <c r="R30" s="5">
        <f t="shared" si="9"/>
        <v>46307</v>
      </c>
      <c r="S30" s="5">
        <f t="shared" si="10"/>
        <v>46307</v>
      </c>
      <c r="T30" s="7">
        <f t="shared" ca="1" si="11"/>
        <v>0</v>
      </c>
      <c r="U30" t="str">
        <f t="shared" si="12"/>
        <v/>
      </c>
    </row>
    <row r="31" spans="1:21">
      <c r="A31">
        <f t="shared" si="0"/>
        <v>27</v>
      </c>
      <c r="B31" s="6">
        <v>46301</v>
      </c>
      <c r="C31" t="str">
        <f t="shared" si="1"/>
        <v>mar</v>
      </c>
      <c r="D31" s="9" t="s">
        <v>58</v>
      </c>
      <c r="E31" s="9" t="s">
        <v>214</v>
      </c>
      <c r="F31" s="9" t="s">
        <v>210</v>
      </c>
      <c r="G31" s="8">
        <v>1008</v>
      </c>
      <c r="H31" s="7">
        <f t="shared" si="2"/>
        <v>1008</v>
      </c>
      <c r="I31" s="9" t="s">
        <v>199</v>
      </c>
      <c r="J31" s="6"/>
      <c r="K31">
        <f t="shared" si="3"/>
        <v>3</v>
      </c>
      <c r="L31" s="5">
        <f t="shared" si="4"/>
        <v>46304</v>
      </c>
      <c r="M31" s="5">
        <f t="shared" si="5"/>
        <v>46300</v>
      </c>
      <c r="N31">
        <f t="shared" si="6"/>
        <v>1</v>
      </c>
      <c r="O31" s="10">
        <f t="shared" si="7"/>
        <v>7.09</v>
      </c>
      <c r="P31" s="7">
        <f t="shared" si="8"/>
        <v>7146.72</v>
      </c>
      <c r="Q31" s="9" t="s">
        <v>228</v>
      </c>
      <c r="R31" s="5">
        <f t="shared" si="9"/>
        <v>46307</v>
      </c>
      <c r="S31" s="5">
        <f t="shared" si="10"/>
        <v>46307</v>
      </c>
      <c r="T31" s="7">
        <f t="shared" ca="1" si="11"/>
        <v>0</v>
      </c>
      <c r="U31" t="str">
        <f t="shared" si="12"/>
        <v/>
      </c>
    </row>
    <row r="32" spans="1:21">
      <c r="A32">
        <f t="shared" si="0"/>
        <v>28</v>
      </c>
      <c r="B32" s="6">
        <v>46301</v>
      </c>
      <c r="C32" t="str">
        <f t="shared" si="1"/>
        <v>mar</v>
      </c>
      <c r="D32" s="9" t="s">
        <v>59</v>
      </c>
      <c r="E32" s="9" t="s">
        <v>201</v>
      </c>
      <c r="F32" s="9" t="s">
        <v>3</v>
      </c>
      <c r="G32" s="8">
        <v>980</v>
      </c>
      <c r="H32" s="7">
        <f t="shared" si="2"/>
        <v>980</v>
      </c>
      <c r="I32" s="9" t="s">
        <v>199</v>
      </c>
      <c r="J32" s="6"/>
      <c r="K32">
        <f t="shared" si="3"/>
        <v>4</v>
      </c>
      <c r="L32" s="5">
        <f t="shared" si="4"/>
        <v>46305</v>
      </c>
      <c r="M32" s="5">
        <f t="shared" si="5"/>
        <v>46300</v>
      </c>
      <c r="N32">
        <f t="shared" si="6"/>
        <v>1</v>
      </c>
      <c r="O32" s="10">
        <f t="shared" si="7"/>
        <v>7</v>
      </c>
      <c r="P32" s="7">
        <f t="shared" si="8"/>
        <v>6860</v>
      </c>
      <c r="Q32" s="9" t="s">
        <v>230</v>
      </c>
      <c r="R32" s="5">
        <f t="shared" si="9"/>
        <v>46306</v>
      </c>
      <c r="S32" s="5">
        <f t="shared" si="10"/>
        <v>46307</v>
      </c>
      <c r="T32" s="7">
        <f t="shared" ca="1" si="11"/>
        <v>0</v>
      </c>
      <c r="U32" t="str">
        <f t="shared" si="12"/>
        <v/>
      </c>
    </row>
    <row r="33" spans="1:21">
      <c r="A33">
        <f t="shared" si="0"/>
        <v>29</v>
      </c>
      <c r="B33" s="6">
        <v>46301</v>
      </c>
      <c r="C33" t="str">
        <f t="shared" si="1"/>
        <v>mar</v>
      </c>
      <c r="D33" s="9" t="s">
        <v>59</v>
      </c>
      <c r="E33" s="9" t="s">
        <v>203</v>
      </c>
      <c r="F33" s="9" t="s">
        <v>3</v>
      </c>
      <c r="G33" s="8">
        <v>980</v>
      </c>
      <c r="H33" s="7">
        <f t="shared" si="2"/>
        <v>980</v>
      </c>
      <c r="I33" s="9" t="s">
        <v>199</v>
      </c>
      <c r="J33" s="6"/>
      <c r="K33">
        <f t="shared" si="3"/>
        <v>4</v>
      </c>
      <c r="L33" s="5">
        <f t="shared" si="4"/>
        <v>46305</v>
      </c>
      <c r="M33" s="5">
        <f t="shared" si="5"/>
        <v>46300</v>
      </c>
      <c r="N33">
        <f t="shared" si="6"/>
        <v>1</v>
      </c>
      <c r="O33" s="10">
        <f t="shared" si="7"/>
        <v>7</v>
      </c>
      <c r="P33" s="7">
        <f t="shared" si="8"/>
        <v>6860</v>
      </c>
      <c r="Q33" s="9" t="s">
        <v>231</v>
      </c>
      <c r="R33" s="5">
        <f t="shared" si="9"/>
        <v>46306</v>
      </c>
      <c r="S33" s="5">
        <f t="shared" si="10"/>
        <v>46307</v>
      </c>
      <c r="T33" s="7">
        <f t="shared" ca="1" si="11"/>
        <v>0</v>
      </c>
      <c r="U33" t="str">
        <f t="shared" si="12"/>
        <v/>
      </c>
    </row>
    <row r="34" spans="1:21">
      <c r="A34">
        <f t="shared" si="0"/>
        <v>30</v>
      </c>
      <c r="B34" s="6">
        <v>46302</v>
      </c>
      <c r="C34" t="str">
        <f t="shared" si="1"/>
        <v>mié</v>
      </c>
      <c r="D34" s="9" t="s">
        <v>58</v>
      </c>
      <c r="E34" s="9" t="s">
        <v>209</v>
      </c>
      <c r="F34" s="9" t="s">
        <v>210</v>
      </c>
      <c r="G34" s="8">
        <v>1008</v>
      </c>
      <c r="H34" s="7">
        <f t="shared" si="2"/>
        <v>1008</v>
      </c>
      <c r="I34" s="9" t="s">
        <v>199</v>
      </c>
      <c r="J34" s="6"/>
      <c r="K34">
        <f t="shared" si="3"/>
        <v>3</v>
      </c>
      <c r="L34" s="5">
        <f t="shared" si="4"/>
        <v>46305</v>
      </c>
      <c r="M34" s="5">
        <f t="shared" si="5"/>
        <v>46300</v>
      </c>
      <c r="N34">
        <f t="shared" si="6"/>
        <v>1</v>
      </c>
      <c r="O34" s="10">
        <f t="shared" si="7"/>
        <v>7.09</v>
      </c>
      <c r="P34" s="7">
        <f t="shared" si="8"/>
        <v>7146.72</v>
      </c>
      <c r="Q34" s="9" t="s">
        <v>232</v>
      </c>
      <c r="R34" s="5">
        <f t="shared" si="9"/>
        <v>46308</v>
      </c>
      <c r="S34" s="5">
        <f t="shared" si="10"/>
        <v>46307</v>
      </c>
      <c r="T34" s="7">
        <f t="shared" ca="1" si="11"/>
        <v>0</v>
      </c>
      <c r="U34" t="str">
        <f t="shared" si="12"/>
        <v/>
      </c>
    </row>
    <row r="35" spans="1:21">
      <c r="A35">
        <f t="shared" si="0"/>
        <v>31</v>
      </c>
      <c r="B35" s="6">
        <v>46302</v>
      </c>
      <c r="C35" t="str">
        <f t="shared" si="1"/>
        <v>mié</v>
      </c>
      <c r="D35" s="9" t="s">
        <v>58</v>
      </c>
      <c r="E35" s="9" t="s">
        <v>217</v>
      </c>
      <c r="F35" s="9" t="s">
        <v>218</v>
      </c>
      <c r="G35" s="8">
        <v>936</v>
      </c>
      <c r="H35" s="7">
        <f t="shared" si="2"/>
        <v>936</v>
      </c>
      <c r="I35" s="9" t="s">
        <v>199</v>
      </c>
      <c r="J35" s="6"/>
      <c r="K35">
        <f t="shared" si="3"/>
        <v>3</v>
      </c>
      <c r="L35" s="5">
        <f t="shared" si="4"/>
        <v>46305</v>
      </c>
      <c r="M35" s="5">
        <f t="shared" si="5"/>
        <v>46300</v>
      </c>
      <c r="N35">
        <f t="shared" si="6"/>
        <v>1</v>
      </c>
      <c r="O35" s="10">
        <f t="shared" si="7"/>
        <v>7.09</v>
      </c>
      <c r="P35" s="7">
        <f t="shared" si="8"/>
        <v>6636.24</v>
      </c>
      <c r="Q35" s="9" t="s">
        <v>233</v>
      </c>
      <c r="R35" s="5">
        <f t="shared" si="9"/>
        <v>46308</v>
      </c>
      <c r="S35" s="5">
        <f t="shared" si="10"/>
        <v>46307</v>
      </c>
      <c r="T35" s="7">
        <f t="shared" ca="1" si="11"/>
        <v>0</v>
      </c>
      <c r="U35" t="str">
        <f t="shared" si="12"/>
        <v/>
      </c>
    </row>
    <row r="36" spans="1:21">
      <c r="A36">
        <f t="shared" si="0"/>
        <v>32</v>
      </c>
      <c r="B36" s="6">
        <v>46302</v>
      </c>
      <c r="C36" t="str">
        <f t="shared" si="1"/>
        <v>mié</v>
      </c>
      <c r="D36" s="9" t="s">
        <v>58</v>
      </c>
      <c r="E36" s="9" t="s">
        <v>205</v>
      </c>
      <c r="F36" s="9" t="s">
        <v>206</v>
      </c>
      <c r="G36" s="8">
        <v>1008</v>
      </c>
      <c r="H36" s="7">
        <f t="shared" si="2"/>
        <v>1008</v>
      </c>
      <c r="I36" s="9" t="s">
        <v>199</v>
      </c>
      <c r="J36" s="6"/>
      <c r="K36">
        <f t="shared" si="3"/>
        <v>3</v>
      </c>
      <c r="L36" s="5">
        <f t="shared" si="4"/>
        <v>46305</v>
      </c>
      <c r="M36" s="5">
        <f t="shared" si="5"/>
        <v>46300</v>
      </c>
      <c r="N36">
        <f t="shared" si="6"/>
        <v>1</v>
      </c>
      <c r="O36" s="10">
        <f t="shared" si="7"/>
        <v>7.09</v>
      </c>
      <c r="P36" s="7">
        <f t="shared" si="8"/>
        <v>7146.72</v>
      </c>
      <c r="Q36" s="9" t="s">
        <v>232</v>
      </c>
      <c r="R36" s="5">
        <f t="shared" si="9"/>
        <v>46308</v>
      </c>
      <c r="S36" s="5">
        <f t="shared" si="10"/>
        <v>46307</v>
      </c>
      <c r="T36" s="7">
        <f t="shared" ca="1" si="11"/>
        <v>0</v>
      </c>
      <c r="U36" t="str">
        <f t="shared" si="12"/>
        <v/>
      </c>
    </row>
    <row r="37" spans="1:21">
      <c r="A37">
        <f t="shared" si="0"/>
        <v>33</v>
      </c>
      <c r="B37" s="6">
        <v>46304</v>
      </c>
      <c r="C37" t="str">
        <f t="shared" si="1"/>
        <v>vie</v>
      </c>
      <c r="D37" s="9" t="s">
        <v>58</v>
      </c>
      <c r="E37" s="9" t="s">
        <v>212</v>
      </c>
      <c r="F37" s="9" t="s">
        <v>213</v>
      </c>
      <c r="G37" s="8">
        <v>1008</v>
      </c>
      <c r="H37" s="7">
        <f t="shared" si="2"/>
        <v>1008</v>
      </c>
      <c r="I37" s="9" t="s">
        <v>199</v>
      </c>
      <c r="J37" s="6"/>
      <c r="K37">
        <f t="shared" si="3"/>
        <v>3</v>
      </c>
      <c r="L37" s="5">
        <f t="shared" si="4"/>
        <v>46307</v>
      </c>
      <c r="M37" s="5">
        <f t="shared" si="5"/>
        <v>46307</v>
      </c>
      <c r="N37">
        <f t="shared" si="6"/>
        <v>1</v>
      </c>
      <c r="O37" s="10">
        <f t="shared" si="7"/>
        <v>7.09</v>
      </c>
      <c r="P37" s="7">
        <f t="shared" si="8"/>
        <v>7146.72</v>
      </c>
      <c r="Q37" s="9" t="s">
        <v>234</v>
      </c>
      <c r="R37" s="5">
        <f t="shared" si="9"/>
        <v>46310</v>
      </c>
      <c r="S37" s="5">
        <f t="shared" si="10"/>
        <v>46307</v>
      </c>
      <c r="T37" s="7">
        <f t="shared" ca="1" si="11"/>
        <v>0</v>
      </c>
      <c r="U37" t="str">
        <f t="shared" si="12"/>
        <v/>
      </c>
    </row>
    <row r="38" spans="1:21">
      <c r="A38">
        <f t="shared" si="0"/>
        <v>34</v>
      </c>
      <c r="B38" s="6">
        <v>46304</v>
      </c>
      <c r="C38" t="str">
        <f t="shared" si="1"/>
        <v>vie</v>
      </c>
      <c r="D38" s="9" t="s">
        <v>58</v>
      </c>
      <c r="E38" s="9" t="s">
        <v>219</v>
      </c>
      <c r="F38" s="9" t="s">
        <v>210</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234</v>
      </c>
      <c r="R38" s="5">
        <f t="shared" si="9"/>
        <v>46310</v>
      </c>
      <c r="S38" s="5">
        <f t="shared" si="10"/>
        <v>46307</v>
      </c>
      <c r="T38" s="7">
        <f t="shared" ca="1" si="11"/>
        <v>0</v>
      </c>
      <c r="U38" t="str">
        <f t="shared" si="12"/>
        <v/>
      </c>
    </row>
    <row r="39" spans="1:21">
      <c r="A39">
        <f t="shared" si="0"/>
        <v>35</v>
      </c>
      <c r="B39" s="6">
        <v>46304</v>
      </c>
      <c r="C39" t="str">
        <f t="shared" si="1"/>
        <v>vie</v>
      </c>
      <c r="D39" s="9" t="s">
        <v>58</v>
      </c>
      <c r="E39" s="9" t="s">
        <v>205</v>
      </c>
      <c r="F39" s="9" t="s">
        <v>206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234</v>
      </c>
      <c r="R39" s="5">
        <f t="shared" si="9"/>
        <v>46310</v>
      </c>
      <c r="S39" s="5">
        <f t="shared" si="10"/>
        <v>46307</v>
      </c>
      <c r="T39" s="7">
        <f t="shared" ca="1" si="11"/>
        <v>0</v>
      </c>
      <c r="U39" t="str">
        <f t="shared" si="12"/>
        <v/>
      </c>
    </row>
    <row r="40" spans="1:21">
      <c r="A40">
        <f t="shared" si="0"/>
        <v>36</v>
      </c>
      <c r="B40" s="6">
        <v>46304</v>
      </c>
      <c r="C40" t="str">
        <f t="shared" si="1"/>
        <v>vie</v>
      </c>
      <c r="D40" s="9" t="s">
        <v>58</v>
      </c>
      <c r="E40" s="9" t="s">
        <v>221</v>
      </c>
      <c r="F40" s="9" t="s">
        <v>206</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234</v>
      </c>
      <c r="R40" s="5">
        <f t="shared" si="9"/>
        <v>46310</v>
      </c>
      <c r="S40" s="5">
        <f t="shared" si="10"/>
        <v>46307</v>
      </c>
      <c r="T40" s="7">
        <f t="shared" ca="1" si="11"/>
        <v>0</v>
      </c>
      <c r="U40" t="str">
        <f t="shared" si="12"/>
        <v/>
      </c>
    </row>
    <row r="41" spans="1:21">
      <c r="A41">
        <f t="shared" si="0"/>
        <v>37</v>
      </c>
      <c r="B41" s="6">
        <v>46305</v>
      </c>
      <c r="C41" t="str">
        <f t="shared" si="1"/>
        <v>sáb</v>
      </c>
      <c r="D41" s="9" t="s">
        <v>58</v>
      </c>
      <c r="E41" s="9" t="s">
        <v>217</v>
      </c>
      <c r="F41" s="9" t="s">
        <v>218</v>
      </c>
      <c r="G41" s="8">
        <v>936</v>
      </c>
      <c r="H41" s="7">
        <f t="shared" si="2"/>
        <v>936</v>
      </c>
      <c r="I41" s="9" t="s">
        <v>199</v>
      </c>
      <c r="J41" s="6"/>
      <c r="K41">
        <f t="shared" si="3"/>
        <v>3</v>
      </c>
      <c r="L41" s="5">
        <f t="shared" si="4"/>
        <v>46308</v>
      </c>
      <c r="M41" s="5">
        <f t="shared" si="5"/>
        <v>46307</v>
      </c>
      <c r="N41">
        <f t="shared" si="6"/>
        <v>1</v>
      </c>
      <c r="O41" s="10">
        <f t="shared" si="7"/>
        <v>7.09</v>
      </c>
      <c r="P41" s="7">
        <f t="shared" si="8"/>
        <v>6636.24</v>
      </c>
      <c r="Q41" s="9" t="s">
        <v>235</v>
      </c>
      <c r="R41" s="5">
        <f t="shared" si="9"/>
        <v>46311</v>
      </c>
      <c r="S41" s="5">
        <f t="shared" si="10"/>
        <v>46307</v>
      </c>
      <c r="T41" s="7">
        <f t="shared" ca="1" si="11"/>
        <v>0</v>
      </c>
      <c r="U41" t="str">
        <f t="shared" si="12"/>
        <v/>
      </c>
    </row>
    <row r="42" spans="1:21">
      <c r="A42">
        <f t="shared" si="0"/>
        <v>38</v>
      </c>
      <c r="B42" s="6">
        <v>46307</v>
      </c>
      <c r="C42" t="str">
        <f t="shared" si="1"/>
        <v>lun</v>
      </c>
      <c r="D42" s="9" t="s">
        <v>59</v>
      </c>
      <c r="E42" s="9" t="s">
        <v>236</v>
      </c>
      <c r="F42" s="9" t="s">
        <v>3</v>
      </c>
      <c r="G42" s="8">
        <v>980</v>
      </c>
      <c r="H42" s="7">
        <f t="shared" si="2"/>
        <v>980</v>
      </c>
      <c r="I42" s="9" t="s">
        <v>226</v>
      </c>
      <c r="J42" s="6"/>
      <c r="K42">
        <f t="shared" si="3"/>
        <v>4</v>
      </c>
      <c r="L42" s="5">
        <f t="shared" si="4"/>
        <v>46311</v>
      </c>
      <c r="M42" s="5">
        <f t="shared" si="5"/>
        <v>46307</v>
      </c>
      <c r="N42">
        <f t="shared" si="6"/>
        <v>1</v>
      </c>
      <c r="O42" s="10">
        <f t="shared" si="7"/>
        <v>7</v>
      </c>
      <c r="P42" s="7">
        <f t="shared" si="8"/>
        <v>6860</v>
      </c>
      <c r="Q42" s="9" t="s">
        <v>237</v>
      </c>
      <c r="R42" s="5">
        <f t="shared" si="9"/>
        <v>46312</v>
      </c>
      <c r="S42" s="5">
        <f t="shared" si="10"/>
        <v>46307</v>
      </c>
      <c r="T42" s="7">
        <f t="shared" ca="1" si="11"/>
        <v>0</v>
      </c>
      <c r="U42" t="str">
        <f t="shared" si="12"/>
        <v/>
      </c>
    </row>
    <row r="43" spans="1:21">
      <c r="A43">
        <f t="shared" si="0"/>
        <v>39</v>
      </c>
      <c r="B43" s="6">
        <v>46307</v>
      </c>
      <c r="C43" t="str">
        <f t="shared" si="1"/>
        <v>lun</v>
      </c>
      <c r="D43" s="9" t="s">
        <v>59</v>
      </c>
      <c r="E43" s="9" t="s">
        <v>236</v>
      </c>
      <c r="F43" s="9" t="s">
        <v>3</v>
      </c>
      <c r="G43" s="8">
        <v>980</v>
      </c>
      <c r="H43" s="7">
        <f t="shared" si="2"/>
        <v>980</v>
      </c>
      <c r="I43" s="9" t="s">
        <v>226</v>
      </c>
      <c r="J43" s="6"/>
      <c r="K43">
        <f t="shared" si="3"/>
        <v>4</v>
      </c>
      <c r="L43" s="5">
        <f t="shared" si="4"/>
        <v>46311</v>
      </c>
      <c r="M43" s="5">
        <f t="shared" si="5"/>
        <v>46307</v>
      </c>
      <c r="N43">
        <f t="shared" si="6"/>
        <v>1</v>
      </c>
      <c r="O43" s="10">
        <f t="shared" si="7"/>
        <v>7</v>
      </c>
      <c r="P43" s="7">
        <f t="shared" si="8"/>
        <v>6860</v>
      </c>
      <c r="Q43" s="9" t="s">
        <v>237</v>
      </c>
      <c r="R43" s="5">
        <f t="shared" si="9"/>
        <v>46312</v>
      </c>
      <c r="S43" s="5">
        <f t="shared" si="10"/>
        <v>46307</v>
      </c>
      <c r="T43" s="7">
        <f t="shared" ca="1" si="11"/>
        <v>0</v>
      </c>
      <c r="U43" t="str">
        <f t="shared" si="12"/>
        <v/>
      </c>
    </row>
    <row r="44" spans="1:21">
      <c r="A44">
        <f t="shared" si="0"/>
        <v>40</v>
      </c>
      <c r="B44" s="6">
        <v>46307</v>
      </c>
      <c r="C44" t="str">
        <f t="shared" si="1"/>
        <v>lun</v>
      </c>
      <c r="D44" s="9" t="s">
        <v>59</v>
      </c>
      <c r="E44" s="9" t="s">
        <v>236</v>
      </c>
      <c r="F44" s="9" t="s">
        <v>3</v>
      </c>
      <c r="G44" s="8">
        <v>980</v>
      </c>
      <c r="H44" s="7">
        <f t="shared" si="2"/>
        <v>980</v>
      </c>
      <c r="I44" s="9" t="s">
        <v>226</v>
      </c>
      <c r="J44" s="6"/>
      <c r="K44">
        <f t="shared" si="3"/>
        <v>4</v>
      </c>
      <c r="L44" s="5">
        <f t="shared" si="4"/>
        <v>46311</v>
      </c>
      <c r="M44" s="5">
        <f t="shared" si="5"/>
        <v>46307</v>
      </c>
      <c r="N44">
        <f t="shared" si="6"/>
        <v>1</v>
      </c>
      <c r="O44" s="10">
        <f t="shared" si="7"/>
        <v>7</v>
      </c>
      <c r="P44" s="7">
        <f t="shared" si="8"/>
        <v>6860</v>
      </c>
      <c r="Q44" s="9" t="s">
        <v>237</v>
      </c>
      <c r="R44" s="5">
        <f t="shared" si="9"/>
        <v>46312</v>
      </c>
      <c r="S44" s="5">
        <f t="shared" si="10"/>
        <v>46307</v>
      </c>
      <c r="T44" s="7">
        <f t="shared" ca="1" si="11"/>
        <v>0</v>
      </c>
      <c r="U44" t="str">
        <f t="shared" si="12"/>
        <v/>
      </c>
    </row>
    <row r="45" spans="1:21">
      <c r="A45">
        <f t="shared" si="0"/>
        <v>41</v>
      </c>
      <c r="B45" s="6">
        <v>46307</v>
      </c>
      <c r="C45" t="str">
        <f t="shared" si="1"/>
        <v>lun</v>
      </c>
      <c r="D45" s="9" t="s">
        <v>59</v>
      </c>
      <c r="E45" s="9" t="s">
        <v>236</v>
      </c>
      <c r="F45" s="9" t="s">
        <v>3</v>
      </c>
      <c r="G45" s="8">
        <v>980</v>
      </c>
      <c r="H45" s="7">
        <f t="shared" si="2"/>
        <v>980</v>
      </c>
      <c r="I45" s="9" t="s">
        <v>226</v>
      </c>
      <c r="J45" s="6"/>
      <c r="K45">
        <f t="shared" si="3"/>
        <v>4</v>
      </c>
      <c r="L45" s="5">
        <f t="shared" si="4"/>
        <v>46311</v>
      </c>
      <c r="M45" s="5">
        <f t="shared" si="5"/>
        <v>46307</v>
      </c>
      <c r="N45">
        <f t="shared" si="6"/>
        <v>1</v>
      </c>
      <c r="O45" s="10">
        <f t="shared" si="7"/>
        <v>7</v>
      </c>
      <c r="P45" s="7">
        <f t="shared" si="8"/>
        <v>6860</v>
      </c>
      <c r="Q45" s="9" t="s">
        <v>237</v>
      </c>
      <c r="R45" s="5">
        <f t="shared" si="9"/>
        <v>46312</v>
      </c>
      <c r="S45" s="5">
        <f t="shared" si="10"/>
        <v>46307</v>
      </c>
      <c r="T45" s="7">
        <f t="shared" ca="1" si="11"/>
        <v>0</v>
      </c>
      <c r="U45" t="str">
        <f t="shared" si="12"/>
        <v/>
      </c>
    </row>
    <row r="46" spans="1:21">
      <c r="A46">
        <f t="shared" si="0"/>
        <v>42</v>
      </c>
      <c r="B46" s="6">
        <v>46307</v>
      </c>
      <c r="C46" t="str">
        <f t="shared" si="1"/>
        <v>lun</v>
      </c>
      <c r="D46" s="9" t="s">
        <v>59</v>
      </c>
      <c r="E46" s="9" t="s">
        <v>236</v>
      </c>
      <c r="F46" s="9" t="s">
        <v>3</v>
      </c>
      <c r="G46" s="8">
        <v>980</v>
      </c>
      <c r="H46" s="7">
        <f t="shared" si="2"/>
        <v>980</v>
      </c>
      <c r="I46" s="9" t="s">
        <v>226</v>
      </c>
      <c r="J46" s="6"/>
      <c r="K46">
        <f t="shared" si="3"/>
        <v>4</v>
      </c>
      <c r="L46" s="5">
        <f t="shared" si="4"/>
        <v>46311</v>
      </c>
      <c r="M46" s="5">
        <f t="shared" si="5"/>
        <v>46307</v>
      </c>
      <c r="N46">
        <f t="shared" si="6"/>
        <v>1</v>
      </c>
      <c r="O46" s="10">
        <f t="shared" si="7"/>
        <v>7</v>
      </c>
      <c r="P46" s="7">
        <f t="shared" si="8"/>
        <v>6860</v>
      </c>
      <c r="Q46" s="9" t="s">
        <v>237</v>
      </c>
      <c r="R46" s="5">
        <f t="shared" si="9"/>
        <v>46312</v>
      </c>
      <c r="S46" s="5">
        <f t="shared" si="10"/>
        <v>46307</v>
      </c>
      <c r="T46" s="7">
        <f t="shared" ca="1" si="11"/>
        <v>0</v>
      </c>
      <c r="U46" t="str">
        <f t="shared" si="12"/>
        <v/>
      </c>
    </row>
    <row r="47" spans="1:21">
      <c r="A47">
        <f t="shared" si="0"/>
        <v>43</v>
      </c>
      <c r="B47" s="6">
        <v>46308</v>
      </c>
      <c r="C47" t="str">
        <f t="shared" si="1"/>
        <v>mar</v>
      </c>
      <c r="D47" s="9" t="s">
        <v>60</v>
      </c>
      <c r="E47" s="9" t="s">
        <v>225</v>
      </c>
      <c r="F47" s="9" t="s">
        <v>3</v>
      </c>
      <c r="G47" s="8">
        <v>1050</v>
      </c>
      <c r="H47" s="7">
        <f t="shared" si="2"/>
        <v>1050</v>
      </c>
      <c r="I47" s="9" t="s">
        <v>226</v>
      </c>
      <c r="J47" s="6"/>
      <c r="K47">
        <f t="shared" si="3"/>
        <v>6</v>
      </c>
      <c r="L47" s="5">
        <f t="shared" si="4"/>
        <v>46314</v>
      </c>
      <c r="M47" s="5">
        <f t="shared" si="5"/>
        <v>46314</v>
      </c>
      <c r="N47">
        <f t="shared" si="6"/>
        <v>1</v>
      </c>
      <c r="O47" s="10">
        <f t="shared" si="7"/>
        <v>10.8</v>
      </c>
      <c r="P47" s="7">
        <f t="shared" si="8"/>
        <v>11340</v>
      </c>
      <c r="Q47" s="9" t="s">
        <v>227</v>
      </c>
      <c r="R47" s="5">
        <f t="shared" si="9"/>
        <v>46316</v>
      </c>
      <c r="S47" s="5">
        <f t="shared" si="10"/>
        <v>46314</v>
      </c>
      <c r="T47" s="7">
        <f t="shared" ca="1" si="11"/>
        <v>0</v>
      </c>
      <c r="U47" t="str">
        <f t="shared" si="12"/>
        <v/>
      </c>
    </row>
    <row r="48" spans="1:21">
      <c r="A48">
        <f t="shared" si="0"/>
        <v>44</v>
      </c>
      <c r="B48" s="6">
        <v>46311</v>
      </c>
      <c r="C48" t="str">
        <f t="shared" si="1"/>
        <v>vie</v>
      </c>
      <c r="D48" s="9" t="s">
        <v>58</v>
      </c>
      <c r="E48" s="9" t="s">
        <v>238</v>
      </c>
      <c r="F48" s="9" t="s">
        <v>3</v>
      </c>
      <c r="G48" s="8">
        <v>1008</v>
      </c>
      <c r="H48" s="7">
        <f t="shared" si="2"/>
        <v>1008</v>
      </c>
      <c r="I48" s="9" t="s">
        <v>239</v>
      </c>
      <c r="J48" s="6"/>
      <c r="K48">
        <f t="shared" si="3"/>
        <v>3</v>
      </c>
      <c r="L48" s="5">
        <f t="shared" si="4"/>
        <v>46314</v>
      </c>
      <c r="M48" s="5">
        <f t="shared" si="5"/>
        <v>46314</v>
      </c>
      <c r="N48">
        <f t="shared" si="6"/>
        <v>1</v>
      </c>
      <c r="O48" s="10">
        <f t="shared" si="7"/>
        <v>7.09</v>
      </c>
      <c r="P48" s="7">
        <f t="shared" si="8"/>
        <v>7146.72</v>
      </c>
      <c r="Q48" s="9" t="s">
        <v>240</v>
      </c>
      <c r="R48" s="5">
        <f t="shared" si="9"/>
        <v>46317</v>
      </c>
      <c r="S48" s="5">
        <f t="shared" si="10"/>
        <v>46314</v>
      </c>
      <c r="T48" s="7">
        <f t="shared" ca="1" si="11"/>
        <v>0</v>
      </c>
      <c r="U48" t="str">
        <f t="shared" si="12"/>
        <v/>
      </c>
    </row>
    <row r="49" spans="1:21">
      <c r="A49">
        <f t="shared" si="0"/>
        <v>45</v>
      </c>
      <c r="B49" s="6">
        <v>46311</v>
      </c>
      <c r="C49" t="str">
        <f t="shared" si="1"/>
        <v>vie</v>
      </c>
      <c r="D49" s="9" t="s">
        <v>58</v>
      </c>
      <c r="E49" s="9" t="s">
        <v>238</v>
      </c>
      <c r="F49" s="9" t="s">
        <v>3</v>
      </c>
      <c r="G49" s="8">
        <v>1008</v>
      </c>
      <c r="H49" s="7">
        <f t="shared" si="2"/>
        <v>1008</v>
      </c>
      <c r="I49" s="9" t="s">
        <v>239</v>
      </c>
      <c r="J49" s="6"/>
      <c r="K49">
        <f t="shared" si="3"/>
        <v>3</v>
      </c>
      <c r="L49" s="5">
        <f t="shared" si="4"/>
        <v>46314</v>
      </c>
      <c r="M49" s="5">
        <f t="shared" si="5"/>
        <v>46314</v>
      </c>
      <c r="N49">
        <f t="shared" si="6"/>
        <v>1</v>
      </c>
      <c r="O49" s="10">
        <f t="shared" si="7"/>
        <v>7.09</v>
      </c>
      <c r="P49" s="7">
        <f t="shared" si="8"/>
        <v>7146.72</v>
      </c>
      <c r="Q49" s="9" t="s">
        <v>240</v>
      </c>
      <c r="R49" s="5">
        <f t="shared" si="9"/>
        <v>46317</v>
      </c>
      <c r="S49" s="5">
        <f t="shared" si="10"/>
        <v>46314</v>
      </c>
      <c r="T49" s="7">
        <f t="shared" ca="1" si="11"/>
        <v>0</v>
      </c>
      <c r="U49" t="str">
        <f t="shared" si="12"/>
        <v/>
      </c>
    </row>
    <row r="50" spans="1:21">
      <c r="A50">
        <f t="shared" si="0"/>
        <v>46</v>
      </c>
      <c r="B50" s="6">
        <v>46311</v>
      </c>
      <c r="C50" t="str">
        <f t="shared" si="1"/>
        <v>vie</v>
      </c>
      <c r="D50" s="9" t="s">
        <v>58</v>
      </c>
      <c r="E50" s="9" t="s">
        <v>238</v>
      </c>
      <c r="F50" s="9" t="s">
        <v>3</v>
      </c>
      <c r="G50" s="8">
        <v>1008</v>
      </c>
      <c r="H50" s="7">
        <f t="shared" si="2"/>
        <v>1008</v>
      </c>
      <c r="I50" s="9" t="s">
        <v>239</v>
      </c>
      <c r="J50" s="6"/>
      <c r="K50">
        <f t="shared" si="3"/>
        <v>3</v>
      </c>
      <c r="L50" s="5">
        <f t="shared" si="4"/>
        <v>46314</v>
      </c>
      <c r="M50" s="5">
        <f t="shared" si="5"/>
        <v>46314</v>
      </c>
      <c r="N50">
        <f t="shared" si="6"/>
        <v>1</v>
      </c>
      <c r="O50" s="10">
        <f t="shared" si="7"/>
        <v>7.09</v>
      </c>
      <c r="P50" s="7">
        <f t="shared" si="8"/>
        <v>7146.72</v>
      </c>
      <c r="Q50" s="9" t="s">
        <v>240</v>
      </c>
      <c r="R50" s="5">
        <f t="shared" si="9"/>
        <v>46317</v>
      </c>
      <c r="S50" s="5">
        <f t="shared" si="10"/>
        <v>46314</v>
      </c>
      <c r="T50" s="7">
        <f t="shared" ca="1" si="11"/>
        <v>0</v>
      </c>
      <c r="U50" t="str">
        <f t="shared" si="12"/>
        <v/>
      </c>
    </row>
    <row r="51" spans="1:21">
      <c r="A51">
        <f t="shared" si="0"/>
        <v>47</v>
      </c>
      <c r="B51" s="6">
        <v>46311</v>
      </c>
      <c r="C51" t="str">
        <f t="shared" si="1"/>
        <v>vie</v>
      </c>
      <c r="D51" s="9" t="s">
        <v>58</v>
      </c>
      <c r="E51" s="9" t="s">
        <v>238</v>
      </c>
      <c r="F51" s="9" t="s">
        <v>3</v>
      </c>
      <c r="G51" s="8">
        <v>1008</v>
      </c>
      <c r="H51" s="7">
        <f t="shared" si="2"/>
        <v>1008</v>
      </c>
      <c r="I51" s="9" t="s">
        <v>239</v>
      </c>
      <c r="J51" s="6"/>
      <c r="K51">
        <f t="shared" si="3"/>
        <v>3</v>
      </c>
      <c r="L51" s="5">
        <f t="shared" si="4"/>
        <v>46314</v>
      </c>
      <c r="M51" s="5">
        <f t="shared" si="5"/>
        <v>46314</v>
      </c>
      <c r="N51">
        <f t="shared" si="6"/>
        <v>1</v>
      </c>
      <c r="O51" s="10">
        <f t="shared" si="7"/>
        <v>7.09</v>
      </c>
      <c r="P51" s="7">
        <f t="shared" si="8"/>
        <v>7146.72</v>
      </c>
      <c r="Q51" s="9" t="s">
        <v>240</v>
      </c>
      <c r="R51" s="5">
        <f t="shared" si="9"/>
        <v>46317</v>
      </c>
      <c r="S51" s="5">
        <f t="shared" si="10"/>
        <v>46314</v>
      </c>
      <c r="T51" s="7">
        <f t="shared" ca="1" si="11"/>
        <v>0</v>
      </c>
      <c r="U51" t="str">
        <f t="shared" si="12"/>
        <v/>
      </c>
    </row>
    <row r="52" spans="1:21">
      <c r="A52">
        <f t="shared" si="0"/>
        <v>48</v>
      </c>
      <c r="B52" s="6">
        <v>46311</v>
      </c>
      <c r="C52" t="str">
        <f t="shared" si="1"/>
        <v>vie</v>
      </c>
      <c r="D52" s="9" t="s">
        <v>58</v>
      </c>
      <c r="E52" s="9" t="s">
        <v>238</v>
      </c>
      <c r="F52" s="9" t="s">
        <v>3</v>
      </c>
      <c r="G52" s="8">
        <v>1008</v>
      </c>
      <c r="H52" s="7">
        <f t="shared" si="2"/>
        <v>1008</v>
      </c>
      <c r="I52" s="9" t="s">
        <v>239</v>
      </c>
      <c r="J52" s="6"/>
      <c r="K52">
        <f t="shared" si="3"/>
        <v>3</v>
      </c>
      <c r="L52" s="5">
        <f t="shared" si="4"/>
        <v>46314</v>
      </c>
      <c r="M52" s="5">
        <f t="shared" si="5"/>
        <v>46314</v>
      </c>
      <c r="N52">
        <f t="shared" si="6"/>
        <v>1</v>
      </c>
      <c r="O52" s="10">
        <f t="shared" si="7"/>
        <v>7.09</v>
      </c>
      <c r="P52" s="7">
        <f t="shared" si="8"/>
        <v>7146.72</v>
      </c>
      <c r="Q52" s="9" t="s">
        <v>240</v>
      </c>
      <c r="R52" s="5">
        <f t="shared" si="9"/>
        <v>46317</v>
      </c>
      <c r="S52" s="5">
        <f t="shared" si="10"/>
        <v>46314</v>
      </c>
      <c r="T52" s="7">
        <f t="shared" ca="1" si="11"/>
        <v>0</v>
      </c>
      <c r="U52" t="str">
        <f t="shared" si="12"/>
        <v/>
      </c>
    </row>
    <row r="53" spans="1:21">
      <c r="A53">
        <f t="shared" si="0"/>
        <v>49</v>
      </c>
      <c r="B53" s="6">
        <v>46311</v>
      </c>
      <c r="C53" t="str">
        <f t="shared" si="1"/>
        <v>vie</v>
      </c>
      <c r="D53" s="9" t="s">
        <v>58</v>
      </c>
      <c r="E53" s="9" t="s">
        <v>238</v>
      </c>
      <c r="F53" s="9" t="s">
        <v>3</v>
      </c>
      <c r="G53" s="8">
        <v>1008</v>
      </c>
      <c r="H53" s="7">
        <f t="shared" si="2"/>
        <v>1008</v>
      </c>
      <c r="I53" s="9" t="s">
        <v>239</v>
      </c>
      <c r="J53" s="6"/>
      <c r="K53">
        <f t="shared" si="3"/>
        <v>3</v>
      </c>
      <c r="L53" s="5">
        <f t="shared" si="4"/>
        <v>46314</v>
      </c>
      <c r="M53" s="5">
        <f t="shared" si="5"/>
        <v>46314</v>
      </c>
      <c r="N53">
        <f t="shared" si="6"/>
        <v>1</v>
      </c>
      <c r="O53" s="10">
        <f t="shared" si="7"/>
        <v>7.09</v>
      </c>
      <c r="P53" s="7">
        <f t="shared" si="8"/>
        <v>7146.72</v>
      </c>
      <c r="Q53" s="9" t="s">
        <v>240</v>
      </c>
      <c r="R53" s="5">
        <f t="shared" si="9"/>
        <v>46317</v>
      </c>
      <c r="S53" s="5">
        <f t="shared" si="10"/>
        <v>46314</v>
      </c>
      <c r="T53" s="7">
        <f t="shared" ca="1" si="11"/>
        <v>0</v>
      </c>
      <c r="U53" t="str">
        <f t="shared" si="12"/>
        <v/>
      </c>
    </row>
    <row r="54" spans="1:21">
      <c r="A54">
        <f t="shared" si="0"/>
        <v>50</v>
      </c>
      <c r="B54" s="6">
        <v>46311</v>
      </c>
      <c r="C54" t="str">
        <f t="shared" si="1"/>
        <v>vie</v>
      </c>
      <c r="D54" s="9" t="s">
        <v>58</v>
      </c>
      <c r="E54" s="9" t="s">
        <v>238</v>
      </c>
      <c r="F54" s="9" t="s">
        <v>3</v>
      </c>
      <c r="G54" s="8">
        <v>1008</v>
      </c>
      <c r="H54" s="7">
        <f t="shared" si="2"/>
        <v>1008</v>
      </c>
      <c r="I54" s="9" t="s">
        <v>239</v>
      </c>
      <c r="J54" s="6"/>
      <c r="K54">
        <f t="shared" si="3"/>
        <v>3</v>
      </c>
      <c r="L54" s="5">
        <f t="shared" si="4"/>
        <v>46314</v>
      </c>
      <c r="M54" s="5">
        <f t="shared" si="5"/>
        <v>46314</v>
      </c>
      <c r="N54">
        <f t="shared" si="6"/>
        <v>1</v>
      </c>
      <c r="O54" s="10">
        <f t="shared" si="7"/>
        <v>7.09</v>
      </c>
      <c r="P54" s="7">
        <f t="shared" si="8"/>
        <v>7146.72</v>
      </c>
      <c r="Q54" s="9" t="s">
        <v>240</v>
      </c>
      <c r="R54" s="5">
        <f t="shared" si="9"/>
        <v>46317</v>
      </c>
      <c r="S54" s="5">
        <f t="shared" si="10"/>
        <v>46314</v>
      </c>
      <c r="T54" s="7">
        <f t="shared" ca="1" si="11"/>
        <v>0</v>
      </c>
      <c r="U54" t="str">
        <f t="shared" si="12"/>
        <v/>
      </c>
    </row>
    <row r="55" spans="1:21">
      <c r="A55">
        <f t="shared" si="0"/>
        <v>51</v>
      </c>
      <c r="B55" s="6">
        <v>46311</v>
      </c>
      <c r="C55" t="str">
        <f t="shared" si="1"/>
        <v>vie</v>
      </c>
      <c r="D55" s="9" t="s">
        <v>58</v>
      </c>
      <c r="E55" s="9" t="s">
        <v>238</v>
      </c>
      <c r="F55" s="9" t="s">
        <v>3</v>
      </c>
      <c r="G55" s="8">
        <v>1008</v>
      </c>
      <c r="H55" s="7">
        <f t="shared" si="2"/>
        <v>1008</v>
      </c>
      <c r="I55" s="9" t="s">
        <v>239</v>
      </c>
      <c r="J55" s="6"/>
      <c r="K55">
        <f t="shared" si="3"/>
        <v>3</v>
      </c>
      <c r="L55" s="5">
        <f t="shared" si="4"/>
        <v>46314</v>
      </c>
      <c r="M55" s="5">
        <f t="shared" si="5"/>
        <v>46314</v>
      </c>
      <c r="N55">
        <f t="shared" si="6"/>
        <v>1</v>
      </c>
      <c r="O55" s="10">
        <f t="shared" si="7"/>
        <v>7.09</v>
      </c>
      <c r="P55" s="7">
        <f t="shared" si="8"/>
        <v>7146.72</v>
      </c>
      <c r="Q55" s="9" t="s">
        <v>240</v>
      </c>
      <c r="R55" s="5">
        <f t="shared" si="9"/>
        <v>46317</v>
      </c>
      <c r="S55" s="5">
        <f t="shared" si="10"/>
        <v>46314</v>
      </c>
      <c r="T55" s="7">
        <f t="shared" ca="1" si="11"/>
        <v>0</v>
      </c>
      <c r="U55" t="str">
        <f t="shared" si="12"/>
        <v/>
      </c>
    </row>
    <row r="56" spans="1:21">
      <c r="A56">
        <f t="shared" si="0"/>
        <v>52</v>
      </c>
      <c r="B56" s="6">
        <v>46314</v>
      </c>
      <c r="C56" t="str">
        <f t="shared" si="1"/>
        <v>lun</v>
      </c>
      <c r="D56" s="9" t="s">
        <v>59</v>
      </c>
      <c r="E56" s="9" t="s">
        <v>236</v>
      </c>
      <c r="F56" s="9" t="s">
        <v>3</v>
      </c>
      <c r="G56" s="8">
        <v>980</v>
      </c>
      <c r="H56" s="7">
        <f t="shared" si="2"/>
        <v>980</v>
      </c>
      <c r="I56" s="9" t="s">
        <v>226</v>
      </c>
      <c r="J56" s="6"/>
      <c r="K56">
        <f t="shared" si="3"/>
        <v>4</v>
      </c>
      <c r="L56" s="5">
        <f t="shared" si="4"/>
        <v>46318</v>
      </c>
      <c r="M56" s="5">
        <f t="shared" si="5"/>
        <v>46314</v>
      </c>
      <c r="N56">
        <f t="shared" si="6"/>
        <v>1</v>
      </c>
      <c r="O56" s="10">
        <f t="shared" si="7"/>
        <v>7</v>
      </c>
      <c r="P56" s="7">
        <f t="shared" si="8"/>
        <v>6860</v>
      </c>
      <c r="Q56" s="9" t="s">
        <v>237</v>
      </c>
      <c r="R56" s="5">
        <f t="shared" si="9"/>
        <v>46319</v>
      </c>
      <c r="S56" s="5">
        <f t="shared" si="10"/>
        <v>46314</v>
      </c>
      <c r="T56" s="7">
        <f t="shared" ca="1" si="11"/>
        <v>0</v>
      </c>
      <c r="U56" t="str">
        <f t="shared" si="12"/>
        <v/>
      </c>
    </row>
    <row r="57" spans="1:21">
      <c r="A57">
        <f t="shared" si="0"/>
        <v>53</v>
      </c>
      <c r="B57" s="6">
        <v>46314</v>
      </c>
      <c r="C57" t="str">
        <f t="shared" si="1"/>
        <v>lun</v>
      </c>
      <c r="D57" s="9" t="s">
        <v>59</v>
      </c>
      <c r="E57" s="9" t="s">
        <v>236</v>
      </c>
      <c r="F57" s="9" t="s">
        <v>3</v>
      </c>
      <c r="G57" s="8">
        <v>980</v>
      </c>
      <c r="H57" s="7">
        <f t="shared" si="2"/>
        <v>980</v>
      </c>
      <c r="I57" s="9" t="s">
        <v>226</v>
      </c>
      <c r="J57" s="6"/>
      <c r="K57">
        <f t="shared" si="3"/>
        <v>4</v>
      </c>
      <c r="L57" s="5">
        <f t="shared" si="4"/>
        <v>46318</v>
      </c>
      <c r="M57" s="5">
        <f t="shared" si="5"/>
        <v>46314</v>
      </c>
      <c r="N57">
        <f t="shared" si="6"/>
        <v>1</v>
      </c>
      <c r="O57" s="10">
        <f t="shared" si="7"/>
        <v>7</v>
      </c>
      <c r="P57" s="7">
        <f t="shared" si="8"/>
        <v>6860</v>
      </c>
      <c r="Q57" s="9" t="s">
        <v>237</v>
      </c>
      <c r="R57" s="5">
        <f t="shared" si="9"/>
        <v>46319</v>
      </c>
      <c r="S57" s="5">
        <f t="shared" si="10"/>
        <v>46314</v>
      </c>
      <c r="T57" s="7">
        <f t="shared" ca="1" si="11"/>
        <v>0</v>
      </c>
      <c r="U57" t="str">
        <f t="shared" si="12"/>
        <v/>
      </c>
    </row>
    <row r="58" spans="1:21">
      <c r="A58">
        <f t="shared" si="0"/>
        <v>54</v>
      </c>
      <c r="B58" s="6">
        <v>46314</v>
      </c>
      <c r="C58" t="str">
        <f t="shared" si="1"/>
        <v>lun</v>
      </c>
      <c r="D58" s="9" t="s">
        <v>59</v>
      </c>
      <c r="E58" s="9" t="s">
        <v>236</v>
      </c>
      <c r="F58" s="9" t="s">
        <v>3</v>
      </c>
      <c r="G58" s="8">
        <v>980</v>
      </c>
      <c r="H58" s="7">
        <f t="shared" si="2"/>
        <v>980</v>
      </c>
      <c r="I58" s="9" t="s">
        <v>226</v>
      </c>
      <c r="J58" s="6"/>
      <c r="K58">
        <f t="shared" si="3"/>
        <v>4</v>
      </c>
      <c r="L58" s="5">
        <f t="shared" si="4"/>
        <v>46318</v>
      </c>
      <c r="M58" s="5">
        <f t="shared" si="5"/>
        <v>46314</v>
      </c>
      <c r="N58">
        <f t="shared" si="6"/>
        <v>1</v>
      </c>
      <c r="O58" s="10">
        <f t="shared" si="7"/>
        <v>7</v>
      </c>
      <c r="P58" s="7">
        <f t="shared" si="8"/>
        <v>6860</v>
      </c>
      <c r="Q58" s="9" t="s">
        <v>237</v>
      </c>
      <c r="R58" s="5">
        <f t="shared" si="9"/>
        <v>46319</v>
      </c>
      <c r="S58" s="5">
        <f t="shared" si="10"/>
        <v>46314</v>
      </c>
      <c r="T58" s="7">
        <f t="shared" ca="1" si="11"/>
        <v>0</v>
      </c>
      <c r="U58" t="str">
        <f t="shared" si="12"/>
        <v/>
      </c>
    </row>
    <row r="59" spans="1:21">
      <c r="A59">
        <f t="shared" si="0"/>
        <v>55</v>
      </c>
      <c r="B59" s="6">
        <v>46314</v>
      </c>
      <c r="C59" t="str">
        <f t="shared" si="1"/>
        <v>lun</v>
      </c>
      <c r="D59" s="9" t="s">
        <v>59</v>
      </c>
      <c r="E59" s="9" t="s">
        <v>236</v>
      </c>
      <c r="F59" s="9" t="s">
        <v>3</v>
      </c>
      <c r="G59" s="8">
        <v>980</v>
      </c>
      <c r="H59" s="7">
        <f t="shared" si="2"/>
        <v>980</v>
      </c>
      <c r="I59" s="9" t="s">
        <v>226</v>
      </c>
      <c r="J59" s="6"/>
      <c r="K59">
        <f t="shared" si="3"/>
        <v>4</v>
      </c>
      <c r="L59" s="5">
        <f t="shared" si="4"/>
        <v>46318</v>
      </c>
      <c r="M59" s="5">
        <f t="shared" si="5"/>
        <v>46314</v>
      </c>
      <c r="N59">
        <f t="shared" si="6"/>
        <v>1</v>
      </c>
      <c r="O59" s="10">
        <f t="shared" si="7"/>
        <v>7</v>
      </c>
      <c r="P59" s="7">
        <f t="shared" si="8"/>
        <v>6860</v>
      </c>
      <c r="Q59" s="9" t="s">
        <v>237</v>
      </c>
      <c r="R59" s="5">
        <f t="shared" si="9"/>
        <v>46319</v>
      </c>
      <c r="S59" s="5">
        <f t="shared" si="10"/>
        <v>46314</v>
      </c>
      <c r="T59" s="7">
        <f t="shared" ca="1" si="11"/>
        <v>0</v>
      </c>
      <c r="U59" t="str">
        <f t="shared" si="12"/>
        <v/>
      </c>
    </row>
    <row r="60" spans="1:21">
      <c r="A60">
        <f t="shared" si="0"/>
        <v>56</v>
      </c>
      <c r="B60" s="6">
        <v>46314</v>
      </c>
      <c r="C60" t="str">
        <f t="shared" si="1"/>
        <v>lun</v>
      </c>
      <c r="D60" s="9" t="s">
        <v>59</v>
      </c>
      <c r="E60" s="9" t="s">
        <v>236</v>
      </c>
      <c r="F60" s="9" t="s">
        <v>3</v>
      </c>
      <c r="G60" s="8">
        <v>980</v>
      </c>
      <c r="H60" s="7">
        <f t="shared" si="2"/>
        <v>980</v>
      </c>
      <c r="I60" s="9" t="s">
        <v>226</v>
      </c>
      <c r="J60" s="6"/>
      <c r="K60">
        <f t="shared" si="3"/>
        <v>4</v>
      </c>
      <c r="L60" s="5">
        <f t="shared" si="4"/>
        <v>46318</v>
      </c>
      <c r="M60" s="5">
        <f t="shared" si="5"/>
        <v>46314</v>
      </c>
      <c r="N60">
        <f t="shared" si="6"/>
        <v>1</v>
      </c>
      <c r="O60" s="10">
        <f t="shared" si="7"/>
        <v>7</v>
      </c>
      <c r="P60" s="7">
        <f t="shared" si="8"/>
        <v>6860</v>
      </c>
      <c r="Q60" s="9" t="s">
        <v>237</v>
      </c>
      <c r="R60" s="5">
        <f t="shared" si="9"/>
        <v>46319</v>
      </c>
      <c r="S60" s="5">
        <f t="shared" si="10"/>
        <v>46314</v>
      </c>
      <c r="T60" s="7">
        <f t="shared" ca="1" si="11"/>
        <v>0</v>
      </c>
      <c r="U60" t="str">
        <f t="shared" si="12"/>
        <v/>
      </c>
    </row>
    <row r="61" spans="1:21">
      <c r="A61">
        <f t="shared" si="0"/>
        <v>57</v>
      </c>
      <c r="B61" s="6">
        <v>46315</v>
      </c>
      <c r="C61" t="str">
        <f t="shared" si="1"/>
        <v>mar</v>
      </c>
      <c r="D61" s="9" t="s">
        <v>60</v>
      </c>
      <c r="E61" s="9" t="s">
        <v>225</v>
      </c>
      <c r="F61" s="9" t="s">
        <v>3</v>
      </c>
      <c r="G61" s="8">
        <v>1050</v>
      </c>
      <c r="H61" s="7">
        <f t="shared" si="2"/>
        <v>1050</v>
      </c>
      <c r="I61" s="9" t="s">
        <v>226</v>
      </c>
      <c r="J61" s="6"/>
      <c r="K61">
        <f t="shared" si="3"/>
        <v>6</v>
      </c>
      <c r="L61" s="5">
        <f t="shared" si="4"/>
        <v>46321</v>
      </c>
      <c r="M61" s="5">
        <f t="shared" si="5"/>
        <v>46321</v>
      </c>
      <c r="N61">
        <f t="shared" si="6"/>
        <v>1</v>
      </c>
      <c r="O61" s="10">
        <f t="shared" si="7"/>
        <v>10.8</v>
      </c>
      <c r="P61" s="7">
        <f t="shared" si="8"/>
        <v>11340</v>
      </c>
      <c r="Q61" s="9" t="s">
        <v>227</v>
      </c>
      <c r="R61" s="5">
        <f t="shared" si="9"/>
        <v>46323</v>
      </c>
      <c r="S61" s="5">
        <f t="shared" si="10"/>
        <v>46321</v>
      </c>
      <c r="T61" s="7">
        <f t="shared" ca="1" si="11"/>
        <v>0</v>
      </c>
      <c r="U61" t="str">
        <f t="shared" si="12"/>
        <v/>
      </c>
    </row>
    <row r="62" spans="1:21">
      <c r="A62">
        <f t="shared" si="0"/>
        <v>58</v>
      </c>
      <c r="B62" s="6">
        <v>46318</v>
      </c>
      <c r="C62" t="str">
        <f t="shared" si="1"/>
        <v>vie</v>
      </c>
      <c r="D62" s="9" t="s">
        <v>58</v>
      </c>
      <c r="E62" s="9" t="s">
        <v>238</v>
      </c>
      <c r="F62" s="9" t="s">
        <v>3</v>
      </c>
      <c r="G62" s="8">
        <v>1008</v>
      </c>
      <c r="H62" s="7">
        <f t="shared" si="2"/>
        <v>1008</v>
      </c>
      <c r="I62" s="9" t="s">
        <v>239</v>
      </c>
      <c r="J62" s="6"/>
      <c r="K62">
        <f t="shared" si="3"/>
        <v>3</v>
      </c>
      <c r="L62" s="5">
        <f t="shared" si="4"/>
        <v>46321</v>
      </c>
      <c r="M62" s="5">
        <f t="shared" si="5"/>
        <v>46321</v>
      </c>
      <c r="N62">
        <f t="shared" si="6"/>
        <v>1</v>
      </c>
      <c r="O62" s="10">
        <f t="shared" si="7"/>
        <v>7.09</v>
      </c>
      <c r="P62" s="7">
        <f t="shared" si="8"/>
        <v>7146.72</v>
      </c>
      <c r="Q62" s="9" t="s">
        <v>240</v>
      </c>
      <c r="R62" s="5">
        <f t="shared" si="9"/>
        <v>46324</v>
      </c>
      <c r="S62" s="5">
        <f t="shared" si="10"/>
        <v>46321</v>
      </c>
      <c r="T62" s="7">
        <f t="shared" ca="1" si="11"/>
        <v>0</v>
      </c>
      <c r="U62" t="str">
        <f t="shared" si="12"/>
        <v/>
      </c>
    </row>
    <row r="63" spans="1:21">
      <c r="A63">
        <f t="shared" si="0"/>
        <v>59</v>
      </c>
      <c r="B63" s="6">
        <v>46318</v>
      </c>
      <c r="C63" t="str">
        <f t="shared" si="1"/>
        <v>vie</v>
      </c>
      <c r="D63" s="9" t="s">
        <v>58</v>
      </c>
      <c r="E63" s="9" t="s">
        <v>238</v>
      </c>
      <c r="F63" s="9" t="s">
        <v>3</v>
      </c>
      <c r="G63" s="8">
        <v>1008</v>
      </c>
      <c r="H63" s="7">
        <f t="shared" si="2"/>
        <v>1008</v>
      </c>
      <c r="I63" s="9" t="s">
        <v>239</v>
      </c>
      <c r="J63" s="6"/>
      <c r="K63">
        <f t="shared" si="3"/>
        <v>3</v>
      </c>
      <c r="L63" s="5">
        <f t="shared" si="4"/>
        <v>46321</v>
      </c>
      <c r="M63" s="5">
        <f t="shared" si="5"/>
        <v>46321</v>
      </c>
      <c r="N63">
        <f t="shared" si="6"/>
        <v>1</v>
      </c>
      <c r="O63" s="10">
        <f t="shared" si="7"/>
        <v>7.09</v>
      </c>
      <c r="P63" s="7">
        <f t="shared" si="8"/>
        <v>7146.72</v>
      </c>
      <c r="Q63" s="9" t="s">
        <v>240</v>
      </c>
      <c r="R63" s="5">
        <f t="shared" si="9"/>
        <v>46324</v>
      </c>
      <c r="S63" s="5">
        <f t="shared" si="10"/>
        <v>46321</v>
      </c>
      <c r="T63" s="7">
        <f t="shared" ca="1" si="11"/>
        <v>0</v>
      </c>
      <c r="U63" t="str">
        <f t="shared" si="12"/>
        <v/>
      </c>
    </row>
    <row r="64" spans="1:21">
      <c r="A64">
        <f t="shared" si="0"/>
        <v>60</v>
      </c>
      <c r="B64" s="6">
        <v>46318</v>
      </c>
      <c r="C64" t="str">
        <f t="shared" si="1"/>
        <v>vie</v>
      </c>
      <c r="D64" s="9" t="s">
        <v>58</v>
      </c>
      <c r="E64" s="9" t="s">
        <v>238</v>
      </c>
      <c r="F64" s="9" t="s">
        <v>3</v>
      </c>
      <c r="G64" s="8">
        <v>1008</v>
      </c>
      <c r="H64" s="7">
        <f t="shared" si="2"/>
        <v>1008</v>
      </c>
      <c r="I64" s="9" t="s">
        <v>239</v>
      </c>
      <c r="J64" s="6"/>
      <c r="K64">
        <f t="shared" si="3"/>
        <v>3</v>
      </c>
      <c r="L64" s="5">
        <f t="shared" si="4"/>
        <v>46321</v>
      </c>
      <c r="M64" s="5">
        <f t="shared" si="5"/>
        <v>46321</v>
      </c>
      <c r="N64">
        <f t="shared" si="6"/>
        <v>1</v>
      </c>
      <c r="O64" s="10">
        <f t="shared" si="7"/>
        <v>7.09</v>
      </c>
      <c r="P64" s="7">
        <f t="shared" si="8"/>
        <v>7146.72</v>
      </c>
      <c r="Q64" s="9" t="s">
        <v>240</v>
      </c>
      <c r="R64" s="5">
        <f t="shared" si="9"/>
        <v>46324</v>
      </c>
      <c r="S64" s="5">
        <f t="shared" si="10"/>
        <v>46321</v>
      </c>
      <c r="T64" s="7">
        <f t="shared" ca="1" si="11"/>
        <v>0</v>
      </c>
      <c r="U64" t="str">
        <f t="shared" si="12"/>
        <v/>
      </c>
    </row>
    <row r="65" spans="1:21">
      <c r="A65">
        <f t="shared" si="0"/>
        <v>61</v>
      </c>
      <c r="B65" s="6">
        <v>46318</v>
      </c>
      <c r="C65" t="str">
        <f t="shared" si="1"/>
        <v>vie</v>
      </c>
      <c r="D65" s="9" t="s">
        <v>58</v>
      </c>
      <c r="E65" s="9" t="s">
        <v>238</v>
      </c>
      <c r="F65" s="9" t="s">
        <v>3</v>
      </c>
      <c r="G65" s="8">
        <v>1008</v>
      </c>
      <c r="H65" s="7">
        <f t="shared" si="2"/>
        <v>1008</v>
      </c>
      <c r="I65" s="9" t="s">
        <v>239</v>
      </c>
      <c r="J65" s="6"/>
      <c r="K65">
        <f t="shared" si="3"/>
        <v>3</v>
      </c>
      <c r="L65" s="5">
        <f t="shared" si="4"/>
        <v>46321</v>
      </c>
      <c r="M65" s="5">
        <f t="shared" si="5"/>
        <v>46321</v>
      </c>
      <c r="N65">
        <f t="shared" si="6"/>
        <v>1</v>
      </c>
      <c r="O65" s="10">
        <f t="shared" si="7"/>
        <v>7.09</v>
      </c>
      <c r="P65" s="7">
        <f t="shared" si="8"/>
        <v>7146.72</v>
      </c>
      <c r="Q65" s="9" t="s">
        <v>240</v>
      </c>
      <c r="R65" s="5">
        <f t="shared" si="9"/>
        <v>46324</v>
      </c>
      <c r="S65" s="5">
        <f t="shared" si="10"/>
        <v>46321</v>
      </c>
      <c r="T65" s="7">
        <f t="shared" ca="1" si="11"/>
        <v>0</v>
      </c>
      <c r="U65" t="str">
        <f t="shared" si="12"/>
        <v/>
      </c>
    </row>
    <row r="66" spans="1:21">
      <c r="A66">
        <f t="shared" si="0"/>
        <v>62</v>
      </c>
      <c r="B66" s="6">
        <v>46318</v>
      </c>
      <c r="C66" t="str">
        <f t="shared" si="1"/>
        <v>vie</v>
      </c>
      <c r="D66" s="9" t="s">
        <v>58</v>
      </c>
      <c r="E66" s="9" t="s">
        <v>238</v>
      </c>
      <c r="F66" s="9" t="s">
        <v>3</v>
      </c>
      <c r="G66" s="8">
        <v>1008</v>
      </c>
      <c r="H66" s="7">
        <f t="shared" si="2"/>
        <v>1008</v>
      </c>
      <c r="I66" s="9" t="s">
        <v>239</v>
      </c>
      <c r="J66" s="6"/>
      <c r="K66">
        <f t="shared" si="3"/>
        <v>3</v>
      </c>
      <c r="L66" s="5">
        <f t="shared" si="4"/>
        <v>46321</v>
      </c>
      <c r="M66" s="5">
        <f t="shared" si="5"/>
        <v>46321</v>
      </c>
      <c r="N66">
        <f t="shared" si="6"/>
        <v>1</v>
      </c>
      <c r="O66" s="10">
        <f t="shared" si="7"/>
        <v>7.09</v>
      </c>
      <c r="P66" s="7">
        <f t="shared" si="8"/>
        <v>7146.72</v>
      </c>
      <c r="Q66" s="9" t="s">
        <v>240</v>
      </c>
      <c r="R66" s="5">
        <f t="shared" si="9"/>
        <v>46324</v>
      </c>
      <c r="S66" s="5">
        <f t="shared" si="10"/>
        <v>46321</v>
      </c>
      <c r="T66" s="7">
        <f t="shared" ca="1" si="11"/>
        <v>0</v>
      </c>
      <c r="U66" t="str">
        <f t="shared" si="12"/>
        <v/>
      </c>
    </row>
    <row r="67" spans="1:21">
      <c r="A67">
        <f t="shared" si="0"/>
        <v>63</v>
      </c>
      <c r="B67" s="6">
        <v>46318</v>
      </c>
      <c r="C67" t="str">
        <f t="shared" si="1"/>
        <v>vie</v>
      </c>
      <c r="D67" s="9" t="s">
        <v>58</v>
      </c>
      <c r="E67" s="9" t="s">
        <v>238</v>
      </c>
      <c r="F67" s="9" t="s">
        <v>3</v>
      </c>
      <c r="G67" s="8">
        <v>1008</v>
      </c>
      <c r="H67" s="7">
        <f t="shared" si="2"/>
        <v>1008</v>
      </c>
      <c r="I67" s="9" t="s">
        <v>239</v>
      </c>
      <c r="J67" s="6"/>
      <c r="K67">
        <f t="shared" si="3"/>
        <v>3</v>
      </c>
      <c r="L67" s="5">
        <f t="shared" si="4"/>
        <v>46321</v>
      </c>
      <c r="M67" s="5">
        <f t="shared" si="5"/>
        <v>46321</v>
      </c>
      <c r="N67">
        <f t="shared" si="6"/>
        <v>1</v>
      </c>
      <c r="O67" s="10">
        <f t="shared" si="7"/>
        <v>7.09</v>
      </c>
      <c r="P67" s="7">
        <f t="shared" si="8"/>
        <v>7146.72</v>
      </c>
      <c r="Q67" s="9" t="s">
        <v>240</v>
      </c>
      <c r="R67" s="5">
        <f t="shared" si="9"/>
        <v>46324</v>
      </c>
      <c r="S67" s="5">
        <f t="shared" si="10"/>
        <v>46321</v>
      </c>
      <c r="T67" s="7">
        <f t="shared" ca="1" si="11"/>
        <v>0</v>
      </c>
      <c r="U67" t="str">
        <f t="shared" si="12"/>
        <v/>
      </c>
    </row>
    <row r="68" spans="1:21">
      <c r="A68">
        <f t="shared" si="0"/>
        <v>64</v>
      </c>
      <c r="B68" s="6">
        <v>46318</v>
      </c>
      <c r="C68" t="str">
        <f t="shared" si="1"/>
        <v>vie</v>
      </c>
      <c r="D68" s="9" t="s">
        <v>58</v>
      </c>
      <c r="E68" s="9" t="s">
        <v>238</v>
      </c>
      <c r="F68" s="9" t="s">
        <v>3</v>
      </c>
      <c r="G68" s="8">
        <v>1008</v>
      </c>
      <c r="H68" s="7">
        <f t="shared" si="2"/>
        <v>1008</v>
      </c>
      <c r="I68" s="9" t="s">
        <v>239</v>
      </c>
      <c r="J68" s="6"/>
      <c r="K68">
        <f t="shared" si="3"/>
        <v>3</v>
      </c>
      <c r="L68" s="5">
        <f t="shared" si="4"/>
        <v>46321</v>
      </c>
      <c r="M68" s="5">
        <f t="shared" si="5"/>
        <v>46321</v>
      </c>
      <c r="N68">
        <f t="shared" si="6"/>
        <v>1</v>
      </c>
      <c r="O68" s="10">
        <f t="shared" si="7"/>
        <v>7.09</v>
      </c>
      <c r="P68" s="7">
        <f t="shared" si="8"/>
        <v>7146.72</v>
      </c>
      <c r="Q68" s="9" t="s">
        <v>240</v>
      </c>
      <c r="R68" s="5">
        <f t="shared" si="9"/>
        <v>46324</v>
      </c>
      <c r="S68" s="5">
        <f t="shared" si="10"/>
        <v>46321</v>
      </c>
      <c r="T68" s="7">
        <f t="shared" ca="1" si="11"/>
        <v>0</v>
      </c>
      <c r="U68" t="str">
        <f t="shared" si="12"/>
        <v/>
      </c>
    </row>
    <row r="69" spans="1:21">
      <c r="A69">
        <f t="shared" ref="A69:A132" si="13">IF(B69="","",ROW()-4)</f>
        <v>65</v>
      </c>
      <c r="B69" s="6">
        <v>46318</v>
      </c>
      <c r="C69" t="str">
        <f t="shared" ref="C69:C132" si="14">IF(B69="","",TEXT(B69,"ddd"))</f>
        <v>vie</v>
      </c>
      <c r="D69" s="9" t="s">
        <v>58</v>
      </c>
      <c r="E69" s="9" t="s">
        <v>238</v>
      </c>
      <c r="F69" s="9" t="s">
        <v>3</v>
      </c>
      <c r="G69" s="8">
        <v>1008</v>
      </c>
      <c r="H69" s="7">
        <f t="shared" ref="H69:H132" si="15">IF(B69="","",IF(G69&lt;&gt;"",G69,IFERROR(INDEX(CajasOrigen,MATCH(D69,Origenes,0)),CajasProm)))</f>
        <v>1008</v>
      </c>
      <c r="I69" s="9" t="s">
        <v>239</v>
      </c>
      <c r="J69" s="6"/>
      <c r="K69">
        <f t="shared" ref="K69:K132" si="16">IF(B69="","",IFERROR(INDEX(Lags,MATCH(D69,Origenes,0)),LagBR)+IF(J69&lt;&gt;"",0,AtrasoDias))</f>
        <v>3</v>
      </c>
      <c r="L69" s="5">
        <f t="shared" ref="L69:L132" si="17">IF(B69="","",IF(J69&lt;&gt;"",J69,B69+K69))</f>
        <v>46321</v>
      </c>
      <c r="M69" s="5">
        <f t="shared" ref="M69:M132" si="18">IF(L69="","",IF(WEEKDAY(L69,2)=7,L69+1,L69-WEEKDAY(L69,2)+1))</f>
        <v>46321</v>
      </c>
      <c r="N69">
        <f t="shared" ref="N69:N132" si="19">IF(L69="","",IF(L69&gt;FechaConteo,1,0)*IF(I69="Supuesto",SupPY,IF(I69="Supuesto BR",SupBR,1)))</f>
        <v>1</v>
      </c>
      <c r="O69" s="10">
        <f t="shared" ref="O69:O132" si="20">IF(D69="","",IFERROR(INDEX(CostoOrigen,MATCH(D69,Origenes,0)),0))</f>
        <v>7.09</v>
      </c>
      <c r="P69" s="7">
        <f t="shared" ref="P69:P132" si="21">IF(H69="","",H69*O69)</f>
        <v>7146.72</v>
      </c>
      <c r="Q69" s="9" t="s">
        <v>240</v>
      </c>
      <c r="R69" s="5">
        <f t="shared" ref="R69:R132" si="22">IF(B69="","",IF(J69&lt;&gt;"",J69,B69+IFERROR(INDEX(LagsP90,MATCH(D69,Origenes,0)),K69)))</f>
        <v>46324</v>
      </c>
      <c r="S69" s="5">
        <f t="shared" ref="S69:S132" si="23">IF(R69="","",IF(WEEKDAY(R69,2)=7,R69+1,R69-WEEKDAY(R69,2)+1))</f>
        <v>46321</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238</v>
      </c>
      <c r="F70" s="9" t="s">
        <v>3</v>
      </c>
      <c r="G70" s="8">
        <v>1008</v>
      </c>
      <c r="H70" s="7">
        <f t="shared" si="15"/>
        <v>1008</v>
      </c>
      <c r="I70" s="9" t="s">
        <v>239</v>
      </c>
      <c r="J70" s="6"/>
      <c r="K70">
        <f t="shared" si="16"/>
        <v>3</v>
      </c>
      <c r="L70" s="5">
        <f t="shared" si="17"/>
        <v>46328</v>
      </c>
      <c r="M70" s="5">
        <f t="shared" si="18"/>
        <v>46328</v>
      </c>
      <c r="N70">
        <f t="shared" si="19"/>
        <v>1</v>
      </c>
      <c r="O70" s="10">
        <f t="shared" si="20"/>
        <v>7.09</v>
      </c>
      <c r="P70" s="7">
        <f t="shared" si="21"/>
        <v>7146.72</v>
      </c>
      <c r="Q70" s="9" t="s">
        <v>240</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238</v>
      </c>
      <c r="F71" s="9" t="s">
        <v>3</v>
      </c>
      <c r="G71" s="8">
        <v>1008</v>
      </c>
      <c r="H71" s="7">
        <f t="shared" si="15"/>
        <v>1008</v>
      </c>
      <c r="I71" s="9" t="s">
        <v>239</v>
      </c>
      <c r="J71" s="6"/>
      <c r="K71">
        <f t="shared" si="16"/>
        <v>3</v>
      </c>
      <c r="L71" s="5">
        <f t="shared" si="17"/>
        <v>46328</v>
      </c>
      <c r="M71" s="5">
        <f t="shared" si="18"/>
        <v>46328</v>
      </c>
      <c r="N71">
        <f t="shared" si="19"/>
        <v>1</v>
      </c>
      <c r="O71" s="10">
        <f t="shared" si="20"/>
        <v>7.09</v>
      </c>
      <c r="P71" s="7">
        <f t="shared" si="21"/>
        <v>7146.72</v>
      </c>
      <c r="Q71" s="9" t="s">
        <v>240</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238</v>
      </c>
      <c r="F72" s="9" t="s">
        <v>3</v>
      </c>
      <c r="G72" s="8">
        <v>1008</v>
      </c>
      <c r="H72" s="7">
        <f t="shared" si="15"/>
        <v>1008</v>
      </c>
      <c r="I72" s="9" t="s">
        <v>239</v>
      </c>
      <c r="J72" s="6"/>
      <c r="K72">
        <f t="shared" si="16"/>
        <v>3</v>
      </c>
      <c r="L72" s="5">
        <f t="shared" si="17"/>
        <v>46328</v>
      </c>
      <c r="M72" s="5">
        <f t="shared" si="18"/>
        <v>46328</v>
      </c>
      <c r="N72">
        <f t="shared" si="19"/>
        <v>1</v>
      </c>
      <c r="O72" s="10">
        <f t="shared" si="20"/>
        <v>7.09</v>
      </c>
      <c r="P72" s="7">
        <f t="shared" si="21"/>
        <v>7146.72</v>
      </c>
      <c r="Q72" s="9" t="s">
        <v>240</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238</v>
      </c>
      <c r="F73" s="9" t="s">
        <v>3</v>
      </c>
      <c r="G73" s="8">
        <v>1008</v>
      </c>
      <c r="H73" s="7">
        <f t="shared" si="15"/>
        <v>1008</v>
      </c>
      <c r="I73" s="9" t="s">
        <v>239</v>
      </c>
      <c r="J73" s="6"/>
      <c r="K73">
        <f t="shared" si="16"/>
        <v>3</v>
      </c>
      <c r="L73" s="5">
        <f t="shared" si="17"/>
        <v>46328</v>
      </c>
      <c r="M73" s="5">
        <f t="shared" si="18"/>
        <v>46328</v>
      </c>
      <c r="N73">
        <f t="shared" si="19"/>
        <v>1</v>
      </c>
      <c r="O73" s="10">
        <f t="shared" si="20"/>
        <v>7.09</v>
      </c>
      <c r="P73" s="7">
        <f t="shared" si="21"/>
        <v>7146.72</v>
      </c>
      <c r="Q73" s="9" t="s">
        <v>240</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238</v>
      </c>
      <c r="F74" s="9" t="s">
        <v>3</v>
      </c>
      <c r="G74" s="8">
        <v>1008</v>
      </c>
      <c r="H74" s="7">
        <f t="shared" si="15"/>
        <v>1008</v>
      </c>
      <c r="I74" s="9" t="s">
        <v>239</v>
      </c>
      <c r="J74" s="6"/>
      <c r="K74">
        <f t="shared" si="16"/>
        <v>3</v>
      </c>
      <c r="L74" s="5">
        <f t="shared" si="17"/>
        <v>46328</v>
      </c>
      <c r="M74" s="5">
        <f t="shared" si="18"/>
        <v>46328</v>
      </c>
      <c r="N74">
        <f t="shared" si="19"/>
        <v>1</v>
      </c>
      <c r="O74" s="10">
        <f t="shared" si="20"/>
        <v>7.09</v>
      </c>
      <c r="P74" s="7">
        <f t="shared" si="21"/>
        <v>7146.72</v>
      </c>
      <c r="Q74" s="9" t="s">
        <v>240</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238</v>
      </c>
      <c r="F75" s="9" t="s">
        <v>3</v>
      </c>
      <c r="G75" s="8">
        <v>1008</v>
      </c>
      <c r="H75" s="7">
        <f t="shared" si="15"/>
        <v>1008</v>
      </c>
      <c r="I75" s="9" t="s">
        <v>239</v>
      </c>
      <c r="J75" s="6"/>
      <c r="K75">
        <f t="shared" si="16"/>
        <v>3</v>
      </c>
      <c r="L75" s="5">
        <f t="shared" si="17"/>
        <v>46328</v>
      </c>
      <c r="M75" s="5">
        <f t="shared" si="18"/>
        <v>46328</v>
      </c>
      <c r="N75">
        <f t="shared" si="19"/>
        <v>1</v>
      </c>
      <c r="O75" s="10">
        <f t="shared" si="20"/>
        <v>7.09</v>
      </c>
      <c r="P75" s="7">
        <f t="shared" si="21"/>
        <v>7146.72</v>
      </c>
      <c r="Q75" s="9" t="s">
        <v>240</v>
      </c>
      <c r="R75" s="5">
        <f t="shared" si="22"/>
        <v>46331</v>
      </c>
      <c r="S75" s="5">
        <f t="shared" si="23"/>
        <v>46328</v>
      </c>
      <c r="T75" s="7">
        <f t="shared" ca="1" si="24"/>
        <v>0</v>
      </c>
      <c r="U75" t="str">
        <f t="shared" si="25"/>
        <v/>
      </c>
    </row>
    <row r="76" spans="1:21">
      <c r="A76">
        <f t="shared" si="13"/>
        <v>72</v>
      </c>
      <c r="B76" s="6">
        <v>46325</v>
      </c>
      <c r="C76" t="str">
        <f t="shared" si="14"/>
        <v>vie</v>
      </c>
      <c r="D76" s="9" t="s">
        <v>58</v>
      </c>
      <c r="E76" s="9" t="s">
        <v>238</v>
      </c>
      <c r="F76" s="9" t="s">
        <v>3</v>
      </c>
      <c r="G76" s="8">
        <v>1008</v>
      </c>
      <c r="H76" s="7">
        <f t="shared" si="15"/>
        <v>1008</v>
      </c>
      <c r="I76" s="9" t="s">
        <v>239</v>
      </c>
      <c r="J76" s="6"/>
      <c r="K76">
        <f t="shared" si="16"/>
        <v>3</v>
      </c>
      <c r="L76" s="5">
        <f t="shared" si="17"/>
        <v>46328</v>
      </c>
      <c r="M76" s="5">
        <f t="shared" si="18"/>
        <v>46328</v>
      </c>
      <c r="N76">
        <f t="shared" si="19"/>
        <v>1</v>
      </c>
      <c r="O76" s="10">
        <f t="shared" si="20"/>
        <v>7.09</v>
      </c>
      <c r="P76" s="7">
        <f t="shared" si="21"/>
        <v>7146.72</v>
      </c>
      <c r="Q76" s="9" t="s">
        <v>240</v>
      </c>
      <c r="R76" s="5">
        <f t="shared" si="22"/>
        <v>46331</v>
      </c>
      <c r="S76" s="5">
        <f t="shared" si="23"/>
        <v>46328</v>
      </c>
      <c r="T76" s="7">
        <f t="shared" ca="1" si="24"/>
        <v>0</v>
      </c>
      <c r="U76" t="str">
        <f t="shared" si="25"/>
        <v/>
      </c>
    </row>
    <row r="77" spans="1:21">
      <c r="A77">
        <f t="shared" si="13"/>
        <v>73</v>
      </c>
      <c r="B77" s="6">
        <v>46325</v>
      </c>
      <c r="C77" t="str">
        <f t="shared" si="14"/>
        <v>vie</v>
      </c>
      <c r="D77" s="9" t="s">
        <v>58</v>
      </c>
      <c r="E77" s="9" t="s">
        <v>238</v>
      </c>
      <c r="F77" s="9" t="s">
        <v>3</v>
      </c>
      <c r="G77" s="8">
        <v>1008</v>
      </c>
      <c r="H77" s="7">
        <f t="shared" si="15"/>
        <v>1008</v>
      </c>
      <c r="I77" s="9" t="s">
        <v>239</v>
      </c>
      <c r="J77" s="6"/>
      <c r="K77">
        <f t="shared" si="16"/>
        <v>3</v>
      </c>
      <c r="L77" s="5">
        <f t="shared" si="17"/>
        <v>46328</v>
      </c>
      <c r="M77" s="5">
        <f t="shared" si="18"/>
        <v>46328</v>
      </c>
      <c r="N77">
        <f t="shared" si="19"/>
        <v>1</v>
      </c>
      <c r="O77" s="10">
        <f t="shared" si="20"/>
        <v>7.09</v>
      </c>
      <c r="P77" s="7">
        <f t="shared" si="21"/>
        <v>7146.72</v>
      </c>
      <c r="Q77" s="9" t="s">
        <v>240</v>
      </c>
      <c r="R77" s="5">
        <f t="shared" si="22"/>
        <v>46331</v>
      </c>
      <c r="S77" s="5">
        <f t="shared" si="23"/>
        <v>46328</v>
      </c>
      <c r="T77" s="7">
        <f t="shared" ca="1" si="24"/>
        <v>0</v>
      </c>
      <c r="U77" t="str">
        <f t="shared" si="25"/>
        <v/>
      </c>
    </row>
    <row r="78" spans="1:21">
      <c r="A78">
        <f t="shared" si="13"/>
        <v>74</v>
      </c>
      <c r="B78" s="6">
        <v>46332</v>
      </c>
      <c r="C78" t="str">
        <f t="shared" si="14"/>
        <v>vie</v>
      </c>
      <c r="D78" s="9" t="s">
        <v>58</v>
      </c>
      <c r="E78" s="9" t="s">
        <v>238</v>
      </c>
      <c r="F78" s="9" t="s">
        <v>3</v>
      </c>
      <c r="G78" s="8">
        <v>1008</v>
      </c>
      <c r="H78" s="7">
        <f t="shared" si="15"/>
        <v>1008</v>
      </c>
      <c r="I78" s="9" t="s">
        <v>239</v>
      </c>
      <c r="J78" s="6"/>
      <c r="K78">
        <f t="shared" si="16"/>
        <v>3</v>
      </c>
      <c r="L78" s="5">
        <f t="shared" si="17"/>
        <v>46335</v>
      </c>
      <c r="M78" s="5">
        <f t="shared" si="18"/>
        <v>46335</v>
      </c>
      <c r="N78">
        <f t="shared" si="19"/>
        <v>1</v>
      </c>
      <c r="O78" s="10">
        <f t="shared" si="20"/>
        <v>7.09</v>
      </c>
      <c r="P78" s="7">
        <f t="shared" si="21"/>
        <v>7146.72</v>
      </c>
      <c r="Q78" s="9" t="s">
        <v>240</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238</v>
      </c>
      <c r="F79" s="9" t="s">
        <v>3</v>
      </c>
      <c r="G79" s="8">
        <v>1008</v>
      </c>
      <c r="H79" s="7">
        <f t="shared" si="15"/>
        <v>1008</v>
      </c>
      <c r="I79" s="9" t="s">
        <v>239</v>
      </c>
      <c r="J79" s="6"/>
      <c r="K79">
        <f t="shared" si="16"/>
        <v>3</v>
      </c>
      <c r="L79" s="5">
        <f t="shared" si="17"/>
        <v>46335</v>
      </c>
      <c r="M79" s="5">
        <f t="shared" si="18"/>
        <v>46335</v>
      </c>
      <c r="N79">
        <f t="shared" si="19"/>
        <v>1</v>
      </c>
      <c r="O79" s="10">
        <f t="shared" si="20"/>
        <v>7.09</v>
      </c>
      <c r="P79" s="7">
        <f t="shared" si="21"/>
        <v>7146.72</v>
      </c>
      <c r="Q79" s="9" t="s">
        <v>240</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238</v>
      </c>
      <c r="F80" s="9" t="s">
        <v>3</v>
      </c>
      <c r="G80" s="8">
        <v>1008</v>
      </c>
      <c r="H80" s="7">
        <f t="shared" si="15"/>
        <v>1008</v>
      </c>
      <c r="I80" s="9" t="s">
        <v>239</v>
      </c>
      <c r="J80" s="6"/>
      <c r="K80">
        <f t="shared" si="16"/>
        <v>3</v>
      </c>
      <c r="L80" s="5">
        <f t="shared" si="17"/>
        <v>46335</v>
      </c>
      <c r="M80" s="5">
        <f t="shared" si="18"/>
        <v>46335</v>
      </c>
      <c r="N80">
        <f t="shared" si="19"/>
        <v>1</v>
      </c>
      <c r="O80" s="10">
        <f t="shared" si="20"/>
        <v>7.09</v>
      </c>
      <c r="P80" s="7">
        <f t="shared" si="21"/>
        <v>7146.72</v>
      </c>
      <c r="Q80" s="9" t="s">
        <v>240</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238</v>
      </c>
      <c r="F81" s="9" t="s">
        <v>3</v>
      </c>
      <c r="G81" s="8">
        <v>1008</v>
      </c>
      <c r="H81" s="7">
        <f t="shared" si="15"/>
        <v>1008</v>
      </c>
      <c r="I81" s="9" t="s">
        <v>239</v>
      </c>
      <c r="J81" s="6"/>
      <c r="K81">
        <f t="shared" si="16"/>
        <v>3</v>
      </c>
      <c r="L81" s="5">
        <f t="shared" si="17"/>
        <v>46335</v>
      </c>
      <c r="M81" s="5">
        <f t="shared" si="18"/>
        <v>46335</v>
      </c>
      <c r="N81">
        <f t="shared" si="19"/>
        <v>1</v>
      </c>
      <c r="O81" s="10">
        <f t="shared" si="20"/>
        <v>7.09</v>
      </c>
      <c r="P81" s="7">
        <f t="shared" si="21"/>
        <v>7146.72</v>
      </c>
      <c r="Q81" s="9" t="s">
        <v>240</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238</v>
      </c>
      <c r="F82" s="9" t="s">
        <v>3</v>
      </c>
      <c r="G82" s="8">
        <v>1008</v>
      </c>
      <c r="H82" s="7">
        <f t="shared" si="15"/>
        <v>1008</v>
      </c>
      <c r="I82" s="9" t="s">
        <v>239</v>
      </c>
      <c r="J82" s="6"/>
      <c r="K82">
        <f t="shared" si="16"/>
        <v>3</v>
      </c>
      <c r="L82" s="5">
        <f t="shared" si="17"/>
        <v>46335</v>
      </c>
      <c r="M82" s="5">
        <f t="shared" si="18"/>
        <v>46335</v>
      </c>
      <c r="N82">
        <f t="shared" si="19"/>
        <v>1</v>
      </c>
      <c r="O82" s="10">
        <f t="shared" si="20"/>
        <v>7.09</v>
      </c>
      <c r="P82" s="7">
        <f t="shared" si="21"/>
        <v>7146.72</v>
      </c>
      <c r="Q82" s="9" t="s">
        <v>240</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238</v>
      </c>
      <c r="F83" s="9" t="s">
        <v>3</v>
      </c>
      <c r="G83" s="8">
        <v>1008</v>
      </c>
      <c r="H83" s="7">
        <f t="shared" si="15"/>
        <v>1008</v>
      </c>
      <c r="I83" s="9" t="s">
        <v>239</v>
      </c>
      <c r="J83" s="6"/>
      <c r="K83">
        <f t="shared" si="16"/>
        <v>3</v>
      </c>
      <c r="L83" s="5">
        <f t="shared" si="17"/>
        <v>46335</v>
      </c>
      <c r="M83" s="5">
        <f t="shared" si="18"/>
        <v>46335</v>
      </c>
      <c r="N83">
        <f t="shared" si="19"/>
        <v>1</v>
      </c>
      <c r="O83" s="10">
        <f t="shared" si="20"/>
        <v>7.09</v>
      </c>
      <c r="P83" s="7">
        <f t="shared" si="21"/>
        <v>7146.72</v>
      </c>
      <c r="Q83" s="9" t="s">
        <v>240</v>
      </c>
      <c r="R83" s="5">
        <f t="shared" si="22"/>
        <v>46338</v>
      </c>
      <c r="S83" s="5">
        <f t="shared" si="23"/>
        <v>46335</v>
      </c>
      <c r="T83" s="7">
        <f t="shared" ca="1" si="24"/>
        <v>0</v>
      </c>
      <c r="U83" t="str">
        <f t="shared" si="25"/>
        <v/>
      </c>
    </row>
    <row r="84" spans="1:21">
      <c r="A84">
        <f t="shared" si="13"/>
        <v>80</v>
      </c>
      <c r="B84" s="6">
        <v>46332</v>
      </c>
      <c r="C84" t="str">
        <f t="shared" si="14"/>
        <v>vie</v>
      </c>
      <c r="D84" s="9" t="s">
        <v>58</v>
      </c>
      <c r="E84" s="9" t="s">
        <v>238</v>
      </c>
      <c r="F84" s="9" t="s">
        <v>3</v>
      </c>
      <c r="G84" s="8">
        <v>1008</v>
      </c>
      <c r="H84" s="7">
        <f t="shared" si="15"/>
        <v>1008</v>
      </c>
      <c r="I84" s="9" t="s">
        <v>239</v>
      </c>
      <c r="J84" s="6"/>
      <c r="K84">
        <f t="shared" si="16"/>
        <v>3</v>
      </c>
      <c r="L84" s="5">
        <f t="shared" si="17"/>
        <v>46335</v>
      </c>
      <c r="M84" s="5">
        <f t="shared" si="18"/>
        <v>46335</v>
      </c>
      <c r="N84">
        <f t="shared" si="19"/>
        <v>1</v>
      </c>
      <c r="O84" s="10">
        <f t="shared" si="20"/>
        <v>7.09</v>
      </c>
      <c r="P84" s="7">
        <f t="shared" si="21"/>
        <v>7146.72</v>
      </c>
      <c r="Q84" s="9" t="s">
        <v>240</v>
      </c>
      <c r="R84" s="5">
        <f t="shared" si="22"/>
        <v>46338</v>
      </c>
      <c r="S84" s="5">
        <f t="shared" si="23"/>
        <v>46335</v>
      </c>
      <c r="T84" s="7">
        <f t="shared" ca="1" si="24"/>
        <v>0</v>
      </c>
      <c r="U84" t="str">
        <f t="shared" si="25"/>
        <v/>
      </c>
    </row>
    <row r="85" spans="1:21">
      <c r="A85">
        <f t="shared" si="13"/>
        <v>81</v>
      </c>
      <c r="B85" s="6">
        <v>46332</v>
      </c>
      <c r="C85" t="str">
        <f t="shared" si="14"/>
        <v>vie</v>
      </c>
      <c r="D85" s="9" t="s">
        <v>58</v>
      </c>
      <c r="E85" s="9" t="s">
        <v>238</v>
      </c>
      <c r="F85" s="9" t="s">
        <v>3</v>
      </c>
      <c r="G85" s="8">
        <v>1008</v>
      </c>
      <c r="H85" s="7">
        <f t="shared" si="15"/>
        <v>1008</v>
      </c>
      <c r="I85" s="9" t="s">
        <v>239</v>
      </c>
      <c r="J85" s="6"/>
      <c r="K85">
        <f t="shared" si="16"/>
        <v>3</v>
      </c>
      <c r="L85" s="5">
        <f t="shared" si="17"/>
        <v>46335</v>
      </c>
      <c r="M85" s="5">
        <f t="shared" si="18"/>
        <v>46335</v>
      </c>
      <c r="N85">
        <f t="shared" si="19"/>
        <v>1</v>
      </c>
      <c r="O85" s="10">
        <f t="shared" si="20"/>
        <v>7.09</v>
      </c>
      <c r="P85" s="7">
        <f t="shared" si="21"/>
        <v>7146.72</v>
      </c>
      <c r="Q85" s="9" t="s">
        <v>240</v>
      </c>
      <c r="R85" s="5">
        <f t="shared" si="22"/>
        <v>46338</v>
      </c>
      <c r="S85" s="5">
        <f t="shared" si="23"/>
        <v>46335</v>
      </c>
      <c r="T85" s="7">
        <f t="shared" ca="1" si="24"/>
        <v>0</v>
      </c>
      <c r="U85" t="str">
        <f t="shared" si="25"/>
        <v/>
      </c>
    </row>
    <row r="86" spans="1:21">
      <c r="A86">
        <f t="shared" si="13"/>
        <v>82</v>
      </c>
      <c r="B86" s="6">
        <v>46339</v>
      </c>
      <c r="C86" t="str">
        <f t="shared" si="14"/>
        <v>vie</v>
      </c>
      <c r="D86" s="9" t="s">
        <v>58</v>
      </c>
      <c r="E86" s="9" t="s">
        <v>238</v>
      </c>
      <c r="F86" s="9" t="s">
        <v>3</v>
      </c>
      <c r="G86" s="8">
        <v>1008</v>
      </c>
      <c r="H86" s="7">
        <f t="shared" si="15"/>
        <v>1008</v>
      </c>
      <c r="I86" s="9" t="s">
        <v>239</v>
      </c>
      <c r="J86" s="6"/>
      <c r="K86">
        <f t="shared" si="16"/>
        <v>3</v>
      </c>
      <c r="L86" s="5">
        <f t="shared" si="17"/>
        <v>46342</v>
      </c>
      <c r="M86" s="5">
        <f t="shared" si="18"/>
        <v>46342</v>
      </c>
      <c r="N86">
        <f t="shared" si="19"/>
        <v>1</v>
      </c>
      <c r="O86" s="10">
        <f t="shared" si="20"/>
        <v>7.09</v>
      </c>
      <c r="P86" s="7">
        <f t="shared" si="21"/>
        <v>7146.72</v>
      </c>
      <c r="Q86" s="9" t="s">
        <v>240</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238</v>
      </c>
      <c r="F87" s="9" t="s">
        <v>3</v>
      </c>
      <c r="G87" s="8">
        <v>1008</v>
      </c>
      <c r="H87" s="7">
        <f t="shared" si="15"/>
        <v>1008</v>
      </c>
      <c r="I87" s="9" t="s">
        <v>239</v>
      </c>
      <c r="J87" s="6"/>
      <c r="K87">
        <f t="shared" si="16"/>
        <v>3</v>
      </c>
      <c r="L87" s="5">
        <f t="shared" si="17"/>
        <v>46342</v>
      </c>
      <c r="M87" s="5">
        <f t="shared" si="18"/>
        <v>46342</v>
      </c>
      <c r="N87">
        <f t="shared" si="19"/>
        <v>1</v>
      </c>
      <c r="O87" s="10">
        <f t="shared" si="20"/>
        <v>7.09</v>
      </c>
      <c r="P87" s="7">
        <f t="shared" si="21"/>
        <v>7146.72</v>
      </c>
      <c r="Q87" s="9" t="s">
        <v>240</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238</v>
      </c>
      <c r="F88" s="9" t="s">
        <v>3</v>
      </c>
      <c r="G88" s="8">
        <v>1008</v>
      </c>
      <c r="H88" s="7">
        <f t="shared" si="15"/>
        <v>1008</v>
      </c>
      <c r="I88" s="9" t="s">
        <v>239</v>
      </c>
      <c r="J88" s="6"/>
      <c r="K88">
        <f t="shared" si="16"/>
        <v>3</v>
      </c>
      <c r="L88" s="5">
        <f t="shared" si="17"/>
        <v>46342</v>
      </c>
      <c r="M88" s="5">
        <f t="shared" si="18"/>
        <v>46342</v>
      </c>
      <c r="N88">
        <f t="shared" si="19"/>
        <v>1</v>
      </c>
      <c r="O88" s="10">
        <f t="shared" si="20"/>
        <v>7.09</v>
      </c>
      <c r="P88" s="7">
        <f t="shared" si="21"/>
        <v>7146.72</v>
      </c>
      <c r="Q88" s="9" t="s">
        <v>240</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238</v>
      </c>
      <c r="F89" s="9" t="s">
        <v>3</v>
      </c>
      <c r="G89" s="8">
        <v>1008</v>
      </c>
      <c r="H89" s="7">
        <f t="shared" si="15"/>
        <v>1008</v>
      </c>
      <c r="I89" s="9" t="s">
        <v>239</v>
      </c>
      <c r="J89" s="6"/>
      <c r="K89">
        <f t="shared" si="16"/>
        <v>3</v>
      </c>
      <c r="L89" s="5">
        <f t="shared" si="17"/>
        <v>46342</v>
      </c>
      <c r="M89" s="5">
        <f t="shared" si="18"/>
        <v>46342</v>
      </c>
      <c r="N89">
        <f t="shared" si="19"/>
        <v>1</v>
      </c>
      <c r="O89" s="10">
        <f t="shared" si="20"/>
        <v>7.09</v>
      </c>
      <c r="P89" s="7">
        <f t="shared" si="21"/>
        <v>7146.72</v>
      </c>
      <c r="Q89" s="9" t="s">
        <v>240</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238</v>
      </c>
      <c r="F90" s="9" t="s">
        <v>3</v>
      </c>
      <c r="G90" s="8">
        <v>1008</v>
      </c>
      <c r="H90" s="7">
        <f t="shared" si="15"/>
        <v>1008</v>
      </c>
      <c r="I90" s="9" t="s">
        <v>239</v>
      </c>
      <c r="J90" s="6"/>
      <c r="K90">
        <f t="shared" si="16"/>
        <v>3</v>
      </c>
      <c r="L90" s="5">
        <f t="shared" si="17"/>
        <v>46342</v>
      </c>
      <c r="M90" s="5">
        <f t="shared" si="18"/>
        <v>46342</v>
      </c>
      <c r="N90">
        <f t="shared" si="19"/>
        <v>1</v>
      </c>
      <c r="O90" s="10">
        <f t="shared" si="20"/>
        <v>7.09</v>
      </c>
      <c r="P90" s="7">
        <f t="shared" si="21"/>
        <v>7146.72</v>
      </c>
      <c r="Q90" s="9" t="s">
        <v>240</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238</v>
      </c>
      <c r="F91" s="9" t="s">
        <v>3</v>
      </c>
      <c r="G91" s="8">
        <v>1008</v>
      </c>
      <c r="H91" s="7">
        <f t="shared" si="15"/>
        <v>1008</v>
      </c>
      <c r="I91" s="9" t="s">
        <v>239</v>
      </c>
      <c r="J91" s="6"/>
      <c r="K91">
        <f t="shared" si="16"/>
        <v>3</v>
      </c>
      <c r="L91" s="5">
        <f t="shared" si="17"/>
        <v>46342</v>
      </c>
      <c r="M91" s="5">
        <f t="shared" si="18"/>
        <v>46342</v>
      </c>
      <c r="N91">
        <f t="shared" si="19"/>
        <v>1</v>
      </c>
      <c r="O91" s="10">
        <f t="shared" si="20"/>
        <v>7.09</v>
      </c>
      <c r="P91" s="7">
        <f t="shared" si="21"/>
        <v>7146.72</v>
      </c>
      <c r="Q91" s="9" t="s">
        <v>240</v>
      </c>
      <c r="R91" s="5">
        <f t="shared" si="22"/>
        <v>46345</v>
      </c>
      <c r="S91" s="5">
        <f t="shared" si="23"/>
        <v>46342</v>
      </c>
      <c r="T91" s="7">
        <f t="shared" ca="1" si="24"/>
        <v>0</v>
      </c>
      <c r="U91" t="str">
        <f t="shared" si="25"/>
        <v/>
      </c>
    </row>
    <row r="92" spans="1:21">
      <c r="A92">
        <f t="shared" si="13"/>
        <v>88</v>
      </c>
      <c r="B92" s="6">
        <v>46339</v>
      </c>
      <c r="C92" t="str">
        <f t="shared" si="14"/>
        <v>vie</v>
      </c>
      <c r="D92" s="9" t="s">
        <v>58</v>
      </c>
      <c r="E92" s="9" t="s">
        <v>238</v>
      </c>
      <c r="F92" s="9" t="s">
        <v>3</v>
      </c>
      <c r="G92" s="8">
        <v>1008</v>
      </c>
      <c r="H92" s="7">
        <f t="shared" si="15"/>
        <v>1008</v>
      </c>
      <c r="I92" s="9" t="s">
        <v>239</v>
      </c>
      <c r="J92" s="6"/>
      <c r="K92">
        <f t="shared" si="16"/>
        <v>3</v>
      </c>
      <c r="L92" s="5">
        <f t="shared" si="17"/>
        <v>46342</v>
      </c>
      <c r="M92" s="5">
        <f t="shared" si="18"/>
        <v>46342</v>
      </c>
      <c r="N92">
        <f t="shared" si="19"/>
        <v>1</v>
      </c>
      <c r="O92" s="10">
        <f t="shared" si="20"/>
        <v>7.09</v>
      </c>
      <c r="P92" s="7">
        <f t="shared" si="21"/>
        <v>7146.72</v>
      </c>
      <c r="Q92" s="9" t="s">
        <v>240</v>
      </c>
      <c r="R92" s="5">
        <f t="shared" si="22"/>
        <v>46345</v>
      </c>
      <c r="S92" s="5">
        <f t="shared" si="23"/>
        <v>46342</v>
      </c>
      <c r="T92" s="7">
        <f t="shared" ca="1" si="24"/>
        <v>0</v>
      </c>
      <c r="U92" t="str">
        <f t="shared" si="25"/>
        <v/>
      </c>
    </row>
    <row r="93" spans="1:21">
      <c r="A93">
        <f t="shared" si="13"/>
        <v>89</v>
      </c>
      <c r="B93" s="6">
        <v>46339</v>
      </c>
      <c r="C93" t="str">
        <f t="shared" si="14"/>
        <v>vie</v>
      </c>
      <c r="D93" s="9" t="s">
        <v>58</v>
      </c>
      <c r="E93" s="9" t="s">
        <v>238</v>
      </c>
      <c r="F93" s="9" t="s">
        <v>3</v>
      </c>
      <c r="G93" s="8">
        <v>1008</v>
      </c>
      <c r="H93" s="7">
        <f t="shared" si="15"/>
        <v>1008</v>
      </c>
      <c r="I93" s="9" t="s">
        <v>239</v>
      </c>
      <c r="J93" s="6"/>
      <c r="K93">
        <f t="shared" si="16"/>
        <v>3</v>
      </c>
      <c r="L93" s="5">
        <f t="shared" si="17"/>
        <v>46342</v>
      </c>
      <c r="M93" s="5">
        <f t="shared" si="18"/>
        <v>46342</v>
      </c>
      <c r="N93">
        <f t="shared" si="19"/>
        <v>1</v>
      </c>
      <c r="O93" s="10">
        <f t="shared" si="20"/>
        <v>7.09</v>
      </c>
      <c r="P93" s="7">
        <f t="shared" si="21"/>
        <v>7146.72</v>
      </c>
      <c r="Q93" s="9" t="s">
        <v>240</v>
      </c>
      <c r="R93" s="5">
        <f t="shared" si="22"/>
        <v>46345</v>
      </c>
      <c r="S93" s="5">
        <f t="shared" si="23"/>
        <v>46342</v>
      </c>
      <c r="T93" s="7">
        <f t="shared" ca="1" si="24"/>
        <v>0</v>
      </c>
      <c r="U93" t="str">
        <f t="shared" si="25"/>
        <v/>
      </c>
    </row>
    <row r="94" spans="1:21">
      <c r="A94">
        <f t="shared" si="13"/>
        <v>90</v>
      </c>
      <c r="B94" s="6">
        <v>46346</v>
      </c>
      <c r="C94" t="str">
        <f t="shared" si="14"/>
        <v>vie</v>
      </c>
      <c r="D94" s="9" t="s">
        <v>58</v>
      </c>
      <c r="E94" s="9" t="s">
        <v>238</v>
      </c>
      <c r="F94" s="9" t="s">
        <v>3</v>
      </c>
      <c r="G94" s="8">
        <v>1008</v>
      </c>
      <c r="H94" s="7">
        <f t="shared" si="15"/>
        <v>1008</v>
      </c>
      <c r="I94" s="9" t="s">
        <v>239</v>
      </c>
      <c r="J94" s="6"/>
      <c r="K94">
        <f t="shared" si="16"/>
        <v>3</v>
      </c>
      <c r="L94" s="5">
        <f t="shared" si="17"/>
        <v>46349</v>
      </c>
      <c r="M94" s="5">
        <f t="shared" si="18"/>
        <v>46349</v>
      </c>
      <c r="N94">
        <f t="shared" si="19"/>
        <v>1</v>
      </c>
      <c r="O94" s="10">
        <f t="shared" si="20"/>
        <v>7.09</v>
      </c>
      <c r="P94" s="7">
        <f t="shared" si="21"/>
        <v>7146.72</v>
      </c>
      <c r="Q94" s="9" t="s">
        <v>240</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238</v>
      </c>
      <c r="F95" s="9" t="s">
        <v>3</v>
      </c>
      <c r="G95" s="8">
        <v>1008</v>
      </c>
      <c r="H95" s="7">
        <f t="shared" si="15"/>
        <v>1008</v>
      </c>
      <c r="I95" s="9" t="s">
        <v>239</v>
      </c>
      <c r="J95" s="6"/>
      <c r="K95">
        <f t="shared" si="16"/>
        <v>3</v>
      </c>
      <c r="L95" s="5">
        <f t="shared" si="17"/>
        <v>46349</v>
      </c>
      <c r="M95" s="5">
        <f t="shared" si="18"/>
        <v>46349</v>
      </c>
      <c r="N95">
        <f t="shared" si="19"/>
        <v>1</v>
      </c>
      <c r="O95" s="10">
        <f t="shared" si="20"/>
        <v>7.09</v>
      </c>
      <c r="P95" s="7">
        <f t="shared" si="21"/>
        <v>7146.72</v>
      </c>
      <c r="Q95" s="9" t="s">
        <v>240</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238</v>
      </c>
      <c r="F96" s="9" t="s">
        <v>3</v>
      </c>
      <c r="G96" s="8">
        <v>1008</v>
      </c>
      <c r="H96" s="7">
        <f t="shared" si="15"/>
        <v>1008</v>
      </c>
      <c r="I96" s="9" t="s">
        <v>239</v>
      </c>
      <c r="J96" s="6"/>
      <c r="K96">
        <f t="shared" si="16"/>
        <v>3</v>
      </c>
      <c r="L96" s="5">
        <f t="shared" si="17"/>
        <v>46349</v>
      </c>
      <c r="M96" s="5">
        <f t="shared" si="18"/>
        <v>46349</v>
      </c>
      <c r="N96">
        <f t="shared" si="19"/>
        <v>1</v>
      </c>
      <c r="O96" s="10">
        <f t="shared" si="20"/>
        <v>7.09</v>
      </c>
      <c r="P96" s="7">
        <f t="shared" si="21"/>
        <v>7146.72</v>
      </c>
      <c r="Q96" s="9" t="s">
        <v>240</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238</v>
      </c>
      <c r="F97" s="9" t="s">
        <v>3</v>
      </c>
      <c r="G97" s="8">
        <v>1008</v>
      </c>
      <c r="H97" s="7">
        <f t="shared" si="15"/>
        <v>1008</v>
      </c>
      <c r="I97" s="9" t="s">
        <v>239</v>
      </c>
      <c r="J97" s="6"/>
      <c r="K97">
        <f t="shared" si="16"/>
        <v>3</v>
      </c>
      <c r="L97" s="5">
        <f t="shared" si="17"/>
        <v>46349</v>
      </c>
      <c r="M97" s="5">
        <f t="shared" si="18"/>
        <v>46349</v>
      </c>
      <c r="N97">
        <f t="shared" si="19"/>
        <v>1</v>
      </c>
      <c r="O97" s="10">
        <f t="shared" si="20"/>
        <v>7.09</v>
      </c>
      <c r="P97" s="7">
        <f t="shared" si="21"/>
        <v>7146.72</v>
      </c>
      <c r="Q97" s="9" t="s">
        <v>240</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238</v>
      </c>
      <c r="F98" s="9" t="s">
        <v>3</v>
      </c>
      <c r="G98" s="8">
        <v>1008</v>
      </c>
      <c r="H98" s="7">
        <f t="shared" si="15"/>
        <v>1008</v>
      </c>
      <c r="I98" s="9" t="s">
        <v>239</v>
      </c>
      <c r="J98" s="6"/>
      <c r="K98">
        <f t="shared" si="16"/>
        <v>3</v>
      </c>
      <c r="L98" s="5">
        <f t="shared" si="17"/>
        <v>46349</v>
      </c>
      <c r="M98" s="5">
        <f t="shared" si="18"/>
        <v>46349</v>
      </c>
      <c r="N98">
        <f t="shared" si="19"/>
        <v>1</v>
      </c>
      <c r="O98" s="10">
        <f t="shared" si="20"/>
        <v>7.09</v>
      </c>
      <c r="P98" s="7">
        <f t="shared" si="21"/>
        <v>7146.72</v>
      </c>
      <c r="Q98" s="9" t="s">
        <v>240</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238</v>
      </c>
      <c r="F99" s="9" t="s">
        <v>3</v>
      </c>
      <c r="G99" s="8">
        <v>1008</v>
      </c>
      <c r="H99" s="7">
        <f t="shared" si="15"/>
        <v>1008</v>
      </c>
      <c r="I99" s="9" t="s">
        <v>239</v>
      </c>
      <c r="J99" s="6"/>
      <c r="K99">
        <f t="shared" si="16"/>
        <v>3</v>
      </c>
      <c r="L99" s="5">
        <f t="shared" si="17"/>
        <v>46349</v>
      </c>
      <c r="M99" s="5">
        <f t="shared" si="18"/>
        <v>46349</v>
      </c>
      <c r="N99">
        <f t="shared" si="19"/>
        <v>1</v>
      </c>
      <c r="O99" s="10">
        <f t="shared" si="20"/>
        <v>7.09</v>
      </c>
      <c r="P99" s="7">
        <f t="shared" si="21"/>
        <v>7146.72</v>
      </c>
      <c r="Q99" s="9" t="s">
        <v>240</v>
      </c>
      <c r="R99" s="5">
        <f t="shared" si="22"/>
        <v>46352</v>
      </c>
      <c r="S99" s="5">
        <f t="shared" si="23"/>
        <v>46349</v>
      </c>
      <c r="T99" s="7">
        <f t="shared" ca="1" si="24"/>
        <v>0</v>
      </c>
      <c r="U99" t="str">
        <f t="shared" si="25"/>
        <v/>
      </c>
    </row>
    <row r="100" spans="1:21">
      <c r="A100">
        <f t="shared" si="13"/>
        <v>96</v>
      </c>
      <c r="B100" s="6">
        <v>46346</v>
      </c>
      <c r="C100" t="str">
        <f t="shared" si="14"/>
        <v>vie</v>
      </c>
      <c r="D100" s="9" t="s">
        <v>58</v>
      </c>
      <c r="E100" s="9" t="s">
        <v>238</v>
      </c>
      <c r="F100" s="9" t="s">
        <v>3</v>
      </c>
      <c r="G100" s="8">
        <v>1008</v>
      </c>
      <c r="H100" s="7">
        <f t="shared" si="15"/>
        <v>1008</v>
      </c>
      <c r="I100" s="9" t="s">
        <v>239</v>
      </c>
      <c r="J100" s="6"/>
      <c r="K100">
        <f t="shared" si="16"/>
        <v>3</v>
      </c>
      <c r="L100" s="5">
        <f t="shared" si="17"/>
        <v>46349</v>
      </c>
      <c r="M100" s="5">
        <f t="shared" si="18"/>
        <v>46349</v>
      </c>
      <c r="N100">
        <f t="shared" si="19"/>
        <v>1</v>
      </c>
      <c r="O100" s="10">
        <f t="shared" si="20"/>
        <v>7.09</v>
      </c>
      <c r="P100" s="7">
        <f t="shared" si="21"/>
        <v>7146.72</v>
      </c>
      <c r="Q100" s="9" t="s">
        <v>240</v>
      </c>
      <c r="R100" s="5">
        <f t="shared" si="22"/>
        <v>46352</v>
      </c>
      <c r="S100" s="5">
        <f t="shared" si="23"/>
        <v>46349</v>
      </c>
      <c r="T100" s="7">
        <f t="shared" ca="1" si="24"/>
        <v>0</v>
      </c>
      <c r="U100" t="str">
        <f t="shared" si="25"/>
        <v/>
      </c>
    </row>
    <row r="101" spans="1:21">
      <c r="A101">
        <f t="shared" si="13"/>
        <v>97</v>
      </c>
      <c r="B101" s="6">
        <v>46346</v>
      </c>
      <c r="C101" t="str">
        <f t="shared" si="14"/>
        <v>vie</v>
      </c>
      <c r="D101" s="9" t="s">
        <v>58</v>
      </c>
      <c r="E101" s="9" t="s">
        <v>238</v>
      </c>
      <c r="F101" s="9" t="s">
        <v>3</v>
      </c>
      <c r="G101" s="8">
        <v>1008</v>
      </c>
      <c r="H101" s="7">
        <f t="shared" si="15"/>
        <v>1008</v>
      </c>
      <c r="I101" s="9" t="s">
        <v>239</v>
      </c>
      <c r="J101" s="6"/>
      <c r="K101">
        <f t="shared" si="16"/>
        <v>3</v>
      </c>
      <c r="L101" s="5">
        <f t="shared" si="17"/>
        <v>46349</v>
      </c>
      <c r="M101" s="5">
        <f t="shared" si="18"/>
        <v>46349</v>
      </c>
      <c r="N101">
        <f t="shared" si="19"/>
        <v>1</v>
      </c>
      <c r="O101" s="10">
        <f t="shared" si="20"/>
        <v>7.09</v>
      </c>
      <c r="P101" s="7">
        <f t="shared" si="21"/>
        <v>7146.72</v>
      </c>
      <c r="Q101" s="9" t="s">
        <v>240</v>
      </c>
      <c r="R101" s="5">
        <f t="shared" si="22"/>
        <v>46352</v>
      </c>
      <c r="S101" s="5">
        <f t="shared" si="23"/>
        <v>46349</v>
      </c>
      <c r="T101" s="7">
        <f t="shared" ca="1" si="24"/>
        <v>0</v>
      </c>
      <c r="U101" t="str">
        <f t="shared" si="25"/>
        <v/>
      </c>
    </row>
    <row r="102" spans="1:21">
      <c r="A102">
        <f t="shared" si="13"/>
        <v>98</v>
      </c>
      <c r="B102" s="6">
        <v>46353</v>
      </c>
      <c r="C102" t="str">
        <f t="shared" si="14"/>
        <v>vie</v>
      </c>
      <c r="D102" s="9" t="s">
        <v>58</v>
      </c>
      <c r="E102" s="9" t="s">
        <v>238</v>
      </c>
      <c r="F102" s="9" t="s">
        <v>3</v>
      </c>
      <c r="G102" s="8">
        <v>1008</v>
      </c>
      <c r="H102" s="7">
        <f t="shared" si="15"/>
        <v>1008</v>
      </c>
      <c r="I102" s="9" t="s">
        <v>239</v>
      </c>
      <c r="J102" s="6"/>
      <c r="K102">
        <f t="shared" si="16"/>
        <v>3</v>
      </c>
      <c r="L102" s="5">
        <f t="shared" si="17"/>
        <v>46356</v>
      </c>
      <c r="M102" s="5">
        <f t="shared" si="18"/>
        <v>46356</v>
      </c>
      <c r="N102">
        <f t="shared" si="19"/>
        <v>1</v>
      </c>
      <c r="O102" s="10">
        <f t="shared" si="20"/>
        <v>7.09</v>
      </c>
      <c r="P102" s="7">
        <f t="shared" si="21"/>
        <v>7146.72</v>
      </c>
      <c r="Q102" s="9" t="s">
        <v>240</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238</v>
      </c>
      <c r="F103" s="9" t="s">
        <v>3</v>
      </c>
      <c r="G103" s="8">
        <v>1008</v>
      </c>
      <c r="H103" s="7">
        <f t="shared" si="15"/>
        <v>1008</v>
      </c>
      <c r="I103" s="9" t="s">
        <v>239</v>
      </c>
      <c r="J103" s="6"/>
      <c r="K103">
        <f t="shared" si="16"/>
        <v>3</v>
      </c>
      <c r="L103" s="5">
        <f t="shared" si="17"/>
        <v>46356</v>
      </c>
      <c r="M103" s="5">
        <f t="shared" si="18"/>
        <v>46356</v>
      </c>
      <c r="N103">
        <f t="shared" si="19"/>
        <v>1</v>
      </c>
      <c r="O103" s="10">
        <f t="shared" si="20"/>
        <v>7.09</v>
      </c>
      <c r="P103" s="7">
        <f t="shared" si="21"/>
        <v>7146.72</v>
      </c>
      <c r="Q103" s="9" t="s">
        <v>240</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238</v>
      </c>
      <c r="F104" s="9" t="s">
        <v>3</v>
      </c>
      <c r="G104" s="8">
        <v>1008</v>
      </c>
      <c r="H104" s="7">
        <f t="shared" si="15"/>
        <v>1008</v>
      </c>
      <c r="I104" s="9" t="s">
        <v>239</v>
      </c>
      <c r="J104" s="6"/>
      <c r="K104">
        <f t="shared" si="16"/>
        <v>3</v>
      </c>
      <c r="L104" s="5">
        <f t="shared" si="17"/>
        <v>46356</v>
      </c>
      <c r="M104" s="5">
        <f t="shared" si="18"/>
        <v>46356</v>
      </c>
      <c r="N104">
        <f t="shared" si="19"/>
        <v>1</v>
      </c>
      <c r="O104" s="10">
        <f t="shared" si="20"/>
        <v>7.09</v>
      </c>
      <c r="P104" s="7">
        <f t="shared" si="21"/>
        <v>7146.72</v>
      </c>
      <c r="Q104" s="9" t="s">
        <v>240</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238</v>
      </c>
      <c r="F105" s="9" t="s">
        <v>3</v>
      </c>
      <c r="G105" s="8">
        <v>1008</v>
      </c>
      <c r="H105" s="7">
        <f t="shared" si="15"/>
        <v>1008</v>
      </c>
      <c r="I105" s="9" t="s">
        <v>239</v>
      </c>
      <c r="J105" s="6"/>
      <c r="K105">
        <f t="shared" si="16"/>
        <v>3</v>
      </c>
      <c r="L105" s="5">
        <f t="shared" si="17"/>
        <v>46356</v>
      </c>
      <c r="M105" s="5">
        <f t="shared" si="18"/>
        <v>46356</v>
      </c>
      <c r="N105">
        <f t="shared" si="19"/>
        <v>1</v>
      </c>
      <c r="O105" s="10">
        <f t="shared" si="20"/>
        <v>7.09</v>
      </c>
      <c r="P105" s="7">
        <f t="shared" si="21"/>
        <v>7146.72</v>
      </c>
      <c r="Q105" s="9" t="s">
        <v>240</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238</v>
      </c>
      <c r="F106" s="9" t="s">
        <v>3</v>
      </c>
      <c r="G106" s="8">
        <v>1008</v>
      </c>
      <c r="H106" s="7">
        <f t="shared" si="15"/>
        <v>1008</v>
      </c>
      <c r="I106" s="9" t="s">
        <v>239</v>
      </c>
      <c r="J106" s="6"/>
      <c r="K106">
        <f t="shared" si="16"/>
        <v>3</v>
      </c>
      <c r="L106" s="5">
        <f t="shared" si="17"/>
        <v>46356</v>
      </c>
      <c r="M106" s="5">
        <f t="shared" si="18"/>
        <v>46356</v>
      </c>
      <c r="N106">
        <f t="shared" si="19"/>
        <v>1</v>
      </c>
      <c r="O106" s="10">
        <f t="shared" si="20"/>
        <v>7.09</v>
      </c>
      <c r="P106" s="7">
        <f t="shared" si="21"/>
        <v>7146.72</v>
      </c>
      <c r="Q106" s="9" t="s">
        <v>240</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238</v>
      </c>
      <c r="F107" s="9" t="s">
        <v>3</v>
      </c>
      <c r="G107" s="8">
        <v>1008</v>
      </c>
      <c r="H107" s="7">
        <f t="shared" si="15"/>
        <v>1008</v>
      </c>
      <c r="I107" s="9" t="s">
        <v>239</v>
      </c>
      <c r="J107" s="6"/>
      <c r="K107">
        <f t="shared" si="16"/>
        <v>3</v>
      </c>
      <c r="L107" s="5">
        <f t="shared" si="17"/>
        <v>46356</v>
      </c>
      <c r="M107" s="5">
        <f t="shared" si="18"/>
        <v>46356</v>
      </c>
      <c r="N107">
        <f t="shared" si="19"/>
        <v>1</v>
      </c>
      <c r="O107" s="10">
        <f t="shared" si="20"/>
        <v>7.09</v>
      </c>
      <c r="P107" s="7">
        <f t="shared" si="21"/>
        <v>7146.72</v>
      </c>
      <c r="Q107" s="9" t="s">
        <v>240</v>
      </c>
      <c r="R107" s="5">
        <f t="shared" si="22"/>
        <v>46359</v>
      </c>
      <c r="S107" s="5">
        <f t="shared" si="23"/>
        <v>46356</v>
      </c>
      <c r="T107" s="7">
        <f t="shared" ca="1" si="24"/>
        <v>0</v>
      </c>
      <c r="U107" t="str">
        <f t="shared" si="25"/>
        <v/>
      </c>
    </row>
    <row r="108" spans="1:21">
      <c r="A108">
        <f t="shared" si="13"/>
        <v>104</v>
      </c>
      <c r="B108" s="6">
        <v>46353</v>
      </c>
      <c r="C108" t="str">
        <f t="shared" si="14"/>
        <v>vie</v>
      </c>
      <c r="D108" s="9" t="s">
        <v>58</v>
      </c>
      <c r="E108" s="9" t="s">
        <v>238</v>
      </c>
      <c r="F108" s="9" t="s">
        <v>3</v>
      </c>
      <c r="G108" s="8">
        <v>1008</v>
      </c>
      <c r="H108" s="7">
        <f t="shared" si="15"/>
        <v>1008</v>
      </c>
      <c r="I108" s="9" t="s">
        <v>239</v>
      </c>
      <c r="J108" s="6"/>
      <c r="K108">
        <f t="shared" si="16"/>
        <v>3</v>
      </c>
      <c r="L108" s="5">
        <f t="shared" si="17"/>
        <v>46356</v>
      </c>
      <c r="M108" s="5">
        <f t="shared" si="18"/>
        <v>46356</v>
      </c>
      <c r="N108">
        <f t="shared" si="19"/>
        <v>1</v>
      </c>
      <c r="O108" s="10">
        <f t="shared" si="20"/>
        <v>7.09</v>
      </c>
      <c r="P108" s="7">
        <f t="shared" si="21"/>
        <v>7146.72</v>
      </c>
      <c r="Q108" s="9" t="s">
        <v>240</v>
      </c>
      <c r="R108" s="5">
        <f t="shared" si="22"/>
        <v>46359</v>
      </c>
      <c r="S108" s="5">
        <f t="shared" si="23"/>
        <v>46356</v>
      </c>
      <c r="T108" s="7">
        <f t="shared" ca="1" si="24"/>
        <v>0</v>
      </c>
      <c r="U108" t="str">
        <f t="shared" si="25"/>
        <v/>
      </c>
    </row>
    <row r="109" spans="1:21">
      <c r="A109">
        <f t="shared" si="13"/>
        <v>105</v>
      </c>
      <c r="B109" s="6">
        <v>46353</v>
      </c>
      <c r="C109" t="str">
        <f t="shared" si="14"/>
        <v>vie</v>
      </c>
      <c r="D109" s="9" t="s">
        <v>58</v>
      </c>
      <c r="E109" s="9" t="s">
        <v>238</v>
      </c>
      <c r="F109" s="9" t="s">
        <v>3</v>
      </c>
      <c r="G109" s="8">
        <v>1008</v>
      </c>
      <c r="H109" s="7">
        <f t="shared" si="15"/>
        <v>1008</v>
      </c>
      <c r="I109" s="9" t="s">
        <v>239</v>
      </c>
      <c r="J109" s="6"/>
      <c r="K109">
        <f t="shared" si="16"/>
        <v>3</v>
      </c>
      <c r="L109" s="5">
        <f t="shared" si="17"/>
        <v>46356</v>
      </c>
      <c r="M109" s="5">
        <f t="shared" si="18"/>
        <v>46356</v>
      </c>
      <c r="N109">
        <f t="shared" si="19"/>
        <v>1</v>
      </c>
      <c r="O109" s="10">
        <f t="shared" si="20"/>
        <v>7.09</v>
      </c>
      <c r="P109" s="7">
        <f t="shared" si="21"/>
        <v>7146.72</v>
      </c>
      <c r="Q109" s="9" t="s">
        <v>240</v>
      </c>
      <c r="R109" s="5">
        <f t="shared" si="22"/>
        <v>46359</v>
      </c>
      <c r="S109" s="5">
        <f t="shared" si="23"/>
        <v>46356</v>
      </c>
      <c r="T109" s="7">
        <f t="shared" ca="1" si="24"/>
        <v>0</v>
      </c>
      <c r="U109" t="str">
        <f t="shared" si="25"/>
        <v/>
      </c>
    </row>
    <row r="110" spans="1:21">
      <c r="A110">
        <f t="shared" si="13"/>
        <v>106</v>
      </c>
      <c r="B110" s="6">
        <v>46360</v>
      </c>
      <c r="C110" t="str">
        <f t="shared" si="14"/>
        <v>vie</v>
      </c>
      <c r="D110" s="9" t="s">
        <v>58</v>
      </c>
      <c r="E110" s="9" t="s">
        <v>238</v>
      </c>
      <c r="F110" s="9" t="s">
        <v>3</v>
      </c>
      <c r="G110" s="8">
        <v>1008</v>
      </c>
      <c r="H110" s="7">
        <f t="shared" si="15"/>
        <v>1008</v>
      </c>
      <c r="I110" s="9" t="s">
        <v>239</v>
      </c>
      <c r="J110" s="6"/>
      <c r="K110">
        <f t="shared" si="16"/>
        <v>3</v>
      </c>
      <c r="L110" s="5">
        <f t="shared" si="17"/>
        <v>46363</v>
      </c>
      <c r="M110" s="5">
        <f t="shared" si="18"/>
        <v>46363</v>
      </c>
      <c r="N110">
        <f t="shared" si="19"/>
        <v>1</v>
      </c>
      <c r="O110" s="10">
        <f t="shared" si="20"/>
        <v>7.09</v>
      </c>
      <c r="P110" s="7">
        <f t="shared" si="21"/>
        <v>7146.72</v>
      </c>
      <c r="Q110" s="9" t="s">
        <v>240</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238</v>
      </c>
      <c r="F111" s="9" t="s">
        <v>3</v>
      </c>
      <c r="G111" s="8">
        <v>1008</v>
      </c>
      <c r="H111" s="7">
        <f t="shared" si="15"/>
        <v>1008</v>
      </c>
      <c r="I111" s="9" t="s">
        <v>239</v>
      </c>
      <c r="J111" s="6"/>
      <c r="K111">
        <f t="shared" si="16"/>
        <v>3</v>
      </c>
      <c r="L111" s="5">
        <f t="shared" si="17"/>
        <v>46363</v>
      </c>
      <c r="M111" s="5">
        <f t="shared" si="18"/>
        <v>46363</v>
      </c>
      <c r="N111">
        <f t="shared" si="19"/>
        <v>1</v>
      </c>
      <c r="O111" s="10">
        <f t="shared" si="20"/>
        <v>7.09</v>
      </c>
      <c r="P111" s="7">
        <f t="shared" si="21"/>
        <v>7146.72</v>
      </c>
      <c r="Q111" s="9" t="s">
        <v>240</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238</v>
      </c>
      <c r="F112" s="9" t="s">
        <v>3</v>
      </c>
      <c r="G112" s="8">
        <v>1008</v>
      </c>
      <c r="H112" s="7">
        <f t="shared" si="15"/>
        <v>1008</v>
      </c>
      <c r="I112" s="9" t="s">
        <v>239</v>
      </c>
      <c r="J112" s="6"/>
      <c r="K112">
        <f t="shared" si="16"/>
        <v>3</v>
      </c>
      <c r="L112" s="5">
        <f t="shared" si="17"/>
        <v>46363</v>
      </c>
      <c r="M112" s="5">
        <f t="shared" si="18"/>
        <v>46363</v>
      </c>
      <c r="N112">
        <f t="shared" si="19"/>
        <v>1</v>
      </c>
      <c r="O112" s="10">
        <f t="shared" si="20"/>
        <v>7.09</v>
      </c>
      <c r="P112" s="7">
        <f t="shared" si="21"/>
        <v>7146.72</v>
      </c>
      <c r="Q112" s="9" t="s">
        <v>240</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238</v>
      </c>
      <c r="F113" s="9" t="s">
        <v>3</v>
      </c>
      <c r="G113" s="8">
        <v>1008</v>
      </c>
      <c r="H113" s="7">
        <f t="shared" si="15"/>
        <v>1008</v>
      </c>
      <c r="I113" s="9" t="s">
        <v>239</v>
      </c>
      <c r="J113" s="6"/>
      <c r="K113">
        <f t="shared" si="16"/>
        <v>3</v>
      </c>
      <c r="L113" s="5">
        <f t="shared" si="17"/>
        <v>46363</v>
      </c>
      <c r="M113" s="5">
        <f t="shared" si="18"/>
        <v>46363</v>
      </c>
      <c r="N113">
        <f t="shared" si="19"/>
        <v>1</v>
      </c>
      <c r="O113" s="10">
        <f t="shared" si="20"/>
        <v>7.09</v>
      </c>
      <c r="P113" s="7">
        <f t="shared" si="21"/>
        <v>7146.72</v>
      </c>
      <c r="Q113" s="9" t="s">
        <v>240</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238</v>
      </c>
      <c r="F114" s="9" t="s">
        <v>3</v>
      </c>
      <c r="G114" s="8">
        <v>1008</v>
      </c>
      <c r="H114" s="7">
        <f t="shared" si="15"/>
        <v>1008</v>
      </c>
      <c r="I114" s="9" t="s">
        <v>239</v>
      </c>
      <c r="J114" s="6"/>
      <c r="K114">
        <f t="shared" si="16"/>
        <v>3</v>
      </c>
      <c r="L114" s="5">
        <f t="shared" si="17"/>
        <v>46363</v>
      </c>
      <c r="M114" s="5">
        <f t="shared" si="18"/>
        <v>46363</v>
      </c>
      <c r="N114">
        <f t="shared" si="19"/>
        <v>1</v>
      </c>
      <c r="O114" s="10">
        <f t="shared" si="20"/>
        <v>7.09</v>
      </c>
      <c r="P114" s="7">
        <f t="shared" si="21"/>
        <v>7146.72</v>
      </c>
      <c r="Q114" s="9" t="s">
        <v>240</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238</v>
      </c>
      <c r="F115" s="9" t="s">
        <v>3</v>
      </c>
      <c r="G115" s="8">
        <v>1008</v>
      </c>
      <c r="H115" s="7">
        <f t="shared" si="15"/>
        <v>1008</v>
      </c>
      <c r="I115" s="9" t="s">
        <v>239</v>
      </c>
      <c r="J115" s="6"/>
      <c r="K115">
        <f t="shared" si="16"/>
        <v>3</v>
      </c>
      <c r="L115" s="5">
        <f t="shared" si="17"/>
        <v>46363</v>
      </c>
      <c r="M115" s="5">
        <f t="shared" si="18"/>
        <v>46363</v>
      </c>
      <c r="N115">
        <f t="shared" si="19"/>
        <v>1</v>
      </c>
      <c r="O115" s="10">
        <f t="shared" si="20"/>
        <v>7.09</v>
      </c>
      <c r="P115" s="7">
        <f t="shared" si="21"/>
        <v>7146.72</v>
      </c>
      <c r="Q115" s="9" t="s">
        <v>240</v>
      </c>
      <c r="R115" s="5">
        <f t="shared" si="22"/>
        <v>46366</v>
      </c>
      <c r="S115" s="5">
        <f t="shared" si="23"/>
        <v>46363</v>
      </c>
      <c r="T115" s="7">
        <f t="shared" ca="1" si="24"/>
        <v>0</v>
      </c>
      <c r="U115" t="str">
        <f t="shared" si="25"/>
        <v/>
      </c>
    </row>
    <row r="116" spans="1:21">
      <c r="A116">
        <f t="shared" si="13"/>
        <v>112</v>
      </c>
      <c r="B116" s="6">
        <v>46360</v>
      </c>
      <c r="C116" t="str">
        <f t="shared" si="14"/>
        <v>vie</v>
      </c>
      <c r="D116" s="9" t="s">
        <v>58</v>
      </c>
      <c r="E116" s="9" t="s">
        <v>238</v>
      </c>
      <c r="F116" s="9" t="s">
        <v>3</v>
      </c>
      <c r="G116" s="8">
        <v>1008</v>
      </c>
      <c r="H116" s="7">
        <f t="shared" si="15"/>
        <v>1008</v>
      </c>
      <c r="I116" s="9" t="s">
        <v>239</v>
      </c>
      <c r="J116" s="6"/>
      <c r="K116">
        <f t="shared" si="16"/>
        <v>3</v>
      </c>
      <c r="L116" s="5">
        <f t="shared" si="17"/>
        <v>46363</v>
      </c>
      <c r="M116" s="5">
        <f t="shared" si="18"/>
        <v>46363</v>
      </c>
      <c r="N116">
        <f t="shared" si="19"/>
        <v>1</v>
      </c>
      <c r="O116" s="10">
        <f t="shared" si="20"/>
        <v>7.09</v>
      </c>
      <c r="P116" s="7">
        <f t="shared" si="21"/>
        <v>7146.72</v>
      </c>
      <c r="Q116" s="9" t="s">
        <v>240</v>
      </c>
      <c r="R116" s="5">
        <f t="shared" si="22"/>
        <v>46366</v>
      </c>
      <c r="S116" s="5">
        <f t="shared" si="23"/>
        <v>46363</v>
      </c>
      <c r="T116" s="7">
        <f t="shared" ca="1" si="24"/>
        <v>0</v>
      </c>
      <c r="U116" t="str">
        <f t="shared" si="25"/>
        <v/>
      </c>
    </row>
    <row r="117" spans="1:21">
      <c r="A117">
        <f t="shared" si="13"/>
        <v>113</v>
      </c>
      <c r="B117" s="6">
        <v>46360</v>
      </c>
      <c r="C117" t="str">
        <f t="shared" si="14"/>
        <v>vie</v>
      </c>
      <c r="D117" s="9" t="s">
        <v>58</v>
      </c>
      <c r="E117" s="9" t="s">
        <v>238</v>
      </c>
      <c r="F117" s="9" t="s">
        <v>3</v>
      </c>
      <c r="G117" s="8">
        <v>1008</v>
      </c>
      <c r="H117" s="7">
        <f t="shared" si="15"/>
        <v>1008</v>
      </c>
      <c r="I117" s="9" t="s">
        <v>239</v>
      </c>
      <c r="J117" s="6"/>
      <c r="K117">
        <f t="shared" si="16"/>
        <v>3</v>
      </c>
      <c r="L117" s="5">
        <f t="shared" si="17"/>
        <v>46363</v>
      </c>
      <c r="M117" s="5">
        <f t="shared" si="18"/>
        <v>46363</v>
      </c>
      <c r="N117">
        <f t="shared" si="19"/>
        <v>1</v>
      </c>
      <c r="O117" s="10">
        <f t="shared" si="20"/>
        <v>7.09</v>
      </c>
      <c r="P117" s="7">
        <f t="shared" si="21"/>
        <v>7146.72</v>
      </c>
      <c r="Q117" s="9" t="s">
        <v>240</v>
      </c>
      <c r="R117" s="5">
        <f t="shared" si="22"/>
        <v>46366</v>
      </c>
      <c r="S117" s="5">
        <f t="shared" si="23"/>
        <v>46363</v>
      </c>
      <c r="T117" s="7">
        <f t="shared" ca="1" si="24"/>
        <v>0</v>
      </c>
      <c r="U117" t="str">
        <f t="shared" si="25"/>
        <v/>
      </c>
    </row>
    <row r="118" spans="1:21">
      <c r="A118">
        <f t="shared" si="13"/>
        <v>114</v>
      </c>
      <c r="B118" s="6">
        <v>46367</v>
      </c>
      <c r="C118" t="str">
        <f t="shared" si="14"/>
        <v>vie</v>
      </c>
      <c r="D118" s="9" t="s">
        <v>58</v>
      </c>
      <c r="E118" s="9" t="s">
        <v>238</v>
      </c>
      <c r="F118" s="9" t="s">
        <v>3</v>
      </c>
      <c r="G118" s="8">
        <v>1008</v>
      </c>
      <c r="H118" s="7">
        <f t="shared" si="15"/>
        <v>1008</v>
      </c>
      <c r="I118" s="9" t="s">
        <v>239</v>
      </c>
      <c r="J118" s="6"/>
      <c r="K118">
        <f t="shared" si="16"/>
        <v>3</v>
      </c>
      <c r="L118" s="5">
        <f t="shared" si="17"/>
        <v>46370</v>
      </c>
      <c r="M118" s="5">
        <f t="shared" si="18"/>
        <v>46370</v>
      </c>
      <c r="N118">
        <f t="shared" si="19"/>
        <v>1</v>
      </c>
      <c r="O118" s="10">
        <f t="shared" si="20"/>
        <v>7.09</v>
      </c>
      <c r="P118" s="7">
        <f t="shared" si="21"/>
        <v>7146.72</v>
      </c>
      <c r="Q118" s="9" t="s">
        <v>240</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238</v>
      </c>
      <c r="F119" s="9" t="s">
        <v>3</v>
      </c>
      <c r="G119" s="8">
        <v>1008</v>
      </c>
      <c r="H119" s="7">
        <f t="shared" si="15"/>
        <v>1008</v>
      </c>
      <c r="I119" s="9" t="s">
        <v>239</v>
      </c>
      <c r="J119" s="6"/>
      <c r="K119">
        <f t="shared" si="16"/>
        <v>3</v>
      </c>
      <c r="L119" s="5">
        <f t="shared" si="17"/>
        <v>46370</v>
      </c>
      <c r="M119" s="5">
        <f t="shared" si="18"/>
        <v>46370</v>
      </c>
      <c r="N119">
        <f t="shared" si="19"/>
        <v>1</v>
      </c>
      <c r="O119" s="10">
        <f t="shared" si="20"/>
        <v>7.09</v>
      </c>
      <c r="P119" s="7">
        <f t="shared" si="21"/>
        <v>7146.72</v>
      </c>
      <c r="Q119" s="9" t="s">
        <v>240</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238</v>
      </c>
      <c r="F120" s="9" t="s">
        <v>3</v>
      </c>
      <c r="G120" s="8">
        <v>1008</v>
      </c>
      <c r="H120" s="7">
        <f t="shared" si="15"/>
        <v>1008</v>
      </c>
      <c r="I120" s="9" t="s">
        <v>239</v>
      </c>
      <c r="J120" s="6"/>
      <c r="K120">
        <f t="shared" si="16"/>
        <v>3</v>
      </c>
      <c r="L120" s="5">
        <f t="shared" si="17"/>
        <v>46370</v>
      </c>
      <c r="M120" s="5">
        <f t="shared" si="18"/>
        <v>46370</v>
      </c>
      <c r="N120">
        <f t="shared" si="19"/>
        <v>1</v>
      </c>
      <c r="O120" s="10">
        <f t="shared" si="20"/>
        <v>7.09</v>
      </c>
      <c r="P120" s="7">
        <f t="shared" si="21"/>
        <v>7146.72</v>
      </c>
      <c r="Q120" s="9" t="s">
        <v>240</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238</v>
      </c>
      <c r="F121" s="9" t="s">
        <v>3</v>
      </c>
      <c r="G121" s="8">
        <v>1008</v>
      </c>
      <c r="H121" s="7">
        <f t="shared" si="15"/>
        <v>1008</v>
      </c>
      <c r="I121" s="9" t="s">
        <v>239</v>
      </c>
      <c r="J121" s="6"/>
      <c r="K121">
        <f t="shared" si="16"/>
        <v>3</v>
      </c>
      <c r="L121" s="5">
        <f t="shared" si="17"/>
        <v>46370</v>
      </c>
      <c r="M121" s="5">
        <f t="shared" si="18"/>
        <v>46370</v>
      </c>
      <c r="N121">
        <f t="shared" si="19"/>
        <v>1</v>
      </c>
      <c r="O121" s="10">
        <f t="shared" si="20"/>
        <v>7.09</v>
      </c>
      <c r="P121" s="7">
        <f t="shared" si="21"/>
        <v>7146.72</v>
      </c>
      <c r="Q121" s="9" t="s">
        <v>240</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238</v>
      </c>
      <c r="F122" s="9" t="s">
        <v>3</v>
      </c>
      <c r="G122" s="8">
        <v>1008</v>
      </c>
      <c r="H122" s="7">
        <f t="shared" si="15"/>
        <v>1008</v>
      </c>
      <c r="I122" s="9" t="s">
        <v>239</v>
      </c>
      <c r="J122" s="6"/>
      <c r="K122">
        <f t="shared" si="16"/>
        <v>3</v>
      </c>
      <c r="L122" s="5">
        <f t="shared" si="17"/>
        <v>46370</v>
      </c>
      <c r="M122" s="5">
        <f t="shared" si="18"/>
        <v>46370</v>
      </c>
      <c r="N122">
        <f t="shared" si="19"/>
        <v>1</v>
      </c>
      <c r="O122" s="10">
        <f t="shared" si="20"/>
        <v>7.09</v>
      </c>
      <c r="P122" s="7">
        <f t="shared" si="21"/>
        <v>7146.72</v>
      </c>
      <c r="Q122" s="9" t="s">
        <v>240</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238</v>
      </c>
      <c r="F123" s="9" t="s">
        <v>3</v>
      </c>
      <c r="G123" s="8">
        <v>1008</v>
      </c>
      <c r="H123" s="7">
        <f t="shared" si="15"/>
        <v>1008</v>
      </c>
      <c r="I123" s="9" t="s">
        <v>239</v>
      </c>
      <c r="J123" s="6"/>
      <c r="K123">
        <f t="shared" si="16"/>
        <v>3</v>
      </c>
      <c r="L123" s="5">
        <f t="shared" si="17"/>
        <v>46370</v>
      </c>
      <c r="M123" s="5">
        <f t="shared" si="18"/>
        <v>46370</v>
      </c>
      <c r="N123">
        <f t="shared" si="19"/>
        <v>1</v>
      </c>
      <c r="O123" s="10">
        <f t="shared" si="20"/>
        <v>7.09</v>
      </c>
      <c r="P123" s="7">
        <f t="shared" si="21"/>
        <v>7146.72</v>
      </c>
      <c r="Q123" s="9" t="s">
        <v>240</v>
      </c>
      <c r="R123" s="5">
        <f t="shared" si="22"/>
        <v>46373</v>
      </c>
      <c r="S123" s="5">
        <f t="shared" si="23"/>
        <v>46370</v>
      </c>
      <c r="T123" s="7">
        <f t="shared" ca="1" si="24"/>
        <v>0</v>
      </c>
      <c r="U123" t="str">
        <f t="shared" si="25"/>
        <v/>
      </c>
    </row>
    <row r="124" spans="1:21">
      <c r="A124">
        <f t="shared" si="13"/>
        <v>120</v>
      </c>
      <c r="B124" s="6">
        <v>46367</v>
      </c>
      <c r="C124" t="str">
        <f t="shared" si="14"/>
        <v>vie</v>
      </c>
      <c r="D124" s="9" t="s">
        <v>58</v>
      </c>
      <c r="E124" s="9" t="s">
        <v>238</v>
      </c>
      <c r="F124" s="9" t="s">
        <v>3</v>
      </c>
      <c r="G124" s="8">
        <v>1008</v>
      </c>
      <c r="H124" s="7">
        <f t="shared" si="15"/>
        <v>1008</v>
      </c>
      <c r="I124" s="9" t="s">
        <v>239</v>
      </c>
      <c r="J124" s="6"/>
      <c r="K124">
        <f t="shared" si="16"/>
        <v>3</v>
      </c>
      <c r="L124" s="5">
        <f t="shared" si="17"/>
        <v>46370</v>
      </c>
      <c r="M124" s="5">
        <f t="shared" si="18"/>
        <v>46370</v>
      </c>
      <c r="N124">
        <f t="shared" si="19"/>
        <v>1</v>
      </c>
      <c r="O124" s="10">
        <f t="shared" si="20"/>
        <v>7.09</v>
      </c>
      <c r="P124" s="7">
        <f t="shared" si="21"/>
        <v>7146.72</v>
      </c>
      <c r="Q124" s="9" t="s">
        <v>240</v>
      </c>
      <c r="R124" s="5">
        <f t="shared" si="22"/>
        <v>46373</v>
      </c>
      <c r="S124" s="5">
        <f t="shared" si="23"/>
        <v>46370</v>
      </c>
      <c r="T124" s="7">
        <f t="shared" ca="1" si="24"/>
        <v>0</v>
      </c>
      <c r="U124" t="str">
        <f t="shared" si="25"/>
        <v/>
      </c>
    </row>
    <row r="125" spans="1:21">
      <c r="A125">
        <f t="shared" si="13"/>
        <v>121</v>
      </c>
      <c r="B125" s="6">
        <v>46367</v>
      </c>
      <c r="C125" t="str">
        <f t="shared" si="14"/>
        <v>vie</v>
      </c>
      <c r="D125" s="9" t="s">
        <v>58</v>
      </c>
      <c r="E125" s="9" t="s">
        <v>238</v>
      </c>
      <c r="F125" s="9" t="s">
        <v>3</v>
      </c>
      <c r="G125" s="8">
        <v>1008</v>
      </c>
      <c r="H125" s="7">
        <f t="shared" si="15"/>
        <v>1008</v>
      </c>
      <c r="I125" s="9" t="s">
        <v>239</v>
      </c>
      <c r="J125" s="6"/>
      <c r="K125">
        <f t="shared" si="16"/>
        <v>3</v>
      </c>
      <c r="L125" s="5">
        <f t="shared" si="17"/>
        <v>46370</v>
      </c>
      <c r="M125" s="5">
        <f t="shared" si="18"/>
        <v>46370</v>
      </c>
      <c r="N125">
        <f t="shared" si="19"/>
        <v>1</v>
      </c>
      <c r="O125" s="10">
        <f t="shared" si="20"/>
        <v>7.09</v>
      </c>
      <c r="P125" s="7">
        <f t="shared" si="21"/>
        <v>7146.72</v>
      </c>
      <c r="Q125" s="9" t="s">
        <v>240</v>
      </c>
      <c r="R125" s="5">
        <f t="shared" si="22"/>
        <v>46373</v>
      </c>
      <c r="S125" s="5">
        <f t="shared" si="23"/>
        <v>46370</v>
      </c>
      <c r="T125" s="7">
        <f t="shared" ca="1" si="24"/>
        <v>0</v>
      </c>
      <c r="U125" t="str">
        <f t="shared" si="25"/>
        <v/>
      </c>
    </row>
    <row r="126" spans="1:21">
      <c r="A126">
        <f t="shared" si="13"/>
        <v>122</v>
      </c>
      <c r="B126" s="6">
        <v>46374</v>
      </c>
      <c r="C126" t="str">
        <f t="shared" si="14"/>
        <v>vie</v>
      </c>
      <c r="D126" s="9" t="s">
        <v>58</v>
      </c>
      <c r="E126" s="9" t="s">
        <v>238</v>
      </c>
      <c r="F126" s="9" t="s">
        <v>3</v>
      </c>
      <c r="G126" s="8">
        <v>1008</v>
      </c>
      <c r="H126" s="7">
        <f t="shared" si="15"/>
        <v>1008</v>
      </c>
      <c r="I126" s="9" t="s">
        <v>239</v>
      </c>
      <c r="J126" s="6"/>
      <c r="K126">
        <f t="shared" si="16"/>
        <v>3</v>
      </c>
      <c r="L126" s="5">
        <f t="shared" si="17"/>
        <v>46377</v>
      </c>
      <c r="M126" s="5">
        <f t="shared" si="18"/>
        <v>46377</v>
      </c>
      <c r="N126">
        <f t="shared" si="19"/>
        <v>1</v>
      </c>
      <c r="O126" s="10">
        <f t="shared" si="20"/>
        <v>7.09</v>
      </c>
      <c r="P126" s="7">
        <f t="shared" si="21"/>
        <v>7146.72</v>
      </c>
      <c r="Q126" s="9" t="s">
        <v>240</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238</v>
      </c>
      <c r="F127" s="9" t="s">
        <v>3</v>
      </c>
      <c r="G127" s="8">
        <v>1008</v>
      </c>
      <c r="H127" s="7">
        <f t="shared" si="15"/>
        <v>1008</v>
      </c>
      <c r="I127" s="9" t="s">
        <v>239</v>
      </c>
      <c r="J127" s="6"/>
      <c r="K127">
        <f t="shared" si="16"/>
        <v>3</v>
      </c>
      <c r="L127" s="5">
        <f t="shared" si="17"/>
        <v>46377</v>
      </c>
      <c r="M127" s="5">
        <f t="shared" si="18"/>
        <v>46377</v>
      </c>
      <c r="N127">
        <f t="shared" si="19"/>
        <v>1</v>
      </c>
      <c r="O127" s="10">
        <f t="shared" si="20"/>
        <v>7.09</v>
      </c>
      <c r="P127" s="7">
        <f t="shared" si="21"/>
        <v>7146.72</v>
      </c>
      <c r="Q127" s="9" t="s">
        <v>240</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238</v>
      </c>
      <c r="F128" s="9" t="s">
        <v>3</v>
      </c>
      <c r="G128" s="8">
        <v>1008</v>
      </c>
      <c r="H128" s="7">
        <f t="shared" si="15"/>
        <v>1008</v>
      </c>
      <c r="I128" s="9" t="s">
        <v>239</v>
      </c>
      <c r="J128" s="6"/>
      <c r="K128">
        <f t="shared" si="16"/>
        <v>3</v>
      </c>
      <c r="L128" s="5">
        <f t="shared" si="17"/>
        <v>46377</v>
      </c>
      <c r="M128" s="5">
        <f t="shared" si="18"/>
        <v>46377</v>
      </c>
      <c r="N128">
        <f t="shared" si="19"/>
        <v>1</v>
      </c>
      <c r="O128" s="10">
        <f t="shared" si="20"/>
        <v>7.09</v>
      </c>
      <c r="P128" s="7">
        <f t="shared" si="21"/>
        <v>7146.72</v>
      </c>
      <c r="Q128" s="9" t="s">
        <v>240</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238</v>
      </c>
      <c r="F129" s="9" t="s">
        <v>3</v>
      </c>
      <c r="G129" s="8">
        <v>1008</v>
      </c>
      <c r="H129" s="7">
        <f t="shared" si="15"/>
        <v>1008</v>
      </c>
      <c r="I129" s="9" t="s">
        <v>239</v>
      </c>
      <c r="J129" s="6"/>
      <c r="K129">
        <f t="shared" si="16"/>
        <v>3</v>
      </c>
      <c r="L129" s="5">
        <f t="shared" si="17"/>
        <v>46377</v>
      </c>
      <c r="M129" s="5">
        <f t="shared" si="18"/>
        <v>46377</v>
      </c>
      <c r="N129">
        <f t="shared" si="19"/>
        <v>1</v>
      </c>
      <c r="O129" s="10">
        <f t="shared" si="20"/>
        <v>7.09</v>
      </c>
      <c r="P129" s="7">
        <f t="shared" si="21"/>
        <v>7146.72</v>
      </c>
      <c r="Q129" s="9" t="s">
        <v>240</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238</v>
      </c>
      <c r="F130" s="9" t="s">
        <v>3</v>
      </c>
      <c r="G130" s="8">
        <v>1008</v>
      </c>
      <c r="H130" s="7">
        <f t="shared" si="15"/>
        <v>1008</v>
      </c>
      <c r="I130" s="9" t="s">
        <v>239</v>
      </c>
      <c r="J130" s="6"/>
      <c r="K130">
        <f t="shared" si="16"/>
        <v>3</v>
      </c>
      <c r="L130" s="5">
        <f t="shared" si="17"/>
        <v>46377</v>
      </c>
      <c r="M130" s="5">
        <f t="shared" si="18"/>
        <v>46377</v>
      </c>
      <c r="N130">
        <f t="shared" si="19"/>
        <v>1</v>
      </c>
      <c r="O130" s="10">
        <f t="shared" si="20"/>
        <v>7.09</v>
      </c>
      <c r="P130" s="7">
        <f t="shared" si="21"/>
        <v>7146.72</v>
      </c>
      <c r="Q130" s="9" t="s">
        <v>240</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238</v>
      </c>
      <c r="F131" s="9" t="s">
        <v>3</v>
      </c>
      <c r="G131" s="8">
        <v>1008</v>
      </c>
      <c r="H131" s="7">
        <f t="shared" si="15"/>
        <v>1008</v>
      </c>
      <c r="I131" s="9" t="s">
        <v>239</v>
      </c>
      <c r="J131" s="6"/>
      <c r="K131">
        <f t="shared" si="16"/>
        <v>3</v>
      </c>
      <c r="L131" s="5">
        <f t="shared" si="17"/>
        <v>46377</v>
      </c>
      <c r="M131" s="5">
        <f t="shared" si="18"/>
        <v>46377</v>
      </c>
      <c r="N131">
        <f t="shared" si="19"/>
        <v>1</v>
      </c>
      <c r="O131" s="10">
        <f t="shared" si="20"/>
        <v>7.09</v>
      </c>
      <c r="P131" s="7">
        <f t="shared" si="21"/>
        <v>7146.72</v>
      </c>
      <c r="Q131" s="9" t="s">
        <v>240</v>
      </c>
      <c r="R131" s="5">
        <f t="shared" si="22"/>
        <v>46380</v>
      </c>
      <c r="S131" s="5">
        <f t="shared" si="23"/>
        <v>46377</v>
      </c>
      <c r="T131" s="7">
        <f t="shared" ca="1" si="24"/>
        <v>0</v>
      </c>
      <c r="U131" t="str">
        <f t="shared" si="25"/>
        <v/>
      </c>
    </row>
    <row r="132" spans="1:21">
      <c r="A132">
        <f t="shared" si="13"/>
        <v>128</v>
      </c>
      <c r="B132" s="6">
        <v>46374</v>
      </c>
      <c r="C132" t="str">
        <f t="shared" si="14"/>
        <v>vie</v>
      </c>
      <c r="D132" s="9" t="s">
        <v>58</v>
      </c>
      <c r="E132" s="9" t="s">
        <v>238</v>
      </c>
      <c r="F132" s="9" t="s">
        <v>3</v>
      </c>
      <c r="G132" s="8">
        <v>1008</v>
      </c>
      <c r="H132" s="7">
        <f t="shared" si="15"/>
        <v>1008</v>
      </c>
      <c r="I132" s="9" t="s">
        <v>239</v>
      </c>
      <c r="J132" s="6"/>
      <c r="K132">
        <f t="shared" si="16"/>
        <v>3</v>
      </c>
      <c r="L132" s="5">
        <f t="shared" si="17"/>
        <v>46377</v>
      </c>
      <c r="M132" s="5">
        <f t="shared" si="18"/>
        <v>46377</v>
      </c>
      <c r="N132">
        <f t="shared" si="19"/>
        <v>1</v>
      </c>
      <c r="O132" s="10">
        <f t="shared" si="20"/>
        <v>7.09</v>
      </c>
      <c r="P132" s="7">
        <f t="shared" si="21"/>
        <v>7146.72</v>
      </c>
      <c r="Q132" s="9" t="s">
        <v>240</v>
      </c>
      <c r="R132" s="5">
        <f t="shared" si="22"/>
        <v>46380</v>
      </c>
      <c r="S132" s="5">
        <f t="shared" si="23"/>
        <v>46377</v>
      </c>
      <c r="T132" s="7">
        <f t="shared" ca="1" si="24"/>
        <v>0</v>
      </c>
      <c r="U132" t="str">
        <f t="shared" si="25"/>
        <v/>
      </c>
    </row>
    <row r="133" spans="1:21">
      <c r="A133">
        <f t="shared" ref="A133:A196" si="26">IF(B133="","",ROW()-4)</f>
        <v>129</v>
      </c>
      <c r="B133" s="6">
        <v>46374</v>
      </c>
      <c r="C133" t="str">
        <f t="shared" ref="C133:C196" si="27">IF(B133="","",TEXT(B133,"ddd"))</f>
        <v>vie</v>
      </c>
      <c r="D133" s="9" t="s">
        <v>58</v>
      </c>
      <c r="E133" s="9" t="s">
        <v>238</v>
      </c>
      <c r="F133" s="9" t="s">
        <v>3</v>
      </c>
      <c r="G133" s="8">
        <v>1008</v>
      </c>
      <c r="H133" s="7">
        <f t="shared" ref="H133:H196" si="28">IF(B133="","",IF(G133&lt;&gt;"",G133,IFERROR(INDEX(CajasOrigen,MATCH(D133,Origenes,0)),CajasProm)))</f>
        <v>1008</v>
      </c>
      <c r="I133" s="9" t="s">
        <v>239</v>
      </c>
      <c r="J133" s="6"/>
      <c r="K133">
        <f t="shared" ref="K133:K196" si="29">IF(B133="","",IFERROR(INDEX(Lags,MATCH(D133,Origenes,0)),LagBR)+IF(J133&lt;&gt;"",0,AtrasoDias))</f>
        <v>3</v>
      </c>
      <c r="L133" s="5">
        <f t="shared" ref="L133:L196" si="30">IF(B133="","",IF(J133&lt;&gt;"",J133,B133+K133))</f>
        <v>46377</v>
      </c>
      <c r="M133" s="5">
        <f t="shared" ref="M133:M196" si="31">IF(L133="","",IF(WEEKDAY(L133,2)=7,L133+1,L133-WEEKDAY(L133,2)+1))</f>
        <v>46377</v>
      </c>
      <c r="N133">
        <f t="shared" ref="N133:N196" si="32">IF(L133="","",IF(L133&gt;FechaConteo,1,0)*IF(I133="Supuesto",SupPY,IF(I133="Supuesto BR",SupBR,1)))</f>
        <v>1</v>
      </c>
      <c r="O133" s="10">
        <f t="shared" ref="O133:O196" si="33">IF(D133="","",IFERROR(INDEX(CostoOrigen,MATCH(D133,Origenes,0)),0))</f>
        <v>7.09</v>
      </c>
      <c r="P133" s="7">
        <f t="shared" ref="P133:P196" si="34">IF(H133="","",H133*O133)</f>
        <v>7146.72</v>
      </c>
      <c r="Q133" s="9" t="s">
        <v>240</v>
      </c>
      <c r="R133" s="5">
        <f t="shared" ref="R133:R196" si="35">IF(B133="","",IF(J133&lt;&gt;"",J133,B133+IFERROR(INDEX(LagsP90,MATCH(D133,Origenes,0)),K133)))</f>
        <v>46380</v>
      </c>
      <c r="S133" s="5">
        <f t="shared" ref="S133:S196" si="36">IF(R133="","",IF(WEEKDAY(R133,2)=7,R133+1,R133-WEEKDAY(R133,2)+1))</f>
        <v>46377</v>
      </c>
      <c r="T133" s="7">
        <f t="shared" ref="T133:T196" ca="1" si="37">IF(B133="","",IF(AND(B133&lt;=FechaHoy,J133="",I133&lt;&gt;"Supuesto",I133&lt;&gt;"Simulado"),H133,0))</f>
        <v>0</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241</v>
      </c>
    </row>
    <row r="2" spans="1:21">
      <c r="A2" s="2" t="s">
        <v>242</v>
      </c>
    </row>
    <row r="5" spans="1:21" ht="75">
      <c r="A5" s="11" t="s">
        <v>139</v>
      </c>
      <c r="B5" s="11" t="s">
        <v>160</v>
      </c>
      <c r="C5" s="11" t="s">
        <v>243</v>
      </c>
      <c r="D5" s="11" t="s">
        <v>244</v>
      </c>
      <c r="E5" s="11" t="s">
        <v>245</v>
      </c>
      <c r="F5" s="11" t="s">
        <v>246</v>
      </c>
      <c r="G5" s="11" t="s">
        <v>247</v>
      </c>
      <c r="H5" s="11" t="s">
        <v>248</v>
      </c>
      <c r="I5" s="11" t="s">
        <v>249</v>
      </c>
      <c r="J5" s="11" t="s">
        <v>250</v>
      </c>
      <c r="K5" s="11" t="s">
        <v>251</v>
      </c>
      <c r="L5" s="11" t="s">
        <v>252</v>
      </c>
      <c r="M5" s="11" t="s">
        <v>253</v>
      </c>
      <c r="N5" s="11" t="s">
        <v>178</v>
      </c>
      <c r="O5" s="11" t="s">
        <v>254</v>
      </c>
      <c r="P5" s="11" t="s">
        <v>255</v>
      </c>
      <c r="Q5" s="11" t="s">
        <v>256</v>
      </c>
      <c r="R5" s="11" t="s">
        <v>257</v>
      </c>
      <c r="S5" s="11" t="s">
        <v>258</v>
      </c>
      <c r="T5" s="11" t="s">
        <v>259</v>
      </c>
      <c r="U5" s="11" t="s">
        <v>260</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7.6326666666666663</v>
      </c>
      <c r="N7" t="str">
        <f t="shared" ca="1" si="8"/>
        <v>BAJO MINIMO (limite pasado)</v>
      </c>
      <c r="O7" s="7">
        <f>O6+SUMIFS(CgCajas,CgSemana,A7,CgCuenta,1,CgOrigen,"BR")-ROUND(Demanda!L7,0)</f>
        <v>8989</v>
      </c>
      <c r="P7" s="22">
        <f>IF(Demanda!L8=0,"",O7/(Demanda!L8/DiasVenta))</f>
        <v>4.8562938951917882</v>
      </c>
      <c r="Q7" s="7">
        <f>Q6+SUMIFS(CgCajas,CgSemana,A7,CgCuenta,1,CgOrigen,"PY")-ROUND(Demanda!M7,0)</f>
        <v>12269</v>
      </c>
      <c r="R7" s="22">
        <f>IF(Demanda!M8=0,"",Q7/(Demanda!M8/DiasVenta))</f>
        <v>13.107905982905983</v>
      </c>
      <c r="S7" s="7">
        <f>S6+SUMIFS(CgCajas,CgSemana,A7,CgCuenta,1,CgOrigen,"BO")-ROUND(Demanda!N7,0)</f>
        <v>1640</v>
      </c>
      <c r="T7" s="22">
        <f>IF(Demanda!N8=0,"",S7/(Demanda!N8/DiasVenta))</f>
        <v>7.699530516431925</v>
      </c>
      <c r="U7" t="str">
        <f t="shared" si="9"/>
        <v>Brasil</v>
      </c>
    </row>
    <row r="8" spans="1:21">
      <c r="A8" s="5">
        <f>Demanda!A8</f>
        <v>46300</v>
      </c>
      <c r="B8" s="5">
        <f t="shared" si="0"/>
        <v>46305</v>
      </c>
      <c r="C8" s="7">
        <f t="shared" si="10"/>
        <v>22898</v>
      </c>
      <c r="D8" s="7">
        <f t="shared" si="1"/>
        <v>19</v>
      </c>
      <c r="E8" s="7">
        <f t="shared" si="2"/>
        <v>18868</v>
      </c>
      <c r="F8" s="7">
        <f>ROUND(Demanda!H8,0)</f>
        <v>18000</v>
      </c>
      <c r="G8" s="7">
        <f t="shared" si="3"/>
        <v>23766</v>
      </c>
      <c r="H8" s="7">
        <f ca="1">SUM($K$6:K7)*CajasProm</f>
        <v>0</v>
      </c>
      <c r="I8" s="12">
        <f t="shared" ca="1" si="4"/>
        <v>23766</v>
      </c>
      <c r="J8" s="21">
        <f t="shared" si="5"/>
        <v>46301</v>
      </c>
      <c r="K8" s="3">
        <f t="shared" ca="1" si="6"/>
        <v>2</v>
      </c>
      <c r="L8" s="7">
        <f t="shared" ca="1" si="7"/>
        <v>25766</v>
      </c>
      <c r="M8" s="22">
        <f ca="1">IF(Demanda!H9=0,"",L8/(Demanda!H9/DiasVenta))</f>
        <v>8.5886666666666667</v>
      </c>
      <c r="N8" t="str">
        <f t="shared" ca="1" si="8"/>
        <v>CARGAR 2</v>
      </c>
      <c r="O8" s="7">
        <f>O7+SUMIFS(CgCajas,CgSemana,A8,CgCuenta,1,CgOrigen,"BR")-ROUND(Demanda!L8,0)</f>
        <v>11851</v>
      </c>
      <c r="P8" s="22">
        <f>IF(Demanda!L9=0,"",O8/(Demanda!L9/DiasVenta))</f>
        <v>6.4024851431658565</v>
      </c>
      <c r="Q8" s="7">
        <f>Q7+SUMIFS(CgCajas,CgSemana,A8,CgCuenta,1,CgOrigen,"PY")-ROUND(Demanda!M8,0)</f>
        <v>11553</v>
      </c>
      <c r="R8" s="22">
        <f>IF(Demanda!M9=0,"",Q8/(Demanda!M9/DiasVenta))</f>
        <v>12.342948717948717</v>
      </c>
      <c r="S8" s="7">
        <f>S7+SUMIFS(CgCajas,CgSemana,A8,CgCuenta,1,CgOrigen,"BO")-ROUND(Demanda!N8,0)</f>
        <v>362</v>
      </c>
      <c r="T8" s="22">
        <f>IF(Demanda!N9=0,"",S8/(Demanda!N9/DiasVenta))</f>
        <v>1.699530516431925</v>
      </c>
      <c r="U8" t="str">
        <f t="shared" si="9"/>
        <v>Bolivia</v>
      </c>
    </row>
    <row r="9" spans="1:21">
      <c r="A9" s="5">
        <f>Demanda!A9</f>
        <v>46307</v>
      </c>
      <c r="B9" s="5">
        <f t="shared" si="0"/>
        <v>46312</v>
      </c>
      <c r="C9" s="7">
        <f t="shared" si="10"/>
        <v>23766</v>
      </c>
      <c r="D9" s="7">
        <f t="shared" si="1"/>
        <v>11</v>
      </c>
      <c r="E9" s="7">
        <f t="shared" si="2"/>
        <v>10918</v>
      </c>
      <c r="F9" s="7">
        <f>ROUND(Demanda!H9,0)</f>
        <v>18000</v>
      </c>
      <c r="G9" s="7">
        <f t="shared" si="3"/>
        <v>16684</v>
      </c>
      <c r="H9" s="7">
        <f ca="1">SUM($K$6:K8)*CajasProm</f>
        <v>2000</v>
      </c>
      <c r="I9" s="12">
        <f t="shared" ca="1" si="4"/>
        <v>18684</v>
      </c>
      <c r="J9" s="21">
        <f t="shared" si="5"/>
        <v>46308</v>
      </c>
      <c r="K9" s="3">
        <f t="shared" ca="1" si="6"/>
        <v>7</v>
      </c>
      <c r="L9" s="7">
        <f t="shared" ca="1" si="7"/>
        <v>25684</v>
      </c>
      <c r="M9" s="22">
        <f ca="1">IF(Demanda!H10=0,"",L9/(Demanda!H10/DiasVenta))</f>
        <v>8.5613333333333337</v>
      </c>
      <c r="N9" t="str">
        <f t="shared" ca="1" si="8"/>
        <v>CARGAR 7</v>
      </c>
      <c r="O9" s="7">
        <f>O8+SUMIFS(CgCajas,CgSemana,A9,CgCuenta,1,CgOrigen,"BR")-ROUND(Demanda!L9,0)</f>
        <v>5713</v>
      </c>
      <c r="P9" s="22">
        <f>IF(Demanda!L10=0,"",O9/(Demanda!L10/DiasVenta))</f>
        <v>3.0864397622906536</v>
      </c>
      <c r="Q9" s="7">
        <f>Q8+SUMIFS(CgCajas,CgSemana,A9,CgCuenta,1,CgOrigen,"PY")-ROUND(Demanda!M9,0)</f>
        <v>10837</v>
      </c>
      <c r="R9" s="22">
        <f>IF(Demanda!M10=0,"",Q9/(Demanda!M10/DiasVenta))</f>
        <v>11.577991452991453</v>
      </c>
      <c r="S9" s="7">
        <f>S8+SUMIFS(CgCajas,CgSemana,A9,CgCuenta,1,CgOrigen,"BO")-ROUND(Demanda!N9,0)</f>
        <v>134</v>
      </c>
      <c r="T9" s="22">
        <f>IF(Demanda!N10=0,"",S9/(Demanda!N10/DiasVenta))</f>
        <v>0.62910798122065725</v>
      </c>
      <c r="U9" t="str">
        <f t="shared" si="9"/>
        <v>Bolivia</v>
      </c>
    </row>
    <row r="10" spans="1:21">
      <c r="A10" s="5">
        <f>Demanda!A10</f>
        <v>46314</v>
      </c>
      <c r="B10" s="5">
        <f t="shared" si="0"/>
        <v>46319</v>
      </c>
      <c r="C10" s="7">
        <f t="shared" si="10"/>
        <v>16684</v>
      </c>
      <c r="D10" s="7">
        <f t="shared" si="1"/>
        <v>14</v>
      </c>
      <c r="E10" s="7">
        <f t="shared" si="2"/>
        <v>14014</v>
      </c>
      <c r="F10" s="7">
        <f>ROUND(Demanda!H10,0)</f>
        <v>18000</v>
      </c>
      <c r="G10" s="7">
        <f t="shared" si="3"/>
        <v>12698</v>
      </c>
      <c r="H10" s="7">
        <f ca="1">SUM($K$6:K9)*CajasProm</f>
        <v>9000</v>
      </c>
      <c r="I10" s="12">
        <f t="shared" ca="1" si="4"/>
        <v>21698</v>
      </c>
      <c r="J10" s="21">
        <f t="shared" si="5"/>
        <v>46315</v>
      </c>
      <c r="K10" s="3">
        <f t="shared" ca="1" si="6"/>
        <v>4</v>
      </c>
      <c r="L10" s="7">
        <f t="shared" ca="1" si="7"/>
        <v>25698</v>
      </c>
      <c r="M10" s="22">
        <f ca="1">IF(Demanda!H11=0,"",L10/(Demanda!H11/DiasVenta))</f>
        <v>8.5660000000000007</v>
      </c>
      <c r="N10" t="str">
        <f t="shared" ca="1" si="8"/>
        <v>CARGAR 4</v>
      </c>
      <c r="O10" s="7">
        <f>O9+SUMIFS(CgCajas,CgSemana,A10,CgCuenta,1,CgOrigen,"BR")-ROUND(Demanda!L10,0)</f>
        <v>2671</v>
      </c>
      <c r="P10" s="22">
        <f>IF(Demanda!L11=0,"",O10/(Demanda!L11/DiasVenta))</f>
        <v>1.4430037817396002</v>
      </c>
      <c r="Q10" s="7">
        <f>Q9+SUMIFS(CgCajas,CgSemana,A10,CgCuenta,1,CgOrigen,"PY")-ROUND(Demanda!M10,0)</f>
        <v>10121</v>
      </c>
      <c r="R10" s="22">
        <f>IF(Demanda!M11=0,"",Q10/(Demanda!M11/DiasVenta))</f>
        <v>10.813034188034187</v>
      </c>
      <c r="S10" s="7">
        <f>S9+SUMIFS(CgCajas,CgSemana,A10,CgCuenta,1,CgOrigen,"BO")-ROUND(Demanda!N10,0)</f>
        <v>-94</v>
      </c>
      <c r="T10" s="22">
        <f>IF(Demanda!N11=0,"",S10/(Demanda!N11/DiasVenta))</f>
        <v>-0.44131455399061031</v>
      </c>
      <c r="U10" t="str">
        <f t="shared" si="9"/>
        <v>Bolivia</v>
      </c>
    </row>
    <row r="11" spans="1:21">
      <c r="A11" s="5">
        <f>Demanda!A11</f>
        <v>46321</v>
      </c>
      <c r="B11" s="5">
        <f t="shared" si="0"/>
        <v>46326</v>
      </c>
      <c r="C11" s="7">
        <f t="shared" si="10"/>
        <v>12698</v>
      </c>
      <c r="D11" s="7">
        <f t="shared" si="1"/>
        <v>9</v>
      </c>
      <c r="E11" s="7">
        <f t="shared" si="2"/>
        <v>9114</v>
      </c>
      <c r="F11" s="7">
        <f>ROUND(Demanda!H11,0)</f>
        <v>18000</v>
      </c>
      <c r="G11" s="7">
        <f t="shared" si="3"/>
        <v>3812</v>
      </c>
      <c r="H11" s="7">
        <f ca="1">SUM($K$6:K10)*CajasProm</f>
        <v>13000</v>
      </c>
      <c r="I11" s="12">
        <f t="shared" ca="1" si="4"/>
        <v>16812</v>
      </c>
      <c r="J11" s="21">
        <f t="shared" si="5"/>
        <v>46322</v>
      </c>
      <c r="K11" s="3">
        <f t="shared" ca="1" si="6"/>
        <v>9</v>
      </c>
      <c r="L11" s="7">
        <f t="shared" ca="1" si="7"/>
        <v>25812</v>
      </c>
      <c r="M11" s="22">
        <f ca="1">IF(Demanda!H12=0,"",L11/(Demanda!H12/DiasVenta))</f>
        <v>8.6039999999999992</v>
      </c>
      <c r="N11" t="str">
        <f t="shared" ca="1" si="8"/>
        <v>CARGAR 9</v>
      </c>
      <c r="O11" s="7">
        <f>O10+SUMIFS(CgCajas,CgSemana,A11,CgCuenta,1,CgOrigen,"BR")-ROUND(Demanda!L11,0)</f>
        <v>-371</v>
      </c>
      <c r="P11" s="22">
        <f>IF(Demanda!L12=0,"",O11/(Demanda!L12/DiasVenta))</f>
        <v>-0.20043219881145327</v>
      </c>
      <c r="Q11" s="7">
        <f>Q10+SUMIFS(CgCajas,CgSemana,A11,CgCuenta,1,CgOrigen,"PY")-ROUND(Demanda!M11,0)</f>
        <v>4505</v>
      </c>
      <c r="R11" s="22">
        <f>IF(Demanda!M12=0,"",Q11/(Demanda!M12/DiasVenta))</f>
        <v>4.8130341880341883</v>
      </c>
      <c r="S11" s="7">
        <f>S10+SUMIFS(CgCajas,CgSemana,A11,CgCuenta,1,CgOrigen,"BO")-ROUND(Demanda!N11,0)</f>
        <v>-322</v>
      </c>
      <c r="T11" s="22">
        <f>IF(Demanda!N12=0,"",S11/(Demanda!N12/DiasVenta))</f>
        <v>-1.511737089201878</v>
      </c>
      <c r="U11" t="str">
        <f t="shared" si="9"/>
        <v>Bolivia</v>
      </c>
    </row>
    <row r="12" spans="1:21">
      <c r="A12" s="5">
        <f>Demanda!A12</f>
        <v>46328</v>
      </c>
      <c r="B12" s="5">
        <f t="shared" si="0"/>
        <v>46333</v>
      </c>
      <c r="C12" s="7">
        <f t="shared" si="10"/>
        <v>3812</v>
      </c>
      <c r="D12" s="7">
        <f t="shared" si="1"/>
        <v>8</v>
      </c>
      <c r="E12" s="7">
        <f t="shared" si="2"/>
        <v>8064</v>
      </c>
      <c r="F12" s="7">
        <f>ROUND(Demanda!H12,0)</f>
        <v>18000</v>
      </c>
      <c r="G12" s="7">
        <f t="shared" si="3"/>
        <v>-6124</v>
      </c>
      <c r="H12" s="7">
        <f ca="1">SUM($K$6:K11)*CajasProm</f>
        <v>22000</v>
      </c>
      <c r="I12" s="12">
        <f t="shared" ca="1" si="4"/>
        <v>15876</v>
      </c>
      <c r="J12" s="21">
        <f t="shared" si="5"/>
        <v>46329</v>
      </c>
      <c r="K12" s="3">
        <f t="shared" ca="1" si="6"/>
        <v>10</v>
      </c>
      <c r="L12" s="7">
        <f t="shared" ca="1" si="7"/>
        <v>25876</v>
      </c>
      <c r="M12" s="22">
        <f ca="1">IF(Demanda!H13=0,"",L12/(Demanda!H13/DiasVenta))</f>
        <v>8.6253333333333337</v>
      </c>
      <c r="N12" t="str">
        <f t="shared" ca="1" si="8"/>
        <v>CARGAR 10</v>
      </c>
      <c r="O12" s="7">
        <f>O11+SUMIFS(CgCajas,CgSemana,A12,CgCuenta,1,CgOrigen,"BR")-ROUND(Demanda!L12,0)</f>
        <v>-3413</v>
      </c>
      <c r="P12" s="22">
        <f>IF(Demanda!L13=0,"",O12/(Demanda!L13/DiasVenta))</f>
        <v>-1.8438681793625067</v>
      </c>
      <c r="Q12" s="7">
        <f>Q11+SUMIFS(CgCajas,CgSemana,A12,CgCuenta,1,CgOrigen,"PY")-ROUND(Demanda!M12,0)</f>
        <v>-1111</v>
      </c>
      <c r="R12" s="22">
        <f>IF(Demanda!M13=0,"",Q12/(Demanda!M13/DiasVenta))</f>
        <v>-1.186965811965812</v>
      </c>
      <c r="S12" s="7">
        <f>S11+SUMIFS(CgCajas,CgSemana,A12,CgCuenta,1,CgOrigen,"BO")-ROUND(Demanda!N12,0)</f>
        <v>-1600</v>
      </c>
      <c r="T12" s="22">
        <f>IF(Demanda!N13=0,"",S12/(Demanda!N13/DiasVenta))</f>
        <v>-7.511737089201878</v>
      </c>
      <c r="U12" t="str">
        <f t="shared" si="9"/>
        <v>Bolivia</v>
      </c>
    </row>
    <row r="13" spans="1:21">
      <c r="A13" s="5">
        <f>Demanda!A13</f>
        <v>46335</v>
      </c>
      <c r="B13" s="5">
        <f t="shared" si="0"/>
        <v>46340</v>
      </c>
      <c r="C13" s="7">
        <f t="shared" si="10"/>
        <v>-6124</v>
      </c>
      <c r="D13" s="7">
        <f t="shared" si="1"/>
        <v>8</v>
      </c>
      <c r="E13" s="7">
        <f t="shared" si="2"/>
        <v>8064</v>
      </c>
      <c r="F13" s="7">
        <f>ROUND(Demanda!H13,0)</f>
        <v>18000</v>
      </c>
      <c r="G13" s="7">
        <f t="shared" si="3"/>
        <v>-16060</v>
      </c>
      <c r="H13" s="7">
        <f ca="1">SUM($K$6:K12)*CajasProm</f>
        <v>32000</v>
      </c>
      <c r="I13" s="12">
        <f t="shared" ca="1" si="4"/>
        <v>15940</v>
      </c>
      <c r="J13" s="21">
        <f t="shared" si="5"/>
        <v>46336</v>
      </c>
      <c r="K13" s="3">
        <f t="shared" ca="1" si="6"/>
        <v>10</v>
      </c>
      <c r="L13" s="7">
        <f t="shared" ca="1" si="7"/>
        <v>25940</v>
      </c>
      <c r="M13" s="22">
        <f ca="1">IF(Demanda!H14=0,"",L13/(Demanda!H14/DiasVenta))</f>
        <v>8.6466666666666665</v>
      </c>
      <c r="N13" t="str">
        <f t="shared" ca="1" si="8"/>
        <v>CARGAR 10</v>
      </c>
      <c r="O13" s="7">
        <f>O12+SUMIFS(CgCajas,CgSemana,A13,CgCuenta,1,CgOrigen,"BR")-ROUND(Demanda!L13,0)</f>
        <v>-6455</v>
      </c>
      <c r="P13" s="22">
        <f>IF(Demanda!L14=0,"",O13/(Demanda!L14/DiasVenta))</f>
        <v>-3.4873041599135601</v>
      </c>
      <c r="Q13" s="7">
        <f>Q12+SUMIFS(CgCajas,CgSemana,A13,CgCuenta,1,CgOrigen,"PY")-ROUND(Demanda!M13,0)</f>
        <v>-6727</v>
      </c>
      <c r="R13" s="22">
        <f>IF(Demanda!M14=0,"",Q13/(Demanda!M14/DiasVenta))</f>
        <v>-7.1869658119658117</v>
      </c>
      <c r="S13" s="7">
        <f>S12+SUMIFS(CgCajas,CgSemana,A13,CgCuenta,1,CgOrigen,"BO")-ROUND(Demanda!N13,0)</f>
        <v>-2878</v>
      </c>
      <c r="T13" s="22">
        <f>IF(Demanda!N14=0,"",S13/(Demanda!N14/DiasVenta))</f>
        <v>-13.511737089201878</v>
      </c>
      <c r="U13" t="str">
        <f t="shared" si="9"/>
        <v>Bolivia</v>
      </c>
    </row>
    <row r="14" spans="1:21">
      <c r="A14" s="5">
        <f>Demanda!A14</f>
        <v>46342</v>
      </c>
      <c r="B14" s="5">
        <f t="shared" si="0"/>
        <v>46347</v>
      </c>
      <c r="C14" s="7">
        <f t="shared" si="10"/>
        <v>-16060</v>
      </c>
      <c r="D14" s="7">
        <f t="shared" si="1"/>
        <v>8</v>
      </c>
      <c r="E14" s="7">
        <f t="shared" si="2"/>
        <v>8064</v>
      </c>
      <c r="F14" s="7">
        <f>ROUND(Demanda!H14,0)</f>
        <v>18000</v>
      </c>
      <c r="G14" s="7">
        <f t="shared" si="3"/>
        <v>-25996</v>
      </c>
      <c r="H14" s="7">
        <f ca="1">SUM($K$6:K13)*CajasProm</f>
        <v>42000</v>
      </c>
      <c r="I14" s="12">
        <f t="shared" ca="1" si="4"/>
        <v>16004</v>
      </c>
      <c r="J14" s="21">
        <f t="shared" si="5"/>
        <v>46343</v>
      </c>
      <c r="K14" s="3">
        <f t="shared" ca="1" si="6"/>
        <v>9</v>
      </c>
      <c r="L14" s="7">
        <f t="shared" ca="1" si="7"/>
        <v>25004</v>
      </c>
      <c r="M14" s="22">
        <f ca="1">IF(Demanda!H15=0,"",L14/(Demanda!H15/DiasVenta))</f>
        <v>8.3346666666666671</v>
      </c>
      <c r="N14" t="str">
        <f t="shared" ca="1" si="8"/>
        <v>CARGAR 9</v>
      </c>
      <c r="O14" s="7">
        <f>O13+SUMIFS(CgCajas,CgSemana,A14,CgCuenta,1,CgOrigen,"BR")-ROUND(Demanda!L14,0)</f>
        <v>-9497</v>
      </c>
      <c r="P14" s="22">
        <f>IF(Demanda!L15=0,"",O14/(Demanda!L15/DiasVenta))</f>
        <v>-5.1307401404646136</v>
      </c>
      <c r="Q14" s="7">
        <f>Q13+SUMIFS(CgCajas,CgSemana,A14,CgCuenta,1,CgOrigen,"PY")-ROUND(Demanda!M14,0)</f>
        <v>-12343</v>
      </c>
      <c r="R14" s="22">
        <f>IF(Demanda!M15=0,"",Q14/(Demanda!M15/DiasVenta))</f>
        <v>-13.186965811965813</v>
      </c>
      <c r="S14" s="7">
        <f>S13+SUMIFS(CgCajas,CgSemana,A14,CgCuenta,1,CgOrigen,"BO")-ROUND(Demanda!N14,0)</f>
        <v>-4156</v>
      </c>
      <c r="T14" s="22">
        <f>IF(Demanda!N15=0,"",S14/(Demanda!N15/DiasVenta))</f>
        <v>-19.511737089201876</v>
      </c>
      <c r="U14" t="str">
        <f t="shared" si="9"/>
        <v>Bolivia</v>
      </c>
    </row>
    <row r="15" spans="1:21">
      <c r="A15" s="5">
        <f>Demanda!A15</f>
        <v>46349</v>
      </c>
      <c r="B15" s="5">
        <f t="shared" si="0"/>
        <v>46354</v>
      </c>
      <c r="C15" s="7">
        <f t="shared" si="10"/>
        <v>-25996</v>
      </c>
      <c r="D15" s="7">
        <f t="shared" si="1"/>
        <v>8</v>
      </c>
      <c r="E15" s="7">
        <f t="shared" si="2"/>
        <v>8064</v>
      </c>
      <c r="F15" s="7">
        <f>ROUND(Demanda!H15,0)</f>
        <v>18000</v>
      </c>
      <c r="G15" s="7">
        <f t="shared" si="3"/>
        <v>-35932</v>
      </c>
      <c r="H15" s="7">
        <f ca="1">SUM($K$6:K14)*CajasProm</f>
        <v>51000</v>
      </c>
      <c r="I15" s="12">
        <f t="shared" ca="1" si="4"/>
        <v>15068</v>
      </c>
      <c r="J15" s="21">
        <f t="shared" si="5"/>
        <v>46350</v>
      </c>
      <c r="K15" s="3">
        <f t="shared" ca="1" si="6"/>
        <v>10</v>
      </c>
      <c r="L15" s="7">
        <f t="shared" ca="1" si="7"/>
        <v>25068</v>
      </c>
      <c r="M15" s="22">
        <f ca="1">IF(Demanda!H16=0,"",L15/(Demanda!H16/DiasVenta))</f>
        <v>8.3559999999999999</v>
      </c>
      <c r="N15" t="str">
        <f t="shared" ca="1" si="8"/>
        <v>CARGAR 10</v>
      </c>
      <c r="O15" s="7">
        <f>O14+SUMIFS(CgCajas,CgSemana,A15,CgCuenta,1,CgOrigen,"BR")-ROUND(Demanda!L15,0)</f>
        <v>-12539</v>
      </c>
      <c r="P15" s="22">
        <f>IF(Demanda!L16=0,"",O15/(Demanda!L16/DiasVenta))</f>
        <v>-6.7741761210156675</v>
      </c>
      <c r="Q15" s="7">
        <f>Q14+SUMIFS(CgCajas,CgSemana,A15,CgCuenta,1,CgOrigen,"PY")-ROUND(Demanda!M15,0)</f>
        <v>-17959</v>
      </c>
      <c r="R15" s="22">
        <f>IF(Demanda!M16=0,"",Q15/(Demanda!M16/DiasVenta))</f>
        <v>-19.186965811965813</v>
      </c>
      <c r="S15" s="7">
        <f>S14+SUMIFS(CgCajas,CgSemana,A15,CgCuenta,1,CgOrigen,"BO")-ROUND(Demanda!N15,0)</f>
        <v>-5434</v>
      </c>
      <c r="T15" s="22">
        <f>IF(Demanda!N16=0,"",S15/(Demanda!N16/DiasVenta))</f>
        <v>-25.511737089201876</v>
      </c>
      <c r="U15" t="str">
        <f t="shared" si="9"/>
        <v>Bolivia</v>
      </c>
    </row>
    <row r="16" spans="1:21">
      <c r="A16" s="5">
        <f>Demanda!A16</f>
        <v>46356</v>
      </c>
      <c r="B16" s="5">
        <f t="shared" si="0"/>
        <v>46361</v>
      </c>
      <c r="C16" s="7">
        <f t="shared" si="10"/>
        <v>-35932</v>
      </c>
      <c r="D16" s="7">
        <f t="shared" si="1"/>
        <v>8</v>
      </c>
      <c r="E16" s="7">
        <f t="shared" si="2"/>
        <v>8064</v>
      </c>
      <c r="F16" s="7">
        <f>ROUND(Demanda!H16,0)</f>
        <v>18000</v>
      </c>
      <c r="G16" s="7">
        <f t="shared" si="3"/>
        <v>-45868</v>
      </c>
      <c r="H16" s="7">
        <f ca="1">SUM($K$6:K15)*CajasProm</f>
        <v>61000</v>
      </c>
      <c r="I16" s="12">
        <f t="shared" ca="1" si="4"/>
        <v>15132</v>
      </c>
      <c r="J16" s="21">
        <f t="shared" si="5"/>
        <v>46357</v>
      </c>
      <c r="K16" s="3">
        <f t="shared" ca="1" si="6"/>
        <v>10</v>
      </c>
      <c r="L16" s="7">
        <f t="shared" ca="1" si="7"/>
        <v>25132</v>
      </c>
      <c r="M16" s="22">
        <f ca="1">IF(Demanda!H17=0,"",L16/(Demanda!H17/DiasVenta))</f>
        <v>8.3773333333333326</v>
      </c>
      <c r="N16" t="str">
        <f t="shared" ca="1" si="8"/>
        <v>CARGAR 10</v>
      </c>
      <c r="O16" s="7">
        <f>O15+SUMIFS(CgCajas,CgSemana,A16,CgCuenta,1,CgOrigen,"BR")-ROUND(Demanda!L16,0)</f>
        <v>-15581</v>
      </c>
      <c r="P16" s="22">
        <f>IF(Demanda!L17=0,"",O16/(Demanda!L17/DiasVenta))</f>
        <v>-8.4176121015667213</v>
      </c>
      <c r="Q16" s="7">
        <f>Q15+SUMIFS(CgCajas,CgSemana,A16,CgCuenta,1,CgOrigen,"PY")-ROUND(Demanda!M16,0)</f>
        <v>-23575</v>
      </c>
      <c r="R16" s="22">
        <f>IF(Demanda!M17=0,"",Q16/(Demanda!M17/DiasVenta))</f>
        <v>-25.186965811965813</v>
      </c>
      <c r="S16" s="7">
        <f>S15+SUMIFS(CgCajas,CgSemana,A16,CgCuenta,1,CgOrigen,"BO")-ROUND(Demanda!N16,0)</f>
        <v>-6712</v>
      </c>
      <c r="T16" s="22">
        <f>IF(Demanda!N17=0,"",S16/(Demanda!N17/DiasVenta))</f>
        <v>-31.511737089201876</v>
      </c>
      <c r="U16" t="str">
        <f t="shared" si="9"/>
        <v>Bolivia</v>
      </c>
    </row>
    <row r="17" spans="1:21">
      <c r="A17" s="5">
        <f>Demanda!A17</f>
        <v>46363</v>
      </c>
      <c r="B17" s="5">
        <f t="shared" si="0"/>
        <v>46368</v>
      </c>
      <c r="C17" s="7">
        <f t="shared" si="10"/>
        <v>-45868</v>
      </c>
      <c r="D17" s="7">
        <f t="shared" si="1"/>
        <v>8</v>
      </c>
      <c r="E17" s="7">
        <f t="shared" si="2"/>
        <v>8064</v>
      </c>
      <c r="F17" s="7">
        <f>ROUND(Demanda!H17,0)</f>
        <v>18000</v>
      </c>
      <c r="G17" s="7">
        <f t="shared" si="3"/>
        <v>-55804</v>
      </c>
      <c r="H17" s="7">
        <f ca="1">SUM($K$6:K16)*CajasProm</f>
        <v>71000</v>
      </c>
      <c r="I17" s="12">
        <f t="shared" ca="1" si="4"/>
        <v>15196</v>
      </c>
      <c r="J17" s="21">
        <f t="shared" si="5"/>
        <v>46364</v>
      </c>
      <c r="K17" s="3">
        <f t="shared" ca="1" si="6"/>
        <v>10</v>
      </c>
      <c r="L17" s="7">
        <f t="shared" ca="1" si="7"/>
        <v>25196</v>
      </c>
      <c r="M17" s="22">
        <f ca="1">IF(Demanda!H18=0,"",L17/(Demanda!H18/DiasVenta))</f>
        <v>8.3986666666666672</v>
      </c>
      <c r="N17" t="str">
        <f t="shared" ca="1" si="8"/>
        <v>CARGAR 10</v>
      </c>
      <c r="O17" s="7">
        <f>O16+SUMIFS(CgCajas,CgSemana,A17,CgCuenta,1,CgOrigen,"BR")-ROUND(Demanda!L17,0)</f>
        <v>-18623</v>
      </c>
      <c r="P17" s="22">
        <f>IF(Demanda!L18=0,"",O17/(Demanda!L18/DiasVenta))</f>
        <v>-10.061048082117773</v>
      </c>
      <c r="Q17" s="7">
        <f>Q16+SUMIFS(CgCajas,CgSemana,A17,CgCuenta,1,CgOrigen,"PY")-ROUND(Demanda!M17,0)</f>
        <v>-29191</v>
      </c>
      <c r="R17" s="22">
        <f>IF(Demanda!M18=0,"",Q17/(Demanda!M18/DiasVenta))</f>
        <v>-31.186965811965813</v>
      </c>
      <c r="S17" s="7">
        <f>S16+SUMIFS(CgCajas,CgSemana,A17,CgCuenta,1,CgOrigen,"BO")-ROUND(Demanda!N17,0)</f>
        <v>-7990</v>
      </c>
      <c r="T17" s="22">
        <f>IF(Demanda!N18=0,"",S17/(Demanda!N18/DiasVenta))</f>
        <v>-37.51173708920188</v>
      </c>
      <c r="U17" t="str">
        <f t="shared" si="9"/>
        <v>Bolivia</v>
      </c>
    </row>
    <row r="18" spans="1:21">
      <c r="A18" s="5">
        <f>Demanda!A18</f>
        <v>46370</v>
      </c>
      <c r="B18" s="5">
        <f t="shared" si="0"/>
        <v>46375</v>
      </c>
      <c r="C18" s="7">
        <f t="shared" si="10"/>
        <v>-55804</v>
      </c>
      <c r="D18" s="7">
        <f t="shared" si="1"/>
        <v>8</v>
      </c>
      <c r="E18" s="7">
        <f t="shared" si="2"/>
        <v>8064</v>
      </c>
      <c r="F18" s="7">
        <f>ROUND(Demanda!H18,0)</f>
        <v>18000</v>
      </c>
      <c r="G18" s="7">
        <f t="shared" si="3"/>
        <v>-65740</v>
      </c>
      <c r="H18" s="7">
        <f ca="1">SUM($K$6:K17)*CajasProm</f>
        <v>81000</v>
      </c>
      <c r="I18" s="12">
        <f t="shared" ca="1" si="4"/>
        <v>15260</v>
      </c>
      <c r="J18" s="21">
        <f t="shared" si="5"/>
        <v>46371</v>
      </c>
      <c r="K18" s="3">
        <f t="shared" ca="1" si="6"/>
        <v>10</v>
      </c>
      <c r="L18" s="7">
        <f t="shared" ca="1" si="7"/>
        <v>25260</v>
      </c>
      <c r="M18" s="22">
        <f ca="1">IF(Demanda!H18=0,"",L18/(Demanda!H18/DiasVenta))</f>
        <v>8.42</v>
      </c>
      <c r="N18" t="str">
        <f t="shared" ca="1" si="8"/>
        <v>CARGAR 10</v>
      </c>
      <c r="O18" s="7">
        <f>O17+SUMIFS(CgCajas,CgSemana,A18,CgCuenta,1,CgOrigen,"BR")-ROUND(Demanda!L18,0)</f>
        <v>-21665</v>
      </c>
      <c r="P18" s="22">
        <f>IF(Demanda!L18=0,"",O18/(Demanda!L18/DiasVenta))</f>
        <v>-11.704484062668827</v>
      </c>
      <c r="Q18" s="7">
        <f>Q17+SUMIFS(CgCajas,CgSemana,A18,CgCuenta,1,CgOrigen,"PY")-ROUND(Demanda!M18,0)</f>
        <v>-34807</v>
      </c>
      <c r="R18" s="22">
        <f>IF(Demanda!M18=0,"",Q18/(Demanda!M18/DiasVenta))</f>
        <v>-37.186965811965813</v>
      </c>
      <c r="S18" s="7">
        <f>S17+SUMIFS(CgCajas,CgSemana,A18,CgCuenta,1,CgOrigen,"BO")-ROUND(Demanda!N18,0)</f>
        <v>-9268</v>
      </c>
      <c r="T18" s="22">
        <f>IF(Demanda!N18=0,"",S18/(Demanda!N18/DiasVenta))</f>
        <v>-43.51173708920188</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261</v>
      </c>
    </row>
    <row r="2" spans="1:9">
      <c r="A2" s="2" t="s">
        <v>262</v>
      </c>
    </row>
    <row r="5" spans="1:9" ht="45">
      <c r="A5" s="11" t="s">
        <v>263</v>
      </c>
      <c r="B5" s="11" t="s">
        <v>264</v>
      </c>
      <c r="C5" s="11" t="s">
        <v>265</v>
      </c>
      <c r="D5" s="11" t="s">
        <v>266</v>
      </c>
      <c r="E5" s="11" t="s">
        <v>267</v>
      </c>
      <c r="F5" s="11" t="s">
        <v>268</v>
      </c>
      <c r="G5" s="11" t="s">
        <v>269</v>
      </c>
      <c r="H5" s="11" t="s">
        <v>178</v>
      </c>
      <c r="I5" s="11" t="s">
        <v>270</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23766</v>
      </c>
      <c r="C8" s="3">
        <f ca="1">IF(A8="","",Proyeccion!K8)</f>
        <v>2</v>
      </c>
      <c r="D8" t="str">
        <f ca="1">IF(A8="","","BR "&amp;TEXT(Proyeccion!B8-LagBR-AtrasoDias,"ddd dd/mm")&amp;" · PY "&amp;TEXT(Proyeccion!B8-LagPY-AtrasoDias,"ddd dd/mm")&amp;" · BO "&amp;TEXT(Proyeccion!B8-LagBO-AtrasoDias,"ddd dd/mm"))</f>
        <v>BR mié 07/10 · PY mar 06/10 · BO dom 04/10</v>
      </c>
      <c r="E8" t="str">
        <f ca="1">IF(A8="","",IF(C8&gt;0,Proyeccion!U8,"-"))</f>
        <v>Bolivia</v>
      </c>
      <c r="F8" t="str">
        <f ca="1">IF(A8="","","PY mie "&amp;TEXT(Proyeccion!A8-5,"dd/mm")&amp;" / BR jue "&amp;TEXT(Proyeccion!A8-4,"dd/mm"))</f>
        <v>PY mie 30/09 / BR jue 01/10</v>
      </c>
      <c r="G8" s="22">
        <f ca="1">IF(A8="","",Proyeccion!M8)</f>
        <v>8.5886666666666667</v>
      </c>
      <c r="H8" t="str">
        <f ca="1">IF(A8="","",Proyeccion!N8)</f>
        <v>CARGAR 2</v>
      </c>
      <c r="I8" t="str">
        <f ca="1">IF(A8="","","Sab "&amp;TEXT(A8,"dd/mm")&amp;": "&amp;FIXED(B8,0)&amp;" cajas - descargan "&amp;Proyeccion!D8&amp;" - vende "&amp;FIXED(Proyeccion!F8,0)&amp;IF(C8&gt;0," -&gt; cargar "&amp;C8&amp;" mas hasta el "&amp;TEXT(Proyeccion!J8,"dd/mm")&amp;" ("&amp;E8&amp;"; BR hasta el "&amp;TEXT(Proyeccion!B8-LagBR-AtrasoDias,"dd/mm")&amp;")"," -&gt; ok"))</f>
        <v>Sab 10/10: 23.766 cajas - descargan 19 - vende 18.000 -&gt; cargar 2 mas hasta el 06/10 (Bolivia; BR hasta el 07/10)</v>
      </c>
    </row>
    <row r="9" spans="1:9">
      <c r="A9" s="23">
        <f ca="1">IF(Proyeccion!J9&lt;FechaHoy,"",Proyeccion!B9)</f>
        <v>46312</v>
      </c>
      <c r="B9" s="7">
        <f ca="1">IF(A9="","",Proyeccion!I9)</f>
        <v>18684</v>
      </c>
      <c r="C9" s="3">
        <f ca="1">IF(A9="","",Proyeccion!K9)</f>
        <v>7</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2">
        <f ca="1">IF(A9="","",Proyeccion!M9)</f>
        <v>8.5613333333333337</v>
      </c>
      <c r="H9" t="str">
        <f ca="1">IF(A9="","",Proyeccion!N9)</f>
        <v>CARGAR 7</v>
      </c>
      <c r="I9" t="str">
        <f ca="1">IF(A9="","","Sab "&amp;TEXT(A9,"dd/mm")&amp;": "&amp;FIXED(B9,0)&amp;" cajas - descargan "&amp;Proyeccion!D9&amp;" - vende "&amp;FIXED(Proyeccion!F9,0)&amp;IF(C9&gt;0," -&gt; cargar "&amp;C9&amp;" mas hasta el "&amp;TEXT(Proyeccion!J9,"dd/mm")&amp;" ("&amp;E9&amp;"; BR hasta el "&amp;TEXT(Proyeccion!B9-LagBR-AtrasoDias,"dd/mm")&amp;")"," -&gt; ok"))</f>
        <v>Sab 17/10: 18.684 cajas - descargan 11 - vende 18.000 -&gt; cargar 7 mas hasta el 13/10 (Bolivia; BR hasta el 14/10)</v>
      </c>
    </row>
    <row r="10" spans="1:9">
      <c r="A10" s="23">
        <f ca="1">IF(Proyeccion!J10&lt;FechaHoy,"",Proyeccion!B10)</f>
        <v>46319</v>
      </c>
      <c r="B10" s="7">
        <f ca="1">IF(A10="","",Proyeccion!I10)</f>
        <v>21698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2">
        <f ca="1">IF(A10="","",Proyeccion!M10)</f>
        <v>8.5660000000000007</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21.698 cajas - descargan 14 - vende 18.000 -&gt; cargar 4 mas hasta el 20/10 (Bolivia; BR hasta el 21/10)</v>
      </c>
    </row>
    <row r="11" spans="1:9">
      <c r="A11" s="23">
        <f ca="1">IF(Proyeccion!J11&lt;FechaHoy,"",Proyeccion!B11)</f>
        <v>46326</v>
      </c>
      <c r="B11" s="7">
        <f ca="1">IF(A11="","",Proyeccion!I11)</f>
        <v>16812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2">
        <f ca="1">IF(A11="","",Proyeccion!M11)</f>
        <v>8.6039999999999992</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16.812 cajas - descargan 9 - vende 18.000 -&gt; cargar 9 mas hasta el 27/10 (Bolivia; BR hasta el 28/10)</v>
      </c>
    </row>
    <row r="12" spans="1:9">
      <c r="A12" s="23">
        <f ca="1">IF(Proyeccion!J12&lt;FechaHoy,"",Proyeccion!B12)</f>
        <v>46333</v>
      </c>
      <c r="B12" s="7">
        <f ca="1">IF(A12="","",Proyeccion!I12)</f>
        <v>15876</v>
      </c>
      <c r="C12" s="3">
        <f ca="1">IF(A12="","",Proyeccion!K12)</f>
        <v>10</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8.6253333333333337</v>
      </c>
      <c r="H12" t="str">
        <f ca="1">IF(A12="","",Proyeccion!N12)</f>
        <v>CARGAR 10</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15.876 cajas - descargan 8 - vende 18.000 -&gt; cargar 10 mas hasta el 03/11 (Bolivia; BR hasta el 04/11)</v>
      </c>
    </row>
    <row r="13" spans="1:9">
      <c r="A13" s="23">
        <f ca="1">IF(Proyeccion!J13&lt;FechaHoy,"",Proyeccion!B13)</f>
        <v>46340</v>
      </c>
      <c r="B13" s="7">
        <f ca="1">IF(A13="","",Proyeccion!I13)</f>
        <v>15940</v>
      </c>
      <c r="C13" s="3">
        <f ca="1">IF(A13="","",Proyeccion!K13)</f>
        <v>10</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8.6466666666666665</v>
      </c>
      <c r="H13" t="str">
        <f ca="1">IF(A13="","",Proyeccion!N13)</f>
        <v>CARGAR 10</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15.940 cajas - descargan 8 - vende 18.000 -&gt; cargar 10 mas hasta el 10/11 (Bolivia; BR hasta el 11/11)</v>
      </c>
    </row>
    <row r="14" spans="1:9">
      <c r="A14" s="23">
        <f ca="1">IF(Proyeccion!J14&lt;FechaHoy,"",Proyeccion!B14)</f>
        <v>46347</v>
      </c>
      <c r="B14" s="7">
        <f ca="1">IF(A14="","",Proyeccion!I14)</f>
        <v>16004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8.3346666666666671</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16.004 cajas - descargan 8 - vende 18.000 -&gt; cargar 9 mas hasta el 17/11 (Bolivia; BR hasta el 18/11)</v>
      </c>
    </row>
    <row r="15" spans="1:9">
      <c r="A15" s="23">
        <f ca="1">IF(Proyeccion!J15&lt;FechaHoy,"",Proyeccion!B15)</f>
        <v>46354</v>
      </c>
      <c r="B15" s="7">
        <f ca="1">IF(A15="","",Proyeccion!I15)</f>
        <v>15068</v>
      </c>
      <c r="C15" s="3">
        <f ca="1">IF(A15="","",Proyeccion!K15)</f>
        <v>10</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8.3559999999999999</v>
      </c>
      <c r="H15" t="str">
        <f ca="1">IF(A15="","",Proyeccion!N15)</f>
        <v>CARGAR 10</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15.068 cajas - descargan 8 - vende 18.000 -&gt; cargar 10 mas hasta el 24/11 (Bolivia; BR hasta el 25/11)</v>
      </c>
    </row>
    <row r="16" spans="1:9">
      <c r="A16" s="23">
        <f ca="1">IF(Proyeccion!J16&lt;FechaHoy,"",Proyeccion!B16)</f>
        <v>46361</v>
      </c>
      <c r="B16" s="7">
        <f ca="1">IF(A16="","",Proyeccion!I16)</f>
        <v>15132</v>
      </c>
      <c r="C16" s="3">
        <f ca="1">IF(A16="","",Proyeccion!K16)</f>
        <v>10</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8.3773333333333326</v>
      </c>
      <c r="H16" t="str">
        <f ca="1">IF(A16="","",Proyeccion!N16)</f>
        <v>CARGAR 10</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15.132 cajas - descargan 8 - vende 18.000 -&gt; cargar 10 mas hasta el 01/12 (Bolivia; BR hasta el 02/12)</v>
      </c>
    </row>
    <row r="17" spans="1:12">
      <c r="A17" s="23">
        <f ca="1">IF(Proyeccion!J17&lt;FechaHoy,"",Proyeccion!B17)</f>
        <v>46368</v>
      </c>
      <c r="B17" s="7">
        <f ca="1">IF(A17="","",Proyeccion!I17)</f>
        <v>15196</v>
      </c>
      <c r="C17" s="3">
        <f ca="1">IF(A17="","",Proyeccion!K17)</f>
        <v>10</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8.3986666666666672</v>
      </c>
      <c r="H17" t="str">
        <f ca="1">IF(A17="","",Proyeccion!N17)</f>
        <v>CARGAR 10</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15.196 cajas - descargan 8 - vende 18.000 -&gt; cargar 10 mas hasta el 08/12 (Bolivia; BR hasta el 09/12)</v>
      </c>
    </row>
    <row r="18" spans="1:12">
      <c r="A18" s="23">
        <f ca="1">IF(Proyeccion!J18&lt;FechaHoy,"",Proyeccion!B18)</f>
        <v>46375</v>
      </c>
      <c r="B18" s="7">
        <f ca="1">IF(A18="","",Proyeccion!I18)</f>
        <v>15260</v>
      </c>
      <c r="C18" s="3">
        <f ca="1">IF(A18="","",Proyeccion!K18)</f>
        <v>10</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8.42</v>
      </c>
      <c r="H18" t="str">
        <f ca="1">IF(A18="","",Proyeccion!N18)</f>
        <v>CARGAR 10</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15.260 cajas - descargan 8 - vende 18.000 -&gt; cargar 10 mas hasta el 15/12 (Bolivia; BR hasta el 16/12)</v>
      </c>
    </row>
    <row r="20" spans="1:12" ht="33.950000000000003" customHeight="1">
      <c r="A20" s="44" t="s">
        <v>271</v>
      </c>
      <c r="B20" s="44"/>
      <c r="C20" s="44"/>
      <c r="D20" s="44"/>
      <c r="E20" s="44"/>
      <c r="F20" s="44"/>
      <c r="G20" s="44"/>
      <c r="H20" s="44"/>
      <c r="I20" s="44"/>
      <c r="J20" s="44"/>
      <c r="K20" s="44"/>
      <c r="L20" s="44"/>
    </row>
    <row r="21" spans="1:12" ht="33.950000000000003" customHeight="1">
      <c r="A21" s="44" t="s">
        <v>272</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543</v>
      </c>
    </row>
    <row r="2" spans="1:5">
      <c r="A2" s="2" t="s">
        <v>544</v>
      </c>
    </row>
    <row r="4" spans="1:5">
      <c r="A4" s="11" t="str">
        <f ca="1">"ESTA SEMANA (sabado "&amp;TEXT(INDEX(PrSab,MATCH((FechaHoy-WEEKDAY(FechaHoy,2)+1+0),PrSemana,0)),"dd/mm")&amp;")"</f>
        <v>ESTA SEMANA (sabado 03/10)</v>
      </c>
      <c r="B4" s="11"/>
      <c r="C4" s="11"/>
      <c r="D4" s="11"/>
      <c r="E4" s="11"/>
    </row>
    <row r="5" spans="1:5">
      <c r="A5" s="38" t="s">
        <v>173</v>
      </c>
      <c r="B5" s="38" t="s">
        <v>545</v>
      </c>
      <c r="C5" s="38" t="s">
        <v>253</v>
      </c>
      <c r="D5" s="38" t="s">
        <v>178</v>
      </c>
      <c r="E5" s="38" t="s">
        <v>546</v>
      </c>
    </row>
    <row r="6" spans="1:5">
      <c r="A6" s="3" t="s">
        <v>547</v>
      </c>
      <c r="B6" s="7">
        <f ca="1">IFERROR(INDEX(PrBR,MATCH((FechaHoy-WEEKDAY(FechaHoy,2)+1+0),PrSemana,0)),"")</f>
        <v>8989</v>
      </c>
      <c r="C6" s="22">
        <f ca="1">IFERROR(INDEX(PrBRd,MATCH((FechaHoy-WEEKDAY(FechaHoy,2)+1+0),PrSemana,0)),"")</f>
        <v>4.8562938951917882</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548</v>
      </c>
      <c r="B7" s="7">
        <f ca="1">IFERROR(INDEX(PrPY,MATCH((FechaHoy-WEEKDAY(FechaHoy,2)+1+0),PrSemana,0)),"")</f>
        <v>12269</v>
      </c>
      <c r="C7" s="22">
        <f ca="1">IFERROR(INDEX(PrPYd,MATCH((FechaHoy-WEEKDAY(FechaHoy,2)+1+0),PrSemana,0)),"")</f>
        <v>13.107905982905983</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7.699530516431925</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549</v>
      </c>
      <c r="B9" s="40">
        <f ca="1">IFERROR(INDEX(PrProy,MATCH((FechaHoy-WEEKDAY(FechaHoy,2)+1+0),PrSemana,0)),"")</f>
        <v>22898</v>
      </c>
      <c r="C9" s="41">
        <f ca="1">IFERROR(INDEX(PrCobertura,MATCH((FechaHoy-WEEKDAY(FechaHoy,2)+1+0),PrSemana,0)),"")</f>
        <v>7.6326666666666663</v>
      </c>
      <c r="D9" s="42" t="str">
        <f ca="1">IFERROR(INDEX(PrEstado,MATCH((FechaHoy-WEEKDAY(FechaHoy,2)+1+0),PrSemana,0)),"")</f>
        <v>BAJO MINIMO (limite pasado)</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25.000</v>
      </c>
    </row>
    <row r="11" spans="1:5">
      <c r="A11" s="11" t="str">
        <f ca="1">"SEMANA PROXIMA (sabado "&amp;TEXT(INDEX(PrSab,MATCH((FechaHoy-WEEKDAY(FechaHoy,2)+1+7),PrSemana,0)),"dd/mm")&amp;")"</f>
        <v>SEMANA PROXIMA (sabado 10/10)</v>
      </c>
      <c r="B11" s="11"/>
      <c r="C11" s="11"/>
      <c r="D11" s="11"/>
      <c r="E11" s="11"/>
    </row>
    <row r="12" spans="1:5">
      <c r="A12" s="38" t="s">
        <v>173</v>
      </c>
      <c r="B12" s="38" t="s">
        <v>545</v>
      </c>
      <c r="C12" s="38" t="s">
        <v>253</v>
      </c>
      <c r="D12" s="38" t="s">
        <v>178</v>
      </c>
      <c r="E12" s="38" t="s">
        <v>546</v>
      </c>
    </row>
    <row r="13" spans="1:5">
      <c r="A13" s="3" t="s">
        <v>547</v>
      </c>
      <c r="B13" s="7">
        <f ca="1">IFERROR(INDEX(PrBR,MATCH((FechaHoy-WEEKDAY(FechaHoy,2)+1+7),PrSemana,0)),"")</f>
        <v>11851</v>
      </c>
      <c r="C13" s="22">
        <f ca="1">IFERROR(INDEX(PrBRd,MATCH((FechaHoy-WEEKDAY(FechaHoy,2)+1+7),PrSemana,0)),"")</f>
        <v>6.4024851431658565</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548</v>
      </c>
      <c r="B14" s="7">
        <f ca="1">IFERROR(INDEX(PrPY,MATCH((FechaHoy-WEEKDAY(FechaHoy,2)+1+7),PrSemana,0)),"")</f>
        <v>11553</v>
      </c>
      <c r="C14" s="22">
        <f ca="1">IFERROR(INDEX(PrPYd,MATCH((FechaHoy-WEEKDAY(FechaHoy,2)+1+7),PrSemana,0)),"")</f>
        <v>12.342948717948717</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362</v>
      </c>
      <c r="C15" s="22">
        <f ca="1">IFERROR(INDEX(PrBOd,MATCH((FechaHoy-WEEKDAY(FechaHoy,2)+1+7),PrSemana,0)),"")</f>
        <v>1.699530516431925</v>
      </c>
      <c r="D15" t="str">
        <f ca="1">IF(B15="","",IF(B15&lt;0,"FALTA",IF(C15&lt;2,"CRITICO",IF(C15&lt;CoberturaObjetivo,"JUSTO",IF(C15&gt;VidaVerde,"EXCESO","OK")))))</f>
        <v>CRITICO</v>
      </c>
      <c r="E15" t="str">
        <f ca="1">IF(D15="FALTA","se queda sin fruta: cargar ya",IF(D15="CRITICO","cargar esta semana, sin falta",IF(D15="JUSTO","priorizar este origen en los pedidos",IF(D15="EXCESO","frenar cargas: riesgo de merma",""))))</f>
        <v>cargar esta semana, sin falta</v>
      </c>
    </row>
    <row r="16" spans="1:5">
      <c r="A16" s="39" t="s">
        <v>549</v>
      </c>
      <c r="B16" s="40">
        <f ca="1">IFERROR(INDEX(PrProy,MATCH((FechaHoy-WEEKDAY(FechaHoy,2)+1+7),PrSemana,0)),"")</f>
        <v>23766</v>
      </c>
      <c r="C16" s="41">
        <f ca="1">IFERROR(INDEX(PrCobertura,MATCH((FechaHoy-WEEKDAY(FechaHoy,2)+1+7),PrSemana,0)),"")</f>
        <v>8.5886666666666667</v>
      </c>
      <c r="D16" s="42" t="str">
        <f ca="1">IFERROR(INDEX(PrEstado,MATCH((FechaHoy-WEEKDAY(FechaHoy,2)+1+7),PrSemana,0)),"")</f>
        <v>CARGAR 2</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2 camion(es) mas hasta el mar 06/10 para cerrar en 25.000</v>
      </c>
    </row>
    <row r="18" spans="1:5">
      <c r="A18" s="11" t="str">
        <f ca="1">"EN DOS SEMANAS (sabado "&amp;TEXT(INDEX(PrSab,MATCH((FechaHoy-WEEKDAY(FechaHoy,2)+1+14),PrSemana,0)),"dd/mm")&amp;")"</f>
        <v>EN DOS SEMANAS (sabado 17/10)</v>
      </c>
      <c r="B18" s="11"/>
      <c r="C18" s="11"/>
      <c r="D18" s="11"/>
      <c r="E18" s="11"/>
    </row>
    <row r="19" spans="1:5">
      <c r="A19" s="38" t="s">
        <v>173</v>
      </c>
      <c r="B19" s="38" t="s">
        <v>545</v>
      </c>
      <c r="C19" s="38" t="s">
        <v>253</v>
      </c>
      <c r="D19" s="38" t="s">
        <v>178</v>
      </c>
      <c r="E19" s="38" t="s">
        <v>546</v>
      </c>
    </row>
    <row r="20" spans="1:5">
      <c r="A20" s="3" t="s">
        <v>547</v>
      </c>
      <c r="B20" s="7">
        <f ca="1">IFERROR(INDEX(PrBR,MATCH((FechaHoy-WEEKDAY(FechaHoy,2)+1+14),PrSemana,0)),"")</f>
        <v>5713</v>
      </c>
      <c r="C20" s="22">
        <f ca="1">IFERROR(INDEX(PrBRd,MATCH((FechaHoy-WEEKDAY(FechaHoy,2)+1+14),PrSemana,0)),"")</f>
        <v>3.0864397622906536</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548</v>
      </c>
      <c r="B21" s="7">
        <f ca="1">IFERROR(INDEX(PrPY,MATCH((FechaHoy-WEEKDAY(FechaHoy,2)+1+14),PrSemana,0)),"")</f>
        <v>10837</v>
      </c>
      <c r="C21" s="22">
        <f ca="1">IFERROR(INDEX(PrPYd,MATCH((FechaHoy-WEEKDAY(FechaHoy,2)+1+14),PrSemana,0)),"")</f>
        <v>11.577991452991453</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134</v>
      </c>
      <c r="C22" s="22">
        <f ca="1">IFERROR(INDEX(PrBOd,MATCH((FechaHoy-WEEKDAY(FechaHoy,2)+1+14),PrSemana,0)),"")</f>
        <v>0.62910798122065725</v>
      </c>
      <c r="D22" t="str">
        <f ca="1">IF(B22="","",IF(B22&lt;0,"FALTA",IF(C22&lt;2,"CRITICO",IF(C22&lt;CoberturaObjetivo,"JUSTO",IF(C22&gt;VidaVerde,"EXCESO","OK")))))</f>
        <v>CRITICO</v>
      </c>
      <c r="E22" t="str">
        <f ca="1">IF(D22="FALTA","se queda sin fruta: cargar ya",IF(D22="CRITICO","cargar esta semana, sin falta",IF(D22="JUSTO","priorizar este origen en los pedidos",IF(D22="EXCESO","frenar cargas: riesgo de merma",""))))</f>
        <v>cargar esta semana, sin falta</v>
      </c>
    </row>
    <row r="23" spans="1:5">
      <c r="A23" s="39" t="s">
        <v>549</v>
      </c>
      <c r="B23" s="40">
        <f ca="1">IFERROR(INDEX(PrProy,MATCH((FechaHoy-WEEKDAY(FechaHoy,2)+1+14),PrSemana,0)),"")</f>
        <v>18684</v>
      </c>
      <c r="C23" s="41">
        <f ca="1">IFERROR(INDEX(PrCobertura,MATCH((FechaHoy-WEEKDAY(FechaHoy,2)+1+14),PrSemana,0)),"")</f>
        <v>8.5613333333333337</v>
      </c>
      <c r="D23" s="42" t="str">
        <f ca="1">IFERROR(INDEX(PrEstado,MATCH((FechaHoy-WEEKDAY(FechaHoy,2)+1+14),PrSemana,0)),"")</f>
        <v>CARGAR 7</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7 camion(es) mas hasta el mar 13/10 para cerrar en 25.000</v>
      </c>
    </row>
    <row r="25" spans="1:5" ht="30">
      <c r="A25" s="11" t="s">
        <v>550</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4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0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15.830 (plan: 23.766).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273</v>
      </c>
    </row>
    <row r="2" spans="1:16">
      <c r="A2" s="2" t="s">
        <v>274</v>
      </c>
    </row>
    <row r="5" spans="1:16" ht="45">
      <c r="A5" s="11" t="s">
        <v>139</v>
      </c>
      <c r="B5" s="11" t="s">
        <v>160</v>
      </c>
      <c r="C5" s="11" t="s">
        <v>245</v>
      </c>
      <c r="D5" s="11" t="s">
        <v>275</v>
      </c>
      <c r="E5" s="11" t="s">
        <v>276</v>
      </c>
      <c r="F5" s="11" t="s">
        <v>277</v>
      </c>
      <c r="G5" s="11" t="s">
        <v>278</v>
      </c>
      <c r="H5" s="11" t="s">
        <v>279</v>
      </c>
      <c r="I5" s="11" t="s">
        <v>280</v>
      </c>
      <c r="J5" s="11" t="s">
        <v>281</v>
      </c>
      <c r="K5" s="11" t="s">
        <v>282</v>
      </c>
      <c r="L5" s="11" t="s">
        <v>283</v>
      </c>
      <c r="M5" s="11" t="s">
        <v>284</v>
      </c>
      <c r="N5" s="11" t="s">
        <v>285</v>
      </c>
      <c r="O5" s="11" t="s">
        <v>286</v>
      </c>
      <c r="P5" s="11" t="s">
        <v>287</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18868</v>
      </c>
      <c r="D8" s="7">
        <f>Proyeccion!F8</f>
        <v>18000</v>
      </c>
      <c r="E8" s="7">
        <f t="shared" ca="1" si="4"/>
        <v>27166</v>
      </c>
      <c r="F8">
        <f ca="1">IF(AND(E8&lt;MinimoSabado,Proyeccion!J8&gt;=FechaHoy),ROUNDUP((MinimoSabado-E8)/CajasProm,0),0)</f>
        <v>0</v>
      </c>
      <c r="G8" s="7">
        <f t="shared" ca="1" si="5"/>
        <v>23766</v>
      </c>
      <c r="H8">
        <f ca="1">IF(AND(G8&lt;MinimoSabado,Proyeccion!J8&gt;=FechaHoy),ROUNDUP((MinimoSabado-G8)/CajasProm,0),0)</f>
        <v>2</v>
      </c>
      <c r="I8" s="7">
        <f t="shared" ca="1" si="6"/>
        <v>20366</v>
      </c>
      <c r="J8">
        <f ca="1">IF(AND(I8&lt;MinimoSabado,Proyeccion!J8&gt;=FechaHoy),ROUNDUP((MinimoSabado-I8)/CajasProm,0),0)</f>
        <v>5</v>
      </c>
      <c r="K8" s="7">
        <f t="shared" si="0"/>
        <v>15944</v>
      </c>
      <c r="L8" s="7">
        <f t="shared" ca="1" si="7"/>
        <v>15830</v>
      </c>
      <c r="M8">
        <f ca="1">IF(AND(L8&lt;MinimoSabado,Proyeccion!J8&gt;=FechaHoy),ROUNDUP((MinimoSabado-L8)/CajasProm,0),0)</f>
        <v>10</v>
      </c>
      <c r="N8" s="7">
        <f t="shared" ca="1" si="1"/>
        <v>20826</v>
      </c>
      <c r="O8" s="7">
        <f t="shared" ca="1" si="2"/>
        <v>22766</v>
      </c>
      <c r="P8" s="7">
        <f t="shared" ca="1" si="3"/>
        <v>23766</v>
      </c>
    </row>
    <row r="9" spans="1:16">
      <c r="A9" s="5">
        <f>Proyeccion!A9</f>
        <v>46307</v>
      </c>
      <c r="B9" s="5">
        <f>Proyeccion!B9</f>
        <v>46312</v>
      </c>
      <c r="C9" s="7">
        <f>Proyeccion!E9</f>
        <v>10918</v>
      </c>
      <c r="D9" s="7">
        <f>Proyeccion!F9</f>
        <v>18000</v>
      </c>
      <c r="E9" s="7">
        <f t="shared" ca="1" si="4"/>
        <v>21884</v>
      </c>
      <c r="F9">
        <f ca="1">IF(AND(E9&lt;MinimoSabado,Proyeccion!J9&gt;=FechaHoy),ROUNDUP((MinimoSabado-E9)/CajasProm,0),0)</f>
        <v>4</v>
      </c>
      <c r="G9" s="7">
        <f t="shared" ca="1" si="5"/>
        <v>18684</v>
      </c>
      <c r="H9">
        <f ca="1">IF(AND(G9&lt;MinimoSabado,Proyeccion!J9&gt;=FechaHoy),ROUNDUP((MinimoSabado-G9)/CajasProm,0),0)</f>
        <v>7</v>
      </c>
      <c r="I9" s="7">
        <f t="shared" ca="1" si="6"/>
        <v>16484</v>
      </c>
      <c r="J9">
        <f ca="1">IF(AND(I9&lt;MinimoSabado,Proyeccion!J9&gt;=FechaHoy),ROUNDUP((MinimoSabado-I9)/CajasProm,0),0)</f>
        <v>9</v>
      </c>
      <c r="K9" s="7">
        <f t="shared" si="0"/>
        <v>18854</v>
      </c>
      <c r="L9" s="7">
        <f t="shared" ca="1" si="7"/>
        <v>26684</v>
      </c>
      <c r="M9">
        <f ca="1">IF(AND(L9&lt;MinimoSabado,Proyeccion!J9&gt;=FechaHoy),ROUNDUP((MinimoSabado-L9)/CajasProm,0),0)</f>
        <v>0</v>
      </c>
      <c r="N9" s="7">
        <f t="shared" ca="1" si="1"/>
        <v>15744</v>
      </c>
      <c r="O9" s="7">
        <f t="shared" ca="1" si="2"/>
        <v>17684</v>
      </c>
      <c r="P9" s="7">
        <f t="shared" ca="1" si="3"/>
        <v>17634</v>
      </c>
    </row>
    <row r="10" spans="1:16">
      <c r="A10" s="5">
        <f>Proyeccion!A10</f>
        <v>46314</v>
      </c>
      <c r="B10" s="5">
        <f>Proyeccion!B10</f>
        <v>46319</v>
      </c>
      <c r="C10" s="7">
        <f>Proyeccion!E10</f>
        <v>14014</v>
      </c>
      <c r="D10" s="7">
        <f>Proyeccion!F10</f>
        <v>18000</v>
      </c>
      <c r="E10" s="7">
        <f t="shared" ca="1" si="4"/>
        <v>23698</v>
      </c>
      <c r="F10">
        <f ca="1">IF(AND(E10&lt;MinimoSabado,Proyeccion!J10&gt;=FechaHoy),ROUNDUP((MinimoSabado-E10)/CajasProm,0),0)</f>
        <v>2</v>
      </c>
      <c r="G10" s="7">
        <f t="shared" ca="1" si="5"/>
        <v>21698</v>
      </c>
      <c r="H10">
        <f ca="1">IF(AND(G10&lt;MinimoSabado,Proyeccion!J10&gt;=FechaHoy),ROUNDUP((MinimoSabado-G10)/CajasProm,0),0)</f>
        <v>4</v>
      </c>
      <c r="I10" s="7">
        <f t="shared" ca="1" si="6"/>
        <v>19698</v>
      </c>
      <c r="J10">
        <f ca="1">IF(AND(I10&lt;MinimoSabado,Proyeccion!J10&gt;=FechaHoy),ROUNDUP((MinimoSabado-I10)/CajasProm,0),0)</f>
        <v>6</v>
      </c>
      <c r="K10" s="7">
        <f t="shared" si="0"/>
        <v>14014</v>
      </c>
      <c r="L10" s="7">
        <f t="shared" ca="1" si="7"/>
        <v>22698</v>
      </c>
      <c r="M10">
        <f ca="1">IF(AND(L10&lt;MinimoSabado,Proyeccion!J10&gt;=FechaHoy),ROUNDUP((MinimoSabado-L10)/CajasProm,0),0)</f>
        <v>3</v>
      </c>
      <c r="N10" s="7">
        <f t="shared" ca="1" si="1"/>
        <v>18758</v>
      </c>
      <c r="O10" s="7">
        <f t="shared" ca="1" si="2"/>
        <v>20698</v>
      </c>
      <c r="P10" s="7">
        <f t="shared" ca="1" si="3"/>
        <v>20648</v>
      </c>
    </row>
    <row r="11" spans="1:16">
      <c r="A11" s="5">
        <f>Proyeccion!A11</f>
        <v>46321</v>
      </c>
      <c r="B11" s="5">
        <f>Proyeccion!B11</f>
        <v>46326</v>
      </c>
      <c r="C11" s="7">
        <f>Proyeccion!E11</f>
        <v>9114</v>
      </c>
      <c r="D11" s="7">
        <f>Proyeccion!F11</f>
        <v>18000</v>
      </c>
      <c r="E11" s="7">
        <f t="shared" ca="1" si="4"/>
        <v>18612</v>
      </c>
      <c r="F11">
        <f ca="1">IF(AND(E11&lt;MinimoSabado,Proyeccion!J11&gt;=FechaHoy),ROUNDUP((MinimoSabado-E11)/CajasProm,0),0)</f>
        <v>7</v>
      </c>
      <c r="G11" s="7">
        <f t="shared" ca="1" si="5"/>
        <v>16812</v>
      </c>
      <c r="H11">
        <f ca="1">IF(AND(G11&lt;MinimoSabado,Proyeccion!J11&gt;=FechaHoy),ROUNDUP((MinimoSabado-G11)/CajasProm,0),0)</f>
        <v>9</v>
      </c>
      <c r="I11" s="7">
        <f t="shared" ca="1" si="6"/>
        <v>15012</v>
      </c>
      <c r="J11">
        <f ca="1">IF(AND(I11&lt;MinimoSabado,Proyeccion!J11&gt;=FechaHoy),ROUNDUP((MinimoSabado-I11)/CajasProm,0),0)</f>
        <v>10</v>
      </c>
      <c r="K11" s="7">
        <f t="shared" si="0"/>
        <v>9114</v>
      </c>
      <c r="L11" s="7">
        <f t="shared" ca="1" si="7"/>
        <v>16812</v>
      </c>
      <c r="M11">
        <f ca="1">IF(AND(L11&lt;MinimoSabado,Proyeccion!J11&gt;=FechaHoy),ROUNDUP((MinimoSabado-L11)/CajasProm,0),0)</f>
        <v>9</v>
      </c>
      <c r="N11" s="7">
        <f t="shared" ca="1" si="1"/>
        <v>13872</v>
      </c>
      <c r="O11" s="7">
        <f t="shared" ca="1" si="2"/>
        <v>15812</v>
      </c>
      <c r="P11" s="7">
        <f t="shared" ca="1" si="3"/>
        <v>15762</v>
      </c>
    </row>
    <row r="12" spans="1:16">
      <c r="A12" s="5">
        <f>Proyeccion!A12</f>
        <v>46328</v>
      </c>
      <c r="B12" s="5">
        <f>Proyeccion!B12</f>
        <v>46333</v>
      </c>
      <c r="C12" s="7">
        <f>Proyeccion!E12</f>
        <v>8064</v>
      </c>
      <c r="D12" s="7">
        <f>Proyeccion!F12</f>
        <v>18000</v>
      </c>
      <c r="E12" s="7">
        <f t="shared" ca="1" si="4"/>
        <v>17476</v>
      </c>
      <c r="F12">
        <f ca="1">IF(AND(E12&lt;MinimoSabado,Proyeccion!J12&gt;=FechaHoy),ROUNDUP((MinimoSabado-E12)/CajasProm,0),0)</f>
        <v>8</v>
      </c>
      <c r="G12" s="7">
        <f t="shared" ca="1" si="5"/>
        <v>15876</v>
      </c>
      <c r="H12">
        <f ca="1">IF(AND(G12&lt;MinimoSabado,Proyeccion!J12&gt;=FechaHoy),ROUNDUP((MinimoSabado-G12)/CajasProm,0),0)</f>
        <v>10</v>
      </c>
      <c r="I12" s="7">
        <f t="shared" ca="1" si="6"/>
        <v>13276</v>
      </c>
      <c r="J12">
        <f ca="1">IF(AND(I12&lt;MinimoSabado,Proyeccion!J12&gt;=FechaHoy),ROUNDUP((MinimoSabado-I12)/CajasProm,0),0)</f>
        <v>12</v>
      </c>
      <c r="K12" s="7">
        <f t="shared" si="0"/>
        <v>8064</v>
      </c>
      <c r="L12" s="7">
        <f t="shared" ca="1" si="7"/>
        <v>15876</v>
      </c>
      <c r="M12">
        <f ca="1">IF(AND(L12&lt;MinimoSabado,Proyeccion!J12&gt;=FechaHoy),ROUNDUP((MinimoSabado-L12)/CajasProm,0),0)</f>
        <v>10</v>
      </c>
      <c r="N12" s="7">
        <f t="shared" ca="1" si="1"/>
        <v>12936</v>
      </c>
      <c r="O12" s="7">
        <f t="shared" ca="1" si="2"/>
        <v>14876</v>
      </c>
      <c r="P12" s="7">
        <f t="shared" ca="1" si="3"/>
        <v>14826</v>
      </c>
    </row>
    <row r="13" spans="1:16">
      <c r="A13" s="5">
        <f>Proyeccion!A13</f>
        <v>46335</v>
      </c>
      <c r="B13" s="5">
        <f>Proyeccion!B13</f>
        <v>46340</v>
      </c>
      <c r="C13" s="7">
        <f>Proyeccion!E13</f>
        <v>8064</v>
      </c>
      <c r="D13" s="7">
        <f>Proyeccion!F13</f>
        <v>18000</v>
      </c>
      <c r="E13" s="7">
        <f t="shared" ca="1" si="4"/>
        <v>17340</v>
      </c>
      <c r="F13">
        <f ca="1">IF(AND(E13&lt;MinimoSabado,Proyeccion!J13&gt;=FechaHoy),ROUNDUP((MinimoSabado-E13)/CajasProm,0),0)</f>
        <v>8</v>
      </c>
      <c r="G13" s="7">
        <f t="shared" ca="1" si="5"/>
        <v>15940</v>
      </c>
      <c r="H13">
        <f ca="1">IF(AND(G13&lt;MinimoSabado,Proyeccion!J13&gt;=FechaHoy),ROUNDUP((MinimoSabado-G13)/CajasProm,0),0)</f>
        <v>10</v>
      </c>
      <c r="I13" s="7">
        <f t="shared" ca="1" si="6"/>
        <v>13540</v>
      </c>
      <c r="J13">
        <f ca="1">IF(AND(I13&lt;MinimoSabado,Proyeccion!J13&gt;=FechaHoy),ROUNDUP((MinimoSabado-I13)/CajasProm,0),0)</f>
        <v>12</v>
      </c>
      <c r="K13" s="7">
        <f t="shared" si="0"/>
        <v>8064</v>
      </c>
      <c r="L13" s="7">
        <f t="shared" ca="1" si="7"/>
        <v>15940</v>
      </c>
      <c r="M13">
        <f ca="1">IF(AND(L13&lt;MinimoSabado,Proyeccion!J13&gt;=FechaHoy),ROUNDUP((MinimoSabado-L13)/CajasProm,0),0)</f>
        <v>10</v>
      </c>
      <c r="N13" s="7">
        <f t="shared" ca="1" si="1"/>
        <v>13000</v>
      </c>
      <c r="O13" s="7">
        <f t="shared" ca="1" si="2"/>
        <v>14940</v>
      </c>
      <c r="P13" s="7">
        <f t="shared" ca="1" si="3"/>
        <v>14890</v>
      </c>
    </row>
    <row r="14" spans="1:16">
      <c r="A14" s="5">
        <f>Proyeccion!A14</f>
        <v>46342</v>
      </c>
      <c r="B14" s="5">
        <f>Proyeccion!B14</f>
        <v>46347</v>
      </c>
      <c r="C14" s="7">
        <f>Proyeccion!E14</f>
        <v>8064</v>
      </c>
      <c r="D14" s="7">
        <f>Proyeccion!F14</f>
        <v>18000</v>
      </c>
      <c r="E14" s="7">
        <f t="shared" ca="1" si="4"/>
        <v>17204</v>
      </c>
      <c r="F14">
        <f ca="1">IF(AND(E14&lt;MinimoSabado,Proyeccion!J14&gt;=FechaHoy),ROUNDUP((MinimoSabado-E14)/CajasProm,0),0)</f>
        <v>8</v>
      </c>
      <c r="G14" s="7">
        <f t="shared" ca="1" si="5"/>
        <v>16004</v>
      </c>
      <c r="H14">
        <f ca="1">IF(AND(G14&lt;MinimoSabado,Proyeccion!J14&gt;=FechaHoy),ROUNDUP((MinimoSabado-G14)/CajasProm,0),0)</f>
        <v>9</v>
      </c>
      <c r="I14" s="7">
        <f t="shared" ca="1" si="6"/>
        <v>13804</v>
      </c>
      <c r="J14">
        <f ca="1">IF(AND(I14&lt;MinimoSabado,Proyeccion!J14&gt;=FechaHoy),ROUNDUP((MinimoSabado-I14)/CajasProm,0),0)</f>
        <v>12</v>
      </c>
      <c r="K14" s="7">
        <f t="shared" si="0"/>
        <v>8064</v>
      </c>
      <c r="L14" s="7">
        <f t="shared" ca="1" si="7"/>
        <v>16004</v>
      </c>
      <c r="M14">
        <f ca="1">IF(AND(L14&lt;MinimoSabado,Proyeccion!J14&gt;=FechaHoy),ROUNDUP((MinimoSabado-L14)/CajasProm,0),0)</f>
        <v>9</v>
      </c>
      <c r="N14" s="7">
        <f t="shared" ca="1" si="1"/>
        <v>13064</v>
      </c>
      <c r="O14" s="7">
        <f t="shared" ca="1" si="2"/>
        <v>15004</v>
      </c>
      <c r="P14" s="7">
        <f t="shared" ca="1" si="3"/>
        <v>14954</v>
      </c>
    </row>
    <row r="15" spans="1:16">
      <c r="A15" s="5">
        <f>Proyeccion!A15</f>
        <v>46349</v>
      </c>
      <c r="B15" s="5">
        <f>Proyeccion!B15</f>
        <v>46354</v>
      </c>
      <c r="C15" s="7">
        <f>Proyeccion!E15</f>
        <v>8064</v>
      </c>
      <c r="D15" s="7">
        <f>Proyeccion!F15</f>
        <v>18000</v>
      </c>
      <c r="E15" s="7">
        <f t="shared" ca="1" si="4"/>
        <v>17068</v>
      </c>
      <c r="F15">
        <f ca="1">IF(AND(E15&lt;MinimoSabado,Proyeccion!J15&gt;=FechaHoy),ROUNDUP((MinimoSabado-E15)/CajasProm,0),0)</f>
        <v>8</v>
      </c>
      <c r="G15" s="7">
        <f t="shared" ca="1" si="5"/>
        <v>15068</v>
      </c>
      <c r="H15">
        <f ca="1">IF(AND(G15&lt;MinimoSabado,Proyeccion!J15&gt;=FechaHoy),ROUNDUP((MinimoSabado-G15)/CajasProm,0),0)</f>
        <v>10</v>
      </c>
      <c r="I15" s="7">
        <f t="shared" ca="1" si="6"/>
        <v>14068</v>
      </c>
      <c r="J15">
        <f ca="1">IF(AND(I15&lt;MinimoSabado,Proyeccion!J15&gt;=FechaHoy),ROUNDUP((MinimoSabado-I15)/CajasProm,0),0)</f>
        <v>11</v>
      </c>
      <c r="K15" s="7">
        <f t="shared" si="0"/>
        <v>8064</v>
      </c>
      <c r="L15" s="7">
        <f t="shared" ca="1" si="7"/>
        <v>15068</v>
      </c>
      <c r="M15">
        <f ca="1">IF(AND(L15&lt;MinimoSabado,Proyeccion!J15&gt;=FechaHoy),ROUNDUP((MinimoSabado-L15)/CajasProm,0),0)</f>
        <v>10</v>
      </c>
      <c r="N15" s="7">
        <f t="shared" ca="1" si="1"/>
        <v>12128</v>
      </c>
      <c r="O15" s="7">
        <f t="shared" ca="1" si="2"/>
        <v>14068</v>
      </c>
      <c r="P15" s="7">
        <f t="shared" ca="1" si="3"/>
        <v>14018</v>
      </c>
    </row>
    <row r="16" spans="1:16">
      <c r="A16" s="5">
        <f>Proyeccion!A16</f>
        <v>46356</v>
      </c>
      <c r="B16" s="5">
        <f>Proyeccion!B16</f>
        <v>46361</v>
      </c>
      <c r="C16" s="7">
        <f>Proyeccion!E16</f>
        <v>8064</v>
      </c>
      <c r="D16" s="7">
        <f>Proyeccion!F16</f>
        <v>18000</v>
      </c>
      <c r="E16" s="7">
        <f t="shared" ca="1" si="4"/>
        <v>16932</v>
      </c>
      <c r="F16">
        <f ca="1">IF(AND(E16&lt;MinimoSabado,Proyeccion!J16&gt;=FechaHoy),ROUNDUP((MinimoSabado-E16)/CajasProm,0),0)</f>
        <v>9</v>
      </c>
      <c r="G16" s="7">
        <f t="shared" ca="1" si="5"/>
        <v>15132</v>
      </c>
      <c r="H16">
        <f ca="1">IF(AND(G16&lt;MinimoSabado,Proyeccion!J16&gt;=FechaHoy),ROUNDUP((MinimoSabado-G16)/CajasProm,0),0)</f>
        <v>10</v>
      </c>
      <c r="I16" s="7">
        <f t="shared" ca="1" si="6"/>
        <v>13332</v>
      </c>
      <c r="J16">
        <f ca="1">IF(AND(I16&lt;MinimoSabado,Proyeccion!J16&gt;=FechaHoy),ROUNDUP((MinimoSabado-I16)/CajasProm,0),0)</f>
        <v>12</v>
      </c>
      <c r="K16" s="7">
        <f t="shared" si="0"/>
        <v>8064</v>
      </c>
      <c r="L16" s="7">
        <f t="shared" ca="1" si="7"/>
        <v>15132</v>
      </c>
      <c r="M16">
        <f ca="1">IF(AND(L16&lt;MinimoSabado,Proyeccion!J16&gt;=FechaHoy),ROUNDUP((MinimoSabado-L16)/CajasProm,0),0)</f>
        <v>10</v>
      </c>
      <c r="N16" s="7">
        <f t="shared" ca="1" si="1"/>
        <v>12192</v>
      </c>
      <c r="O16" s="7">
        <f t="shared" ca="1" si="2"/>
        <v>14132</v>
      </c>
      <c r="P16" s="7">
        <f t="shared" ca="1" si="3"/>
        <v>14082</v>
      </c>
    </row>
    <row r="17" spans="1:16">
      <c r="A17" s="5">
        <f>Proyeccion!A17</f>
        <v>46363</v>
      </c>
      <c r="B17" s="5">
        <f>Proyeccion!B17</f>
        <v>46368</v>
      </c>
      <c r="C17" s="7">
        <f>Proyeccion!E17</f>
        <v>8064</v>
      </c>
      <c r="D17" s="7">
        <f>Proyeccion!F17</f>
        <v>18000</v>
      </c>
      <c r="E17" s="7">
        <f t="shared" ca="1" si="4"/>
        <v>17796</v>
      </c>
      <c r="F17">
        <f ca="1">IF(AND(E17&lt;MinimoSabado,Proyeccion!J17&gt;=FechaHoy),ROUNDUP((MinimoSabado-E17)/CajasProm,0),0)</f>
        <v>8</v>
      </c>
      <c r="G17" s="7">
        <f t="shared" ca="1" si="5"/>
        <v>15196</v>
      </c>
      <c r="H17">
        <f ca="1">IF(AND(G17&lt;MinimoSabado,Proyeccion!J17&gt;=FechaHoy),ROUNDUP((MinimoSabado-G17)/CajasProm,0),0)</f>
        <v>10</v>
      </c>
      <c r="I17" s="7">
        <f t="shared" ca="1" si="6"/>
        <v>13596</v>
      </c>
      <c r="J17">
        <f ca="1">IF(AND(I17&lt;MinimoSabado,Proyeccion!J17&gt;=FechaHoy),ROUNDUP((MinimoSabado-I17)/CajasProm,0),0)</f>
        <v>12</v>
      </c>
      <c r="K17" s="7">
        <f t="shared" si="0"/>
        <v>8064</v>
      </c>
      <c r="L17" s="7">
        <f t="shared" ca="1" si="7"/>
        <v>15196</v>
      </c>
      <c r="M17">
        <f ca="1">IF(AND(L17&lt;MinimoSabado,Proyeccion!J17&gt;=FechaHoy),ROUNDUP((MinimoSabado-L17)/CajasProm,0),0)</f>
        <v>10</v>
      </c>
      <c r="N17" s="7">
        <f t="shared" ca="1" si="1"/>
        <v>12256</v>
      </c>
      <c r="O17" s="7">
        <f t="shared" ca="1" si="2"/>
        <v>14196</v>
      </c>
      <c r="P17" s="7">
        <f t="shared" ca="1" si="3"/>
        <v>14146</v>
      </c>
    </row>
    <row r="18" spans="1:16">
      <c r="A18" s="5">
        <f>Proyeccion!A18</f>
        <v>46370</v>
      </c>
      <c r="B18" s="5">
        <f>Proyeccion!B18</f>
        <v>46375</v>
      </c>
      <c r="C18" s="7">
        <f>Proyeccion!E18</f>
        <v>8064</v>
      </c>
      <c r="D18" s="7">
        <f>Proyeccion!F18</f>
        <v>18000</v>
      </c>
      <c r="E18" s="7">
        <f t="shared" ca="1" si="4"/>
        <v>17660</v>
      </c>
      <c r="F18">
        <f ca="1">IF(AND(E18&lt;MinimoSabado,Proyeccion!J18&gt;=FechaHoy),ROUNDUP((MinimoSabado-E18)/CajasProm,0),0)</f>
        <v>8</v>
      </c>
      <c r="G18" s="7">
        <f t="shared" ca="1" si="5"/>
        <v>15260</v>
      </c>
      <c r="H18">
        <f ca="1">IF(AND(G18&lt;MinimoSabado,Proyeccion!J18&gt;=FechaHoy),ROUNDUP((MinimoSabado-G18)/CajasProm,0),0)</f>
        <v>10</v>
      </c>
      <c r="I18" s="7">
        <f t="shared" ca="1" si="6"/>
        <v>13860</v>
      </c>
      <c r="J18">
        <f ca="1">IF(AND(I18&lt;MinimoSabado,Proyeccion!J18&gt;=FechaHoy),ROUNDUP((MinimoSabado-I18)/CajasProm,0),0)</f>
        <v>12</v>
      </c>
      <c r="K18" s="7">
        <f t="shared" si="0"/>
        <v>8064</v>
      </c>
      <c r="L18" s="7">
        <f t="shared" ca="1" si="7"/>
        <v>15260</v>
      </c>
      <c r="M18">
        <f ca="1">IF(AND(L18&lt;MinimoSabado,Proyeccion!J18&gt;=FechaHoy),ROUNDUP((MinimoSabado-L18)/CajasProm,0),0)</f>
        <v>10</v>
      </c>
      <c r="N18" s="7">
        <f t="shared" ca="1" si="1"/>
        <v>12320</v>
      </c>
      <c r="O18" s="7">
        <f t="shared" ca="1" si="2"/>
        <v>14260</v>
      </c>
      <c r="P18" s="7">
        <f t="shared" ca="1" si="3"/>
        <v>14210</v>
      </c>
    </row>
    <row r="20" spans="1:16" ht="63.95" customHeight="1">
      <c r="A20" s="44" t="s">
        <v>288</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551</v>
      </c>
    </row>
    <row r="2" spans="1:11">
      <c r="A2" s="2" t="s">
        <v>552</v>
      </c>
    </row>
    <row r="5" spans="1:11" ht="45">
      <c r="A5" s="11" t="s">
        <v>139</v>
      </c>
      <c r="B5" s="11" t="s">
        <v>160</v>
      </c>
      <c r="C5" s="11" t="s">
        <v>245</v>
      </c>
      <c r="D5" s="11" t="s">
        <v>553</v>
      </c>
      <c r="E5" s="11" t="s">
        <v>554</v>
      </c>
      <c r="F5" s="11" t="s">
        <v>555</v>
      </c>
      <c r="G5" s="11" t="s">
        <v>556</v>
      </c>
      <c r="H5" s="11" t="s">
        <v>545</v>
      </c>
      <c r="I5" s="11" t="s">
        <v>557</v>
      </c>
      <c r="J5" s="11" t="s">
        <v>558</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18000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18868</v>
      </c>
      <c r="D8" s="7">
        <f>Demanda!H9</f>
        <v>18000</v>
      </c>
      <c r="E8" s="7" t="str">
        <f t="shared" si="0"/>
        <v/>
      </c>
      <c r="F8" s="16" t="str">
        <f t="shared" si="1"/>
        <v/>
      </c>
      <c r="G8" t="str">
        <f t="shared" si="2"/>
        <v>completar Parametros</v>
      </c>
      <c r="H8" s="7">
        <f ca="1">Proyeccion!L8</f>
        <v>25766</v>
      </c>
      <c r="I8" s="7" t="str">
        <f t="shared" si="3"/>
        <v/>
      </c>
      <c r="J8" s="16" t="str">
        <f t="shared" si="4"/>
        <v/>
      </c>
      <c r="K8" t="str">
        <f t="shared" si="5"/>
        <v/>
      </c>
    </row>
    <row r="9" spans="1:11">
      <c r="A9" s="5">
        <f>Proyeccion!A9</f>
        <v>46307</v>
      </c>
      <c r="B9" s="5">
        <f>Proyeccion!B9</f>
        <v>46312</v>
      </c>
      <c r="C9" s="7">
        <f>Proyeccion!E9</f>
        <v>10918</v>
      </c>
      <c r="D9" s="7">
        <f>Demanda!H10</f>
        <v>18000</v>
      </c>
      <c r="E9" s="7" t="str">
        <f t="shared" si="0"/>
        <v/>
      </c>
      <c r="F9" s="16" t="str">
        <f t="shared" si="1"/>
        <v/>
      </c>
      <c r="G9" t="str">
        <f t="shared" si="2"/>
        <v>completar Parametros</v>
      </c>
      <c r="H9" s="7">
        <f ca="1">Proyeccion!L9</f>
        <v>25684</v>
      </c>
      <c r="I9" s="7" t="str">
        <f t="shared" si="3"/>
        <v/>
      </c>
      <c r="J9" s="16" t="str">
        <f t="shared" si="4"/>
        <v/>
      </c>
      <c r="K9" t="str">
        <f t="shared" si="5"/>
        <v/>
      </c>
    </row>
    <row r="10" spans="1:11">
      <c r="A10" s="5">
        <f>Proyeccion!A10</f>
        <v>46314</v>
      </c>
      <c r="B10" s="5">
        <f>Proyeccion!B10</f>
        <v>46319</v>
      </c>
      <c r="C10" s="7">
        <f>Proyeccion!E10</f>
        <v>14014</v>
      </c>
      <c r="D10" s="7">
        <f>Demanda!H11</f>
        <v>18000</v>
      </c>
      <c r="E10" s="7" t="str">
        <f t="shared" si="0"/>
        <v/>
      </c>
      <c r="F10" s="16" t="str">
        <f t="shared" si="1"/>
        <v/>
      </c>
      <c r="G10" t="str">
        <f t="shared" si="2"/>
        <v>completar Parametros</v>
      </c>
      <c r="H10" s="7">
        <f ca="1">Proyeccion!L10</f>
        <v>25698</v>
      </c>
      <c r="I10" s="7" t="str">
        <f t="shared" si="3"/>
        <v/>
      </c>
      <c r="J10" s="16" t="str">
        <f t="shared" si="4"/>
        <v/>
      </c>
      <c r="K10" t="str">
        <f t="shared" si="5"/>
        <v/>
      </c>
    </row>
    <row r="11" spans="1:11">
      <c r="A11" s="5">
        <f>Proyeccion!A11</f>
        <v>46321</v>
      </c>
      <c r="B11" s="5">
        <f>Proyeccion!B11</f>
        <v>46326</v>
      </c>
      <c r="C11" s="7">
        <f>Proyeccion!E11</f>
        <v>9114</v>
      </c>
      <c r="D11" s="7">
        <f>Demanda!H12</f>
        <v>18000</v>
      </c>
      <c r="E11" s="7" t="str">
        <f t="shared" si="0"/>
        <v/>
      </c>
      <c r="F11" s="16" t="str">
        <f t="shared" si="1"/>
        <v/>
      </c>
      <c r="G11" t="str">
        <f t="shared" si="2"/>
        <v>completar Parametros</v>
      </c>
      <c r="H11" s="7">
        <f ca="1">Proyeccion!L11</f>
        <v>25812</v>
      </c>
      <c r="I11" s="7" t="str">
        <f t="shared" si="3"/>
        <v/>
      </c>
      <c r="J11" s="16" t="str">
        <f t="shared" si="4"/>
        <v/>
      </c>
      <c r="K11" t="str">
        <f t="shared" si="5"/>
        <v/>
      </c>
    </row>
    <row r="12" spans="1:11">
      <c r="A12" s="5">
        <f>Proyeccion!A12</f>
        <v>46328</v>
      </c>
      <c r="B12" s="5">
        <f>Proyeccion!B12</f>
        <v>46333</v>
      </c>
      <c r="C12" s="7">
        <f>Proyeccion!E12</f>
        <v>8064</v>
      </c>
      <c r="D12" s="7">
        <f>Demanda!H13</f>
        <v>18000</v>
      </c>
      <c r="E12" s="7" t="str">
        <f t="shared" si="0"/>
        <v/>
      </c>
      <c r="F12" s="16" t="str">
        <f t="shared" si="1"/>
        <v/>
      </c>
      <c r="G12" t="str">
        <f t="shared" si="2"/>
        <v>completar Parametros</v>
      </c>
      <c r="H12" s="7">
        <f ca="1">Proyeccion!L12</f>
        <v>25876</v>
      </c>
      <c r="I12" s="7" t="str">
        <f t="shared" si="3"/>
        <v/>
      </c>
      <c r="J12" s="16" t="str">
        <f t="shared" si="4"/>
        <v/>
      </c>
      <c r="K12" t="str">
        <f t="shared" si="5"/>
        <v/>
      </c>
    </row>
    <row r="13" spans="1:11">
      <c r="A13" s="5">
        <f>Proyeccion!A13</f>
        <v>46335</v>
      </c>
      <c r="B13" s="5">
        <f>Proyeccion!B13</f>
        <v>46340</v>
      </c>
      <c r="C13" s="7">
        <f>Proyeccion!E13</f>
        <v>8064</v>
      </c>
      <c r="D13" s="7">
        <f>Demanda!H14</f>
        <v>18000</v>
      </c>
      <c r="E13" s="7" t="str">
        <f t="shared" si="0"/>
        <v/>
      </c>
      <c r="F13" s="16" t="str">
        <f t="shared" si="1"/>
        <v/>
      </c>
      <c r="G13" t="str">
        <f t="shared" si="2"/>
        <v>completar Parametros</v>
      </c>
      <c r="H13" s="7">
        <f ca="1">Proyeccion!L13</f>
        <v>25940</v>
      </c>
      <c r="I13" s="7" t="str">
        <f t="shared" si="3"/>
        <v/>
      </c>
      <c r="J13" s="16" t="str">
        <f t="shared" si="4"/>
        <v/>
      </c>
      <c r="K13" t="str">
        <f t="shared" si="5"/>
        <v/>
      </c>
    </row>
    <row r="14" spans="1:11">
      <c r="A14" s="5">
        <f>Proyeccion!A14</f>
        <v>46342</v>
      </c>
      <c r="B14" s="5">
        <f>Proyeccion!B14</f>
        <v>46347</v>
      </c>
      <c r="C14" s="7">
        <f>Proyeccion!E14</f>
        <v>8064</v>
      </c>
      <c r="D14" s="7">
        <f>Demanda!H15</f>
        <v>18000</v>
      </c>
      <c r="E14" s="7" t="str">
        <f t="shared" si="0"/>
        <v/>
      </c>
      <c r="F14" s="16" t="str">
        <f t="shared" si="1"/>
        <v/>
      </c>
      <c r="G14" t="str">
        <f t="shared" si="2"/>
        <v>completar Parametros</v>
      </c>
      <c r="H14" s="7">
        <f ca="1">Proyeccion!L14</f>
        <v>25004</v>
      </c>
      <c r="I14" s="7" t="str">
        <f t="shared" si="3"/>
        <v/>
      </c>
      <c r="J14" s="16" t="str">
        <f t="shared" si="4"/>
        <v/>
      </c>
      <c r="K14" t="str">
        <f t="shared" si="5"/>
        <v/>
      </c>
    </row>
    <row r="15" spans="1:11">
      <c r="A15" s="5">
        <f>Proyeccion!A15</f>
        <v>46349</v>
      </c>
      <c r="B15" s="5">
        <f>Proyeccion!B15</f>
        <v>46354</v>
      </c>
      <c r="C15" s="7">
        <f>Proyeccion!E15</f>
        <v>8064</v>
      </c>
      <c r="D15" s="7">
        <f>Demanda!H16</f>
        <v>18000</v>
      </c>
      <c r="E15" s="7" t="str">
        <f t="shared" si="0"/>
        <v/>
      </c>
      <c r="F15" s="16" t="str">
        <f t="shared" si="1"/>
        <v/>
      </c>
      <c r="G15" t="str">
        <f t="shared" si="2"/>
        <v>completar Parametros</v>
      </c>
      <c r="H15" s="7">
        <f ca="1">Proyeccion!L15</f>
        <v>25068</v>
      </c>
      <c r="I15" s="7" t="str">
        <f t="shared" si="3"/>
        <v/>
      </c>
      <c r="J15" s="16" t="str">
        <f t="shared" si="4"/>
        <v/>
      </c>
      <c r="K15" t="str">
        <f t="shared" si="5"/>
        <v/>
      </c>
    </row>
    <row r="16" spans="1:11">
      <c r="A16" s="5">
        <f>Proyeccion!A16</f>
        <v>46356</v>
      </c>
      <c r="B16" s="5">
        <f>Proyeccion!B16</f>
        <v>46361</v>
      </c>
      <c r="C16" s="7">
        <f>Proyeccion!E16</f>
        <v>8064</v>
      </c>
      <c r="D16" s="7">
        <f>Demanda!H17</f>
        <v>18000</v>
      </c>
      <c r="E16" s="7" t="str">
        <f t="shared" si="0"/>
        <v/>
      </c>
      <c r="F16" s="16" t="str">
        <f t="shared" si="1"/>
        <v/>
      </c>
      <c r="G16" t="str">
        <f t="shared" si="2"/>
        <v>completar Parametros</v>
      </c>
      <c r="H16" s="7">
        <f ca="1">Proyeccion!L16</f>
        <v>25132</v>
      </c>
      <c r="I16" s="7" t="str">
        <f t="shared" si="3"/>
        <v/>
      </c>
      <c r="J16" s="16" t="str">
        <f t="shared" si="4"/>
        <v/>
      </c>
      <c r="K16" t="str">
        <f t="shared" si="5"/>
        <v/>
      </c>
    </row>
    <row r="17" spans="1:12">
      <c r="A17" s="5">
        <f>Proyeccion!A17</f>
        <v>46363</v>
      </c>
      <c r="B17" s="5">
        <f>Proyeccion!B17</f>
        <v>46368</v>
      </c>
      <c r="C17" s="7">
        <f>Proyeccion!E17</f>
        <v>8064</v>
      </c>
      <c r="D17" s="7">
        <f>Demanda!H18</f>
        <v>18000</v>
      </c>
      <c r="E17" s="7" t="str">
        <f t="shared" si="0"/>
        <v/>
      </c>
      <c r="F17" s="16" t="str">
        <f t="shared" si="1"/>
        <v/>
      </c>
      <c r="G17" t="str">
        <f t="shared" si="2"/>
        <v>completar Parametros</v>
      </c>
      <c r="H17" s="7">
        <f ca="1">Proyeccion!L17</f>
        <v>25196</v>
      </c>
      <c r="I17" s="7" t="str">
        <f t="shared" si="3"/>
        <v/>
      </c>
      <c r="J17" s="16" t="str">
        <f t="shared" si="4"/>
        <v/>
      </c>
      <c r="K17" t="str">
        <f t="shared" si="5"/>
        <v/>
      </c>
    </row>
    <row r="18" spans="1:12">
      <c r="A18" s="5">
        <f>Proyeccion!A18</f>
        <v>46370</v>
      </c>
      <c r="B18" s="5">
        <f>Proyeccion!B18</f>
        <v>46375</v>
      </c>
      <c r="C18" s="7">
        <f>Proyeccion!E18</f>
        <v>8064</v>
      </c>
      <c r="D18" s="7">
        <f>Demanda!H18</f>
        <v>18000</v>
      </c>
      <c r="E18" s="7" t="str">
        <f t="shared" si="0"/>
        <v/>
      </c>
      <c r="F18" s="16" t="str">
        <f t="shared" si="1"/>
        <v/>
      </c>
      <c r="G18" t="str">
        <f t="shared" si="2"/>
        <v>completar Parametros</v>
      </c>
      <c r="H18" s="7">
        <f ca="1">Proyeccion!L18</f>
        <v>25260</v>
      </c>
      <c r="I18" s="7" t="str">
        <f t="shared" si="3"/>
        <v/>
      </c>
      <c r="J18" s="16" t="str">
        <f t="shared" si="4"/>
        <v/>
      </c>
      <c r="K18" t="str">
        <f t="shared" si="5"/>
        <v/>
      </c>
    </row>
    <row r="20" spans="1:12" ht="63.95" customHeight="1">
      <c r="A20" s="44" t="s">
        <v>559</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289</v>
      </c>
    </row>
    <row r="2" spans="1:3">
      <c r="A2" s="2" t="s">
        <v>290</v>
      </c>
    </row>
    <row r="4" spans="1:3">
      <c r="A4" s="11" t="s">
        <v>291</v>
      </c>
      <c r="B4" s="11" t="s">
        <v>292</v>
      </c>
      <c r="C4" s="11" t="s">
        <v>293</v>
      </c>
    </row>
    <row r="5" spans="1:3">
      <c r="A5" t="s">
        <v>294</v>
      </c>
      <c r="B5" s="12">
        <f>ConteoTotal</f>
        <v>26972</v>
      </c>
      <c r="C5" s="4" t="s">
        <v>295</v>
      </c>
    </row>
    <row r="6" spans="1:3" ht="30">
      <c r="A6" t="s">
        <v>296</v>
      </c>
      <c r="B6" s="24">
        <f>ConteoTotal/(INDEX(DemVenta,MATCH(FechaConteo-WEEKDAY(FechaConteo,2)+1+7,DemSemana,0))/DiasVenta)</f>
        <v>10.114500000000001</v>
      </c>
      <c r="C6" s="4" t="s">
        <v>297</v>
      </c>
    </row>
    <row r="7" spans="1:3">
      <c r="A7" t="s">
        <v>298</v>
      </c>
      <c r="B7" s="12">
        <f ca="1">IFERROR(INDEX(PrStock,MATCH(FechaHoy-WEEKDAY(FechaHoy,2)+1,PrSemana,0)),"")</f>
        <v>22898</v>
      </c>
      <c r="C7" s="4" t="s">
        <v>299</v>
      </c>
    </row>
    <row r="8" spans="1:3">
      <c r="A8" t="s">
        <v>300</v>
      </c>
      <c r="B8" s="25">
        <f ca="1">IFERROR(INDEX(PrACargar,MATCH(FechaHoy-WEEKDAY(FechaHoy,2)+1,PrSemana,0)),"")</f>
        <v>0</v>
      </c>
      <c r="C8" s="4" t="s">
        <v>301</v>
      </c>
    </row>
    <row r="9" spans="1:3">
      <c r="A9" t="s">
        <v>302</v>
      </c>
      <c r="B9" s="25">
        <f ca="1">IFERROR(INDEX(PrACargar,MATCH(FechaHoy-WEEKDAY(FechaHoy,2)+1+7,PrSemana,0)),"")</f>
        <v>2</v>
      </c>
      <c r="C9" s="4" t="s">
        <v>303</v>
      </c>
    </row>
    <row r="10" spans="1:3" ht="30">
      <c r="A10" t="s">
        <v>304</v>
      </c>
      <c r="B10" s="24">
        <f ca="1">AVERAGEIFS(PrCobertura,PrSemana,"&gt;="&amp;(FechaHoy-WEEKDAY(FechaHoy,2)+1),PrSemana,"&lt;"&amp;(FechaHoy-WEEKDAY(FechaHoy,2)+1+28))</f>
        <v>8.3371666666666666</v>
      </c>
      <c r="C10" s="4" t="s">
        <v>305</v>
      </c>
    </row>
    <row r="11" spans="1:3" ht="30">
      <c r="A11" t="s">
        <v>306</v>
      </c>
      <c r="B11" s="25">
        <f ca="1">COUNTIFS(PrACargar,"&gt;0",PrSemana,"&gt;="&amp;(FechaHoy-WEEKDAY(FechaHoy,2)+1),PrSemana,"&lt;"&amp;(FechaHoy-WEEKDAY(FechaHoy,2)+1+28))</f>
        <v>3</v>
      </c>
      <c r="C11" s="4" t="s">
        <v>307</v>
      </c>
    </row>
    <row r="12" spans="1:3">
      <c r="A12" t="s">
        <v>308</v>
      </c>
      <c r="B12" s="25">
        <f ca="1">SUMIFS(PrACargar,PrSemana,"&gt;="&amp;(FechaHoy-WEEKDAY(FechaHoy,2)+1),PrSemana,"&lt;"&amp;(FechaHoy-WEEKDAY(FechaHoy,2)+1+28))</f>
        <v>13</v>
      </c>
      <c r="C12" s="4" t="s">
        <v>309</v>
      </c>
    </row>
    <row r="13" spans="1:3" ht="30">
      <c r="A13" t="s">
        <v>310</v>
      </c>
      <c r="B13" s="24">
        <f>ConteoTotal/INDEX(DemVenta,MATCH(FechaConteo-WEEKDAY(FechaConteo,2)+1+7,DemSemana,0))</f>
        <v>1.6857500000000001</v>
      </c>
      <c r="C13" s="4" t="s">
        <v>311</v>
      </c>
    </row>
    <row r="14" spans="1:3" ht="30">
      <c r="A14" t="s">
        <v>312</v>
      </c>
      <c r="B14" s="12">
        <f>ConteoBR*CostoBR+ConteoPY*CostoPY+ConteoBO*CostoBO</f>
        <v>196107.57</v>
      </c>
      <c r="C14" s="4" t="s">
        <v>313</v>
      </c>
    </row>
    <row r="15" spans="1:3" ht="30">
      <c r="A15" t="s">
        <v>314</v>
      </c>
      <c r="B15" s="12">
        <f ca="1">SUM(CgPipeline)</f>
        <v>10946</v>
      </c>
      <c r="C15" s="4" t="s">
        <v>315</v>
      </c>
    </row>
    <row r="16" spans="1:3">
      <c r="A16" t="s">
        <v>316</v>
      </c>
      <c r="B16" s="26">
        <f>PrecioBR_BRL-(CepeaKg*KgCaja+ServiciosCaja)</f>
        <v>-7.0899999999999963</v>
      </c>
      <c r="C16" s="4" t="s">
        <v>317</v>
      </c>
    </row>
    <row r="17" spans="1:3" ht="45">
      <c r="A17" t="s">
        <v>318</v>
      </c>
      <c r="B17" s="27">
        <f>IFERROR(SUMPRODUCT(MAX((Proveedores!A5:A60="PY")*Proveedores!D5:D60))/SUMIF(Proveedores!A5:A60,"PY",Proveedores!D5:D60),"")</f>
        <v>0.48076923076923078</v>
      </c>
      <c r="C17" s="4" t="s">
        <v>319</v>
      </c>
    </row>
    <row r="18" spans="1:3">
      <c r="A18" t="s">
        <v>320</v>
      </c>
      <c r="B18" s="27">
        <f>IFERROR(SUMPRODUCT(MAX((Proveedores!A5:A60="BR")*Proveedores!D5:D60))/SUMIF(Proveedores!A5:A60,"BR",Proveedores!D5:D60),"")</f>
        <v>0.1875</v>
      </c>
      <c r="C18" s="4" t="s">
        <v>3</v>
      </c>
    </row>
    <row r="19" spans="1:3">
      <c r="A19" t="s">
        <v>321</v>
      </c>
      <c r="B19" s="24">
        <f ca="1">AVERAGEIFS(PrCamiones,PrSemana,"&gt;="&amp;(FechaHoy-WEEKDAY(FechaHoy,2)+1),PrSemana,"&lt;"&amp;(FechaHoy-WEEKDAY(FechaHoy,2)+1+28))</f>
        <v>14</v>
      </c>
      <c r="C19" s="4" t="s">
        <v>322</v>
      </c>
    </row>
    <row r="20" spans="1:3" ht="30">
      <c r="A20" t="s">
        <v>323</v>
      </c>
      <c r="B20" s="27">
        <f ca="1">IFERROR(SUMIFS(CgCajas,CgOrigen,"BR",CgCuenta,1,CgSemana,"&gt;="&amp;(FechaHoy-WEEKDAY(FechaHoy,2)+1),CgSemana,"&lt;"&amp;(FechaHoy-WEEKDAY(FechaHoy,2)+1+28))/SUMIFS(CgCajas,CgCuenta,1,CgSemana,"&gt;="&amp;(FechaHoy-WEEKDAY(FechaHoy,2)+1),CgSemana,"&lt;"&amp;(FechaHoy-WEEKDAY(FechaHoy,2)+1+28)),0)</f>
        <v>0.59175250331981477</v>
      </c>
      <c r="C20" s="4" t="s">
        <v>324</v>
      </c>
    </row>
    <row r="21" spans="1:3">
      <c r="A21" t="s">
        <v>325</v>
      </c>
      <c r="B21" s="27">
        <f ca="1">IFERROR(SUMIFS(CgCajas,CgOrigen,"PY",CgCuenta,1,CgSemana,"&gt;="&amp;(FechaHoy-WEEKDAY(FechaHoy,2)+1),CgSemana,"&lt;"&amp;(FechaHoy-WEEKDAY(FechaHoy,2)+1+28))/SUMIFS(CgCajas,CgCuenta,1,CgSemana,"&gt;="&amp;(FechaHoy-WEEKDAY(FechaHoy,2)+1),CgSemana,"&lt;"&amp;(FechaHoy-WEEKDAY(FechaHoy,2)+1+28)),0)</f>
        <v>0.35172092021677492</v>
      </c>
      <c r="C21" s="4" t="s">
        <v>3</v>
      </c>
    </row>
    <row r="22" spans="1:3">
      <c r="A22" t="s">
        <v>326</v>
      </c>
      <c r="B22" s="27">
        <f ca="1">IFERROR(SUMIFS(CgCajas,CgOrigen,"BO",CgCuenta,1,CgSemana,"&gt;="&amp;(FechaHoy-WEEKDAY(FechaHoy,2)+1),CgSemana,"&lt;"&amp;(FechaHoy-WEEKDAY(FechaHoy,2)+1+28))/SUMIFS(CgCajas,CgCuenta,1,CgSemana,"&gt;="&amp;(FechaHoy-WEEKDAY(FechaHoy,2)+1),CgSemana,"&lt;"&amp;(FechaHoy-WEEKDAY(FechaHoy,2)+1+28)),0)</f>
        <v>5.6526576463410257E-2</v>
      </c>
      <c r="C22" s="4" t="s">
        <v>3</v>
      </c>
    </row>
    <row r="23" spans="1:3" ht="30">
      <c r="A23" t="s">
        <v>327</v>
      </c>
      <c r="B23" s="12">
        <f ca="1">SUMIFS(CgCosto,CgCuenta,1,CgSemana,"&gt;="&amp;(FechaHoy-WEEKDAY(FechaHoy,2)+1),CgSemana,"&lt;"&amp;(FechaHoy-WEEKDAY(FechaHoy,2)+1+28))</f>
        <v>405019.83999999979</v>
      </c>
      <c r="C23" s="4" t="s">
        <v>328</v>
      </c>
    </row>
    <row r="24" spans="1:3" ht="45">
      <c r="A24" t="s">
        <v>329</v>
      </c>
      <c r="B24" s="25">
        <f>COUNTIFS(CgEstado,"Supuesto*",CgCuenta,1)</f>
        <v>93</v>
      </c>
      <c r="C24" s="4" t="s">
        <v>330</v>
      </c>
    </row>
    <row r="25" spans="1:3" ht="30">
      <c r="A25" t="s">
        <v>331</v>
      </c>
      <c r="B25" s="28">
        <f>IFERROR(AVERAGE(Proveedores!R5:R60),"")</f>
        <v>-9.5789473684210517E-4</v>
      </c>
      <c r="C25" s="4" t="s">
        <v>332</v>
      </c>
    </row>
    <row r="26" spans="1:3" ht="30">
      <c r="A26" t="s">
        <v>333</v>
      </c>
      <c r="B26" s="27">
        <f>IFERROR(AVERAGE(CgOTIF),"sin descargas reales todavia")</f>
        <v>1</v>
      </c>
      <c r="C26" s="4" t="s">
        <v>334</v>
      </c>
    </row>
    <row r="27" spans="1:3">
      <c r="A27" t="s">
        <v>335</v>
      </c>
      <c r="B27" s="25">
        <f>COUNTIFS(CgEstado,"Dictado",CgCuenta,1)</f>
        <v>32</v>
      </c>
      <c r="C27" s="4" t="s">
        <v>336</v>
      </c>
    </row>
    <row r="28" spans="1:3" ht="30">
      <c r="A28" t="s">
        <v>337</v>
      </c>
      <c r="B28" s="29" t="str">
        <f>IFERROR(SUMPRODUCT((Demanda!O6:O18&lt;&gt;"")*ABS(Demanda!P6:P18))/COUNTIF(Demanda!O6:O18,"&lt;&gt;"),"sin venta real cargada")</f>
        <v>sin venta real cargada</v>
      </c>
      <c r="C28" s="4" t="s">
        <v>338</v>
      </c>
    </row>
    <row r="30" spans="1:3" ht="30">
      <c r="A30" s="11" t="s">
        <v>339</v>
      </c>
      <c r="B30" s="11" t="s">
        <v>340</v>
      </c>
      <c r="C30" s="11" t="s">
        <v>341</v>
      </c>
    </row>
    <row r="31" spans="1:3" ht="45">
      <c r="A31" s="30" t="s">
        <v>342</v>
      </c>
      <c r="B31" s="15" t="s">
        <v>343</v>
      </c>
      <c r="C31" s="15" t="s">
        <v>344</v>
      </c>
    </row>
    <row r="32" spans="1:3" ht="45">
      <c r="A32" s="30" t="s">
        <v>345</v>
      </c>
      <c r="B32" s="15" t="s">
        <v>346</v>
      </c>
      <c r="C32" s="15" t="s">
        <v>347</v>
      </c>
    </row>
    <row r="33" spans="1:3" ht="45">
      <c r="A33" s="30" t="s">
        <v>348</v>
      </c>
      <c r="B33" s="15" t="s">
        <v>349</v>
      </c>
      <c r="C33" s="15" t="s">
        <v>350</v>
      </c>
    </row>
    <row r="34" spans="1:3" ht="30">
      <c r="A34" s="30" t="s">
        <v>351</v>
      </c>
      <c r="B34" s="15" t="s">
        <v>352</v>
      </c>
      <c r="C34" s="15" t="s">
        <v>353</v>
      </c>
    </row>
    <row r="35" spans="1:3" ht="30">
      <c r="A35" s="30" t="s">
        <v>354</v>
      </c>
      <c r="B35" s="15" t="s">
        <v>355</v>
      </c>
      <c r="C35" s="15" t="s">
        <v>356</v>
      </c>
    </row>
    <row r="36" spans="1:3" ht="30">
      <c r="A36" s="30" t="s">
        <v>357</v>
      </c>
      <c r="B36" s="15" t="s">
        <v>358</v>
      </c>
      <c r="C36" s="15" t="s">
        <v>359</v>
      </c>
    </row>
    <row r="37" spans="1:3" ht="45">
      <c r="A37" s="30" t="s">
        <v>360</v>
      </c>
      <c r="B37" s="15" t="s">
        <v>361</v>
      </c>
      <c r="C37" s="15" t="s">
        <v>362</v>
      </c>
    </row>
    <row r="38" spans="1:3" ht="45">
      <c r="A38" s="30" t="s">
        <v>363</v>
      </c>
      <c r="B38" s="15" t="s">
        <v>364</v>
      </c>
      <c r="C38" s="15" t="s">
        <v>365</v>
      </c>
    </row>
    <row r="39" spans="1:3" ht="30">
      <c r="A39" s="30" t="s">
        <v>366</v>
      </c>
      <c r="B39" s="15" t="s">
        <v>367</v>
      </c>
      <c r="C39" s="15" t="s">
        <v>368</v>
      </c>
    </row>
    <row r="40" spans="1:3" ht="30">
      <c r="A40" s="30" t="s">
        <v>369</v>
      </c>
      <c r="B40" s="15" t="s">
        <v>370</v>
      </c>
      <c r="C40" s="15" t="s">
        <v>371</v>
      </c>
    </row>
    <row r="41" spans="1:3" ht="30">
      <c r="A41" s="30" t="s">
        <v>372</v>
      </c>
      <c r="B41" s="15" t="s">
        <v>373</v>
      </c>
      <c r="C41" s="15" t="s">
        <v>374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375</v>
      </c>
    </row>
    <row r="2" spans="1:21">
      <c r="A2" s="2" t="s">
        <v>376</v>
      </c>
    </row>
    <row r="4" spans="1:21" ht="90">
      <c r="A4" s="11" t="s">
        <v>173</v>
      </c>
      <c r="B4" s="11" t="s">
        <v>377</v>
      </c>
      <c r="C4" s="11" t="s">
        <v>378</v>
      </c>
      <c r="D4" s="11" t="s">
        <v>379</v>
      </c>
      <c r="E4" s="11" t="s">
        <v>380</v>
      </c>
      <c r="F4" s="11" t="s">
        <v>381</v>
      </c>
      <c r="G4" s="11" t="s">
        <v>382</v>
      </c>
      <c r="H4" s="11" t="s">
        <v>383</v>
      </c>
      <c r="I4" s="11" t="s">
        <v>384</v>
      </c>
      <c r="J4" s="11" t="s">
        <v>385</v>
      </c>
      <c r="K4" s="11" t="s">
        <v>386</v>
      </c>
      <c r="L4" s="11" t="s">
        <v>387</v>
      </c>
      <c r="M4" s="11" t="s">
        <v>388</v>
      </c>
      <c r="N4" s="11" t="s">
        <v>389</v>
      </c>
      <c r="O4" s="11" t="s">
        <v>390</v>
      </c>
      <c r="P4" s="11" t="s">
        <v>61</v>
      </c>
      <c r="Q4" s="11" t="s">
        <v>391</v>
      </c>
      <c r="R4" s="11" t="s">
        <v>392</v>
      </c>
      <c r="S4" s="11" t="s">
        <v>393</v>
      </c>
      <c r="T4" s="11" t="s">
        <v>394</v>
      </c>
      <c r="U4" s="11" t="s">
        <v>395</v>
      </c>
    </row>
    <row r="5" spans="1:21">
      <c r="A5" t="s">
        <v>58</v>
      </c>
      <c r="B5" t="s">
        <v>197</v>
      </c>
      <c r="C5" s="9" t="s">
        <v>209</v>
      </c>
      <c r="D5">
        <v>12</v>
      </c>
      <c r="E5">
        <v>7</v>
      </c>
      <c r="F5" s="22">
        <v>1.5</v>
      </c>
      <c r="G5">
        <v>2</v>
      </c>
      <c r="H5" s="31">
        <v>2</v>
      </c>
      <c r="I5" s="22">
        <v>3.5</v>
      </c>
      <c r="J5">
        <v>1008</v>
      </c>
      <c r="K5" t="s">
        <v>396</v>
      </c>
      <c r="L5" t="s">
        <v>397</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398</v>
      </c>
      <c r="R5" s="32">
        <v>2.0000000000000001E-4</v>
      </c>
      <c r="S5" t="s">
        <v>399</v>
      </c>
      <c r="T5" s="22">
        <v>1.2</v>
      </c>
      <c r="U5" t="s">
        <v>400</v>
      </c>
    </row>
    <row r="6" spans="1:21">
      <c r="A6" t="s">
        <v>58</v>
      </c>
      <c r="B6" t="s">
        <v>401</v>
      </c>
      <c r="C6" s="9" t="s">
        <v>212</v>
      </c>
      <c r="D6">
        <v>12</v>
      </c>
      <c r="E6">
        <v>8</v>
      </c>
      <c r="F6" s="22">
        <v>1.5</v>
      </c>
      <c r="G6">
        <v>2</v>
      </c>
      <c r="H6" s="31">
        <v>2</v>
      </c>
      <c r="I6" s="22">
        <v>3.7</v>
      </c>
      <c r="J6">
        <v>1008</v>
      </c>
      <c r="K6" t="s">
        <v>402</v>
      </c>
      <c r="L6" t="s">
        <v>403</v>
      </c>
      <c r="M6" s="10">
        <v>37</v>
      </c>
      <c r="N6">
        <f t="shared" ca="1" si="0"/>
        <v>1</v>
      </c>
      <c r="O6">
        <f t="shared" ca="1" si="1"/>
        <v>2</v>
      </c>
      <c r="P6" t="s">
        <v>3</v>
      </c>
      <c r="Q6" t="s">
        <v>404</v>
      </c>
      <c r="R6" s="32">
        <v>5.0000000000000001E-4</v>
      </c>
      <c r="S6" t="s">
        <v>405</v>
      </c>
      <c r="T6" s="22">
        <v>1.6</v>
      </c>
      <c r="U6" t="s">
        <v>400</v>
      </c>
    </row>
    <row r="7" spans="1:21">
      <c r="A7" t="s">
        <v>58</v>
      </c>
      <c r="B7" t="s">
        <v>196</v>
      </c>
      <c r="C7" s="9" t="s">
        <v>217</v>
      </c>
      <c r="D7">
        <v>10</v>
      </c>
      <c r="E7">
        <v>7</v>
      </c>
      <c r="F7" s="22">
        <v>1.2</v>
      </c>
      <c r="G7">
        <v>3</v>
      </c>
      <c r="H7" s="31">
        <v>2.5</v>
      </c>
      <c r="I7" s="22">
        <v>3.8</v>
      </c>
      <c r="J7">
        <v>936</v>
      </c>
      <c r="K7" t="s">
        <v>406</v>
      </c>
      <c r="L7" t="s">
        <v>407</v>
      </c>
      <c r="M7" s="10">
        <v>38.64</v>
      </c>
      <c r="N7">
        <f t="shared" ca="1" si="0"/>
        <v>1</v>
      </c>
      <c r="O7">
        <f t="shared" ca="1" si="1"/>
        <v>2</v>
      </c>
      <c r="P7" t="s">
        <v>3</v>
      </c>
      <c r="Q7" t="s">
        <v>408</v>
      </c>
      <c r="R7" s="32">
        <v>-1.4E-3</v>
      </c>
      <c r="S7" t="s">
        <v>409</v>
      </c>
      <c r="T7" s="22">
        <v>2.5</v>
      </c>
      <c r="U7" t="s">
        <v>410</v>
      </c>
    </row>
    <row r="8" spans="1:21">
      <c r="A8" t="s">
        <v>58</v>
      </c>
      <c r="B8" t="s">
        <v>411</v>
      </c>
      <c r="C8" s="9" t="s">
        <v>214</v>
      </c>
      <c r="D8">
        <v>7</v>
      </c>
      <c r="E8">
        <v>5</v>
      </c>
      <c r="F8" s="22">
        <v>0.9</v>
      </c>
      <c r="G8">
        <v>2</v>
      </c>
      <c r="H8" s="31">
        <v>2</v>
      </c>
      <c r="I8" s="22">
        <v>3.9</v>
      </c>
      <c r="J8">
        <v>1008</v>
      </c>
      <c r="K8" t="s">
        <v>412</v>
      </c>
      <c r="L8" t="s">
        <v>413</v>
      </c>
      <c r="M8" s="10">
        <v>41.63</v>
      </c>
      <c r="N8">
        <f t="shared" ca="1" si="0"/>
        <v>1</v>
      </c>
      <c r="O8">
        <f t="shared" ca="1" si="1"/>
        <v>2</v>
      </c>
      <c r="P8" t="s">
        <v>3</v>
      </c>
      <c r="Q8" t="s">
        <v>414</v>
      </c>
      <c r="R8" s="32">
        <v>0</v>
      </c>
      <c r="S8" t="s">
        <v>399</v>
      </c>
      <c r="T8" s="22">
        <v>0.6</v>
      </c>
      <c r="U8" t="s">
        <v>415</v>
      </c>
    </row>
    <row r="9" spans="1:21">
      <c r="A9" t="s">
        <v>58</v>
      </c>
      <c r="B9" t="s">
        <v>416</v>
      </c>
      <c r="C9" s="9" t="s">
        <v>205</v>
      </c>
      <c r="D9">
        <v>6</v>
      </c>
      <c r="E9">
        <v>5</v>
      </c>
      <c r="F9" s="22">
        <v>0.8</v>
      </c>
      <c r="G9">
        <v>2</v>
      </c>
      <c r="H9" s="31">
        <v>1.5</v>
      </c>
      <c r="I9" s="22">
        <v>2.8</v>
      </c>
      <c r="J9">
        <v>1008</v>
      </c>
      <c r="K9" t="s">
        <v>417</v>
      </c>
      <c r="L9" t="s">
        <v>418</v>
      </c>
      <c r="M9" s="10">
        <v>40.74</v>
      </c>
      <c r="N9">
        <f t="shared" ca="1" si="0"/>
        <v>1</v>
      </c>
      <c r="O9">
        <f t="shared" ca="1" si="1"/>
        <v>2</v>
      </c>
      <c r="P9" t="s">
        <v>3</v>
      </c>
      <c r="Q9" t="s">
        <v>419</v>
      </c>
      <c r="R9" s="32">
        <v>-7.7999999999999996E-3</v>
      </c>
      <c r="S9" t="s">
        <v>409</v>
      </c>
      <c r="T9" s="22">
        <v>0.4</v>
      </c>
      <c r="U9" t="s">
        <v>400</v>
      </c>
    </row>
    <row r="10" spans="1:21">
      <c r="A10" t="s">
        <v>58</v>
      </c>
      <c r="B10" t="s">
        <v>219</v>
      </c>
      <c r="C10" s="9" t="s">
        <v>219</v>
      </c>
      <c r="D10">
        <v>5</v>
      </c>
      <c r="E10">
        <v>5</v>
      </c>
      <c r="F10" s="22">
        <v>0.6</v>
      </c>
      <c r="G10">
        <v>1</v>
      </c>
      <c r="H10" s="31">
        <v>1</v>
      </c>
      <c r="I10" s="22">
        <v>3</v>
      </c>
      <c r="J10">
        <v>1008</v>
      </c>
      <c r="K10" t="s">
        <v>420</v>
      </c>
      <c r="L10" t="s">
        <v>421</v>
      </c>
      <c r="M10" s="10">
        <v>40.65</v>
      </c>
      <c r="N10">
        <f t="shared" ca="1" si="0"/>
        <v>0</v>
      </c>
      <c r="O10">
        <f t="shared" ca="1" si="1"/>
        <v>1</v>
      </c>
      <c r="P10" t="s">
        <v>3</v>
      </c>
      <c r="Q10" t="s">
        <v>422</v>
      </c>
      <c r="R10" s="32">
        <v>-4.0000000000000002E-4</v>
      </c>
      <c r="S10" t="s">
        <v>423</v>
      </c>
      <c r="T10" s="22">
        <v>1</v>
      </c>
      <c r="U10" t="s">
        <v>400</v>
      </c>
    </row>
    <row r="11" spans="1:21">
      <c r="A11" t="s">
        <v>58</v>
      </c>
      <c r="B11" t="s">
        <v>424</v>
      </c>
      <c r="C11" s="9" t="s">
        <v>220</v>
      </c>
      <c r="D11">
        <v>4</v>
      </c>
      <c r="E11">
        <v>4</v>
      </c>
      <c r="F11" s="22">
        <v>0.5</v>
      </c>
      <c r="G11">
        <v>1</v>
      </c>
      <c r="H11" s="31">
        <v>1</v>
      </c>
      <c r="I11" s="22">
        <v>3.2</v>
      </c>
      <c r="J11">
        <v>1008</v>
      </c>
      <c r="K11" t="s">
        <v>425</v>
      </c>
      <c r="L11" t="s">
        <v>426</v>
      </c>
      <c r="M11" s="10">
        <v>42.33</v>
      </c>
      <c r="N11">
        <f t="shared" ca="1" si="0"/>
        <v>0</v>
      </c>
      <c r="O11">
        <f t="shared" ca="1" si="1"/>
        <v>2</v>
      </c>
      <c r="P11" t="s">
        <v>3</v>
      </c>
      <c r="Q11" t="s">
        <v>3</v>
      </c>
      <c r="S11" t="s">
        <v>3</v>
      </c>
      <c r="U11" t="s">
        <v>400</v>
      </c>
    </row>
    <row r="12" spans="1:21">
      <c r="A12" t="s">
        <v>58</v>
      </c>
      <c r="B12" t="s">
        <v>427</v>
      </c>
      <c r="C12" s="9" t="s">
        <v>221</v>
      </c>
      <c r="D12">
        <v>3</v>
      </c>
      <c r="E12">
        <v>3</v>
      </c>
      <c r="F12" s="22">
        <v>0.4</v>
      </c>
      <c r="G12">
        <v>1</v>
      </c>
      <c r="H12" s="31">
        <v>1</v>
      </c>
      <c r="I12" s="22">
        <v>3.7</v>
      </c>
      <c r="J12">
        <v>1008</v>
      </c>
      <c r="K12" t="s">
        <v>428</v>
      </c>
      <c r="L12" t="s">
        <v>429</v>
      </c>
      <c r="M12" s="10">
        <v>42.16</v>
      </c>
      <c r="N12">
        <f t="shared" ca="1" si="0"/>
        <v>0</v>
      </c>
      <c r="O12">
        <f t="shared" ca="1" si="1"/>
        <v>1</v>
      </c>
      <c r="P12" t="s">
        <v>3</v>
      </c>
      <c r="Q12" t="s">
        <v>430</v>
      </c>
      <c r="R12" s="32">
        <v>-1E-4</v>
      </c>
      <c r="S12" t="s">
        <v>399</v>
      </c>
      <c r="T12" s="22">
        <v>0.4</v>
      </c>
      <c r="U12" t="s">
        <v>431</v>
      </c>
    </row>
    <row r="13" spans="1:21">
      <c r="A13" t="s">
        <v>58</v>
      </c>
      <c r="B13" t="s">
        <v>432</v>
      </c>
      <c r="C13" s="9" t="s">
        <v>432</v>
      </c>
      <c r="D13">
        <v>2</v>
      </c>
      <c r="E13">
        <v>2</v>
      </c>
      <c r="F13" s="22">
        <v>0.2</v>
      </c>
      <c r="G13">
        <v>1</v>
      </c>
      <c r="H13" s="31">
        <v>1</v>
      </c>
      <c r="I13" s="22">
        <v>3</v>
      </c>
      <c r="J13">
        <v>1008</v>
      </c>
      <c r="K13" t="s">
        <v>433</v>
      </c>
      <c r="L13" t="s">
        <v>434</v>
      </c>
      <c r="M13" s="10">
        <v>37.64</v>
      </c>
      <c r="N13">
        <f t="shared" ca="1" si="0"/>
        <v>0</v>
      </c>
      <c r="O13">
        <f t="shared" ca="1" si="1"/>
        <v>0</v>
      </c>
      <c r="P13" t="s">
        <v>3</v>
      </c>
      <c r="U13" t="s">
        <v>400</v>
      </c>
    </row>
    <row r="14" spans="1:21">
      <c r="A14" t="s">
        <v>58</v>
      </c>
      <c r="B14" t="s">
        <v>435</v>
      </c>
      <c r="C14" s="9" t="s">
        <v>435</v>
      </c>
      <c r="D14">
        <v>2</v>
      </c>
      <c r="E14">
        <v>2</v>
      </c>
      <c r="F14" s="22">
        <v>0.2</v>
      </c>
      <c r="G14">
        <v>1</v>
      </c>
      <c r="H14" s="31">
        <v>1</v>
      </c>
      <c r="I14" s="22">
        <v>4.5</v>
      </c>
      <c r="J14">
        <v>1008</v>
      </c>
      <c r="K14" t="s">
        <v>436</v>
      </c>
      <c r="L14" t="s">
        <v>437</v>
      </c>
      <c r="M14" s="10">
        <v>37.799999999999997</v>
      </c>
      <c r="N14">
        <f t="shared" ca="1" si="0"/>
        <v>0</v>
      </c>
      <c r="O14">
        <f t="shared" ca="1" si="1"/>
        <v>0</v>
      </c>
      <c r="P14" t="s">
        <v>3</v>
      </c>
      <c r="U14" t="s">
        <v>400</v>
      </c>
    </row>
    <row r="15" spans="1:21">
      <c r="A15" t="s">
        <v>58</v>
      </c>
      <c r="B15" t="s">
        <v>438</v>
      </c>
      <c r="C15" s="9" t="s">
        <v>439</v>
      </c>
      <c r="D15">
        <v>1</v>
      </c>
      <c r="E15">
        <v>1</v>
      </c>
      <c r="F15" s="22">
        <v>0.1</v>
      </c>
      <c r="G15">
        <v>1</v>
      </c>
      <c r="H15" s="31">
        <v>1</v>
      </c>
      <c r="I15" s="22">
        <v>4</v>
      </c>
      <c r="J15">
        <v>1008</v>
      </c>
      <c r="K15" t="s">
        <v>440</v>
      </c>
      <c r="L15" t="s">
        <v>441</v>
      </c>
      <c r="M15" s="10">
        <v>41.14</v>
      </c>
      <c r="N15">
        <f t="shared" ca="1" si="0"/>
        <v>0</v>
      </c>
      <c r="O15">
        <f t="shared" ca="1" si="1"/>
        <v>0</v>
      </c>
      <c r="P15" t="s">
        <v>3</v>
      </c>
      <c r="Q15" t="s">
        <v>442</v>
      </c>
      <c r="R15" s="32">
        <v>-1.8E-3</v>
      </c>
      <c r="S15" t="s">
        <v>443</v>
      </c>
      <c r="T15" s="22">
        <v>0.3</v>
      </c>
      <c r="U15" t="s">
        <v>400</v>
      </c>
    </row>
    <row r="16" spans="1:21">
      <c r="A16" t="s">
        <v>59</v>
      </c>
      <c r="B16" t="s">
        <v>444</v>
      </c>
      <c r="C16" s="9" t="s">
        <v>444</v>
      </c>
      <c r="D16">
        <v>25</v>
      </c>
      <c r="E16">
        <v>8</v>
      </c>
      <c r="F16" s="22">
        <v>3.1</v>
      </c>
      <c r="G16">
        <v>7</v>
      </c>
      <c r="H16" s="31">
        <v>5.5</v>
      </c>
      <c r="I16" s="22">
        <v>3.4</v>
      </c>
      <c r="J16">
        <v>980</v>
      </c>
      <c r="K16" t="s">
        <v>445</v>
      </c>
      <c r="L16" t="s">
        <v>446</v>
      </c>
      <c r="N16">
        <f t="shared" ca="1" si="0"/>
        <v>0</v>
      </c>
      <c r="O16">
        <f t="shared" ca="1" si="1"/>
        <v>0</v>
      </c>
      <c r="P16" t="s">
        <v>447</v>
      </c>
      <c r="Q16" t="s">
        <v>448</v>
      </c>
      <c r="R16" s="32">
        <v>-1E-3</v>
      </c>
      <c r="S16" t="s">
        <v>449</v>
      </c>
      <c r="T16" s="22">
        <v>2</v>
      </c>
      <c r="U16" t="s">
        <v>450</v>
      </c>
    </row>
    <row r="17" spans="1:21">
      <c r="A17" t="s">
        <v>59</v>
      </c>
      <c r="B17" t="s">
        <v>190</v>
      </c>
      <c r="C17" s="9" t="s">
        <v>190</v>
      </c>
      <c r="D17">
        <v>12</v>
      </c>
      <c r="E17">
        <v>7</v>
      </c>
      <c r="F17" s="22">
        <v>1.5</v>
      </c>
      <c r="G17">
        <v>2</v>
      </c>
      <c r="H17" s="31">
        <v>2</v>
      </c>
      <c r="I17" s="22">
        <v>3.3</v>
      </c>
      <c r="J17">
        <v>980</v>
      </c>
      <c r="K17" t="s">
        <v>451</v>
      </c>
      <c r="L17" t="s">
        <v>452</v>
      </c>
      <c r="N17">
        <f t="shared" ca="1" si="0"/>
        <v>2</v>
      </c>
      <c r="O17">
        <f t="shared" ca="1" si="1"/>
        <v>1</v>
      </c>
      <c r="P17" t="s">
        <v>447</v>
      </c>
      <c r="Q17" t="s">
        <v>442</v>
      </c>
      <c r="R17" s="32">
        <v>-3.8999999999999998E-3</v>
      </c>
      <c r="S17" t="s">
        <v>449</v>
      </c>
      <c r="T17" s="22">
        <v>1.8</v>
      </c>
      <c r="U17" t="s">
        <v>453</v>
      </c>
    </row>
    <row r="18" spans="1:21">
      <c r="A18" t="s">
        <v>59</v>
      </c>
      <c r="B18" t="s">
        <v>203</v>
      </c>
      <c r="C18" s="9" t="s">
        <v>203</v>
      </c>
      <c r="D18">
        <v>12</v>
      </c>
      <c r="E18">
        <v>7</v>
      </c>
      <c r="F18" s="22">
        <v>1.5</v>
      </c>
      <c r="G18">
        <v>3</v>
      </c>
      <c r="H18" s="31">
        <v>2.5</v>
      </c>
      <c r="I18" s="22">
        <v>3.6</v>
      </c>
      <c r="J18">
        <v>980</v>
      </c>
      <c r="K18" t="s">
        <v>454</v>
      </c>
      <c r="L18" t="s">
        <v>455</v>
      </c>
      <c r="N18">
        <f t="shared" ca="1" si="0"/>
        <v>1</v>
      </c>
      <c r="O18">
        <f t="shared" ca="1" si="1"/>
        <v>2</v>
      </c>
      <c r="P18" t="s">
        <v>447</v>
      </c>
      <c r="Q18" t="s">
        <v>456</v>
      </c>
      <c r="R18" s="32">
        <v>1E-4</v>
      </c>
      <c r="S18" t="s">
        <v>457</v>
      </c>
      <c r="T18" s="22">
        <v>0.6</v>
      </c>
      <c r="U18" t="s">
        <v>400</v>
      </c>
    </row>
    <row r="19" spans="1:21">
      <c r="A19" t="s">
        <v>59</v>
      </c>
      <c r="B19" t="s">
        <v>201</v>
      </c>
      <c r="C19" s="9" t="s">
        <v>201</v>
      </c>
      <c r="D19">
        <v>3</v>
      </c>
      <c r="E19">
        <v>2</v>
      </c>
      <c r="F19" s="22">
        <v>0.4</v>
      </c>
      <c r="G19">
        <v>2</v>
      </c>
      <c r="H19" s="31">
        <v>1.5</v>
      </c>
      <c r="I19" s="22">
        <v>3</v>
      </c>
      <c r="J19">
        <v>980</v>
      </c>
      <c r="K19" t="s">
        <v>458</v>
      </c>
      <c r="L19" t="s">
        <v>459</v>
      </c>
      <c r="N19">
        <f t="shared" ca="1" si="0"/>
        <v>2</v>
      </c>
      <c r="O19">
        <f t="shared" ca="1" si="1"/>
        <v>2</v>
      </c>
      <c r="P19" t="s">
        <v>447</v>
      </c>
      <c r="Q19" t="s">
        <v>460</v>
      </c>
      <c r="R19" s="32">
        <v>-1.5E-3</v>
      </c>
      <c r="S19" t="s">
        <v>461</v>
      </c>
      <c r="T19" s="22">
        <v>0.5</v>
      </c>
      <c r="U19" t="s">
        <v>462</v>
      </c>
    </row>
    <row r="20" spans="1:21">
      <c r="A20" t="s">
        <v>60</v>
      </c>
      <c r="B20" t="s">
        <v>463</v>
      </c>
      <c r="C20" s="9" t="s">
        <v>194</v>
      </c>
      <c r="D20">
        <v>5</v>
      </c>
      <c r="E20">
        <v>4</v>
      </c>
      <c r="F20" s="22">
        <v>0.6</v>
      </c>
      <c r="G20">
        <v>2</v>
      </c>
      <c r="H20" s="31">
        <v>1.5</v>
      </c>
      <c r="I20" s="22">
        <v>8.1999999999999993</v>
      </c>
      <c r="J20">
        <v>1050</v>
      </c>
      <c r="K20" t="s">
        <v>464</v>
      </c>
      <c r="L20" t="s">
        <v>465</v>
      </c>
      <c r="N20">
        <f t="shared" ca="1" si="0"/>
        <v>1</v>
      </c>
      <c r="O20">
        <f t="shared" ca="1" si="1"/>
        <v>0</v>
      </c>
      <c r="P20" t="s">
        <v>466</v>
      </c>
      <c r="Q20" t="s">
        <v>3</v>
      </c>
      <c r="S20" t="s">
        <v>3</v>
      </c>
      <c r="U20" t="s">
        <v>467</v>
      </c>
    </row>
    <row r="21" spans="1:21">
      <c r="A21" t="s">
        <v>60</v>
      </c>
      <c r="B21" t="s">
        <v>468</v>
      </c>
      <c r="C21" s="9" t="s">
        <v>194</v>
      </c>
      <c r="D21">
        <v>3</v>
      </c>
      <c r="E21">
        <v>3</v>
      </c>
      <c r="F21" s="22">
        <v>0.4</v>
      </c>
      <c r="G21">
        <v>1</v>
      </c>
      <c r="H21" s="31">
        <v>1</v>
      </c>
      <c r="I21" s="22">
        <v>8.6999999999999993</v>
      </c>
      <c r="J21">
        <v>1050</v>
      </c>
      <c r="K21" t="s">
        <v>469</v>
      </c>
      <c r="L21" t="s">
        <v>470</v>
      </c>
      <c r="N21">
        <f t="shared" ca="1" si="0"/>
        <v>1</v>
      </c>
      <c r="O21">
        <f t="shared" ca="1" si="1"/>
        <v>0</v>
      </c>
      <c r="P21" t="s">
        <v>466</v>
      </c>
      <c r="Q21" t="s">
        <v>3</v>
      </c>
      <c r="S21" t="s">
        <v>3</v>
      </c>
      <c r="U21" t="s">
        <v>194</v>
      </c>
    </row>
    <row r="22" spans="1:21">
      <c r="A22" t="s">
        <v>60</v>
      </c>
      <c r="B22" t="s">
        <v>194</v>
      </c>
      <c r="C22" s="9" t="s">
        <v>194</v>
      </c>
      <c r="D22">
        <v>1</v>
      </c>
      <c r="E22">
        <v>1</v>
      </c>
      <c r="F22" s="22">
        <v>0.1</v>
      </c>
      <c r="G22">
        <v>1</v>
      </c>
      <c r="H22" s="31">
        <v>1</v>
      </c>
      <c r="J22">
        <v>1050</v>
      </c>
      <c r="K22" t="s">
        <v>3</v>
      </c>
      <c r="L22" t="s">
        <v>441</v>
      </c>
      <c r="N22">
        <f t="shared" ca="1" si="0"/>
        <v>1</v>
      </c>
      <c r="O22">
        <f t="shared" ca="1" si="1"/>
        <v>0</v>
      </c>
      <c r="P22" t="s">
        <v>466</v>
      </c>
      <c r="Q22" t="s">
        <v>3</v>
      </c>
      <c r="S22" t="s">
        <v>3</v>
      </c>
      <c r="U22" t="s">
        <v>471</v>
      </c>
    </row>
    <row r="23" spans="1:21">
      <c r="A23" s="33" t="s">
        <v>58</v>
      </c>
      <c r="B23" s="33" t="s">
        <v>472</v>
      </c>
      <c r="C23" s="34" t="s">
        <v>472</v>
      </c>
      <c r="D23" s="33">
        <v>0</v>
      </c>
      <c r="E23" s="33">
        <v>0</v>
      </c>
      <c r="F23" s="33"/>
      <c r="G23" s="33"/>
      <c r="H23" s="34"/>
      <c r="I23" s="33"/>
      <c r="J23" s="33">
        <v>982</v>
      </c>
      <c r="K23" s="33" t="s">
        <v>198</v>
      </c>
      <c r="L23" s="33"/>
      <c r="M23" s="35">
        <v>45.03</v>
      </c>
      <c r="N23" s="33">
        <f t="shared" ca="1" si="0"/>
        <v>0</v>
      </c>
      <c r="O23" s="33">
        <f t="shared" ca="1" si="1"/>
        <v>0</v>
      </c>
      <c r="P23" s="33" t="s">
        <v>473</v>
      </c>
      <c r="Q23" s="33" t="s">
        <v>474</v>
      </c>
      <c r="R23" s="36">
        <v>1.1000000000000001E-3</v>
      </c>
      <c r="S23" s="33" t="s">
        <v>475</v>
      </c>
      <c r="T23" s="33"/>
      <c r="U23" s="33" t="s">
        <v>476</v>
      </c>
    </row>
    <row r="24" spans="1:21">
      <c r="A24" s="33" t="s">
        <v>58</v>
      </c>
      <c r="B24" s="33" t="s">
        <v>477</v>
      </c>
      <c r="C24" s="34" t="s">
        <v>478</v>
      </c>
      <c r="D24" s="33">
        <v>0</v>
      </c>
      <c r="E24" s="33">
        <v>0</v>
      </c>
      <c r="F24" s="33"/>
      <c r="G24" s="33"/>
      <c r="H24" s="34"/>
      <c r="I24" s="33"/>
      <c r="J24" s="33">
        <v>976</v>
      </c>
      <c r="K24" s="33" t="s">
        <v>198</v>
      </c>
      <c r="L24" s="33"/>
      <c r="M24" s="35">
        <v>40.58</v>
      </c>
      <c r="N24" s="33">
        <f t="shared" ca="1" si="0"/>
        <v>0</v>
      </c>
      <c r="O24" s="33">
        <f t="shared" ca="1" si="1"/>
        <v>0</v>
      </c>
      <c r="P24" s="33" t="s">
        <v>473</v>
      </c>
      <c r="Q24" s="33" t="s">
        <v>479</v>
      </c>
      <c r="R24" s="36">
        <v>-8.0000000000000004E-4</v>
      </c>
      <c r="S24" s="33" t="s">
        <v>480</v>
      </c>
      <c r="T24" s="33"/>
      <c r="U24" s="33" t="s">
        <v>481</v>
      </c>
    </row>
    <row r="25" spans="1:21">
      <c r="A25" s="33" t="s">
        <v>58</v>
      </c>
      <c r="B25" s="33" t="s">
        <v>482</v>
      </c>
      <c r="C25" s="34" t="s">
        <v>483</v>
      </c>
      <c r="D25" s="33">
        <v>0</v>
      </c>
      <c r="E25" s="33">
        <v>0</v>
      </c>
      <c r="F25" s="33"/>
      <c r="G25" s="33"/>
      <c r="H25" s="34"/>
      <c r="I25" s="33"/>
      <c r="J25" s="33">
        <v>1008</v>
      </c>
      <c r="K25" s="33" t="s">
        <v>206</v>
      </c>
      <c r="L25" s="33"/>
      <c r="M25" s="35">
        <v>39.24</v>
      </c>
      <c r="N25" s="33">
        <f t="shared" ca="1" si="0"/>
        <v>0</v>
      </c>
      <c r="O25" s="33">
        <f t="shared" ca="1" si="1"/>
        <v>0</v>
      </c>
      <c r="P25" s="33" t="s">
        <v>473</v>
      </c>
      <c r="Q25" s="33" t="s">
        <v>484</v>
      </c>
      <c r="R25" s="36">
        <v>0</v>
      </c>
      <c r="S25" s="33" t="s">
        <v>485</v>
      </c>
      <c r="T25" s="33"/>
      <c r="U25" s="33" t="s">
        <v>486</v>
      </c>
    </row>
    <row r="26" spans="1:21">
      <c r="A26" s="33" t="s">
        <v>58</v>
      </c>
      <c r="B26" s="33" t="s">
        <v>487</v>
      </c>
      <c r="C26" s="34" t="s">
        <v>487</v>
      </c>
      <c r="D26" s="33">
        <v>0</v>
      </c>
      <c r="E26" s="33">
        <v>0</v>
      </c>
      <c r="F26" s="33"/>
      <c r="G26" s="33"/>
      <c r="H26" s="34"/>
      <c r="I26" s="33"/>
      <c r="J26" s="33">
        <v>996</v>
      </c>
      <c r="K26" s="33" t="s">
        <v>198</v>
      </c>
      <c r="L26" s="33"/>
      <c r="M26" s="33"/>
      <c r="N26" s="33">
        <f t="shared" ca="1" si="0"/>
        <v>0</v>
      </c>
      <c r="O26" s="33">
        <f t="shared" ca="1" si="1"/>
        <v>0</v>
      </c>
      <c r="P26" s="33" t="s">
        <v>473</v>
      </c>
      <c r="Q26" s="33" t="s">
        <v>488</v>
      </c>
      <c r="R26" s="36">
        <v>4.0000000000000002E-4</v>
      </c>
      <c r="S26" s="33" t="s">
        <v>489</v>
      </c>
      <c r="T26" s="33"/>
      <c r="U26" s="33" t="s">
        <v>490</v>
      </c>
    </row>
    <row r="27" spans="1:21">
      <c r="A27" s="33" t="s">
        <v>59</v>
      </c>
      <c r="B27" s="33" t="s">
        <v>491</v>
      </c>
      <c r="C27" s="34" t="s">
        <v>492</v>
      </c>
      <c r="D27" s="33">
        <v>0</v>
      </c>
      <c r="E27" s="33">
        <v>0</v>
      </c>
      <c r="F27" s="33"/>
      <c r="G27" s="33"/>
      <c r="H27" s="34"/>
      <c r="I27" s="33"/>
      <c r="J27" s="33">
        <v>972</v>
      </c>
      <c r="K27" s="33" t="s">
        <v>493</v>
      </c>
      <c r="L27" s="33"/>
      <c r="M27" s="33"/>
      <c r="N27" s="33">
        <f t="shared" ca="1" si="0"/>
        <v>0</v>
      </c>
      <c r="O27" s="33">
        <f t="shared" ca="1" si="1"/>
        <v>0</v>
      </c>
      <c r="P27" s="33" t="s">
        <v>473</v>
      </c>
      <c r="Q27" s="33" t="s">
        <v>494</v>
      </c>
      <c r="R27" s="36">
        <v>5.9999999999999995E-4</v>
      </c>
      <c r="S27" s="33" t="s">
        <v>495</v>
      </c>
      <c r="T27" s="33"/>
      <c r="U27" s="33" t="s">
        <v>496</v>
      </c>
    </row>
    <row r="28" spans="1:21">
      <c r="A28" s="33" t="s">
        <v>59</v>
      </c>
      <c r="B28" s="33" t="s">
        <v>497</v>
      </c>
      <c r="C28" s="34" t="s">
        <v>498</v>
      </c>
      <c r="D28" s="33">
        <v>0</v>
      </c>
      <c r="E28" s="33">
        <v>0</v>
      </c>
      <c r="F28" s="33"/>
      <c r="G28" s="33"/>
      <c r="H28" s="34"/>
      <c r="I28" s="33"/>
      <c r="J28" s="33">
        <v>936</v>
      </c>
      <c r="K28" s="33" t="s">
        <v>3</v>
      </c>
      <c r="L28" s="33"/>
      <c r="M28" s="33"/>
      <c r="N28" s="33">
        <f t="shared" ca="1" si="0"/>
        <v>0</v>
      </c>
      <c r="O28" s="33">
        <f t="shared" ca="1" si="1"/>
        <v>0</v>
      </c>
      <c r="P28" s="33" t="s">
        <v>473</v>
      </c>
      <c r="Q28" s="33" t="s">
        <v>499</v>
      </c>
      <c r="R28" s="36">
        <v>-1.4E-3</v>
      </c>
      <c r="S28" s="33" t="s">
        <v>500</v>
      </c>
      <c r="T28" s="33"/>
      <c r="U28" s="33" t="s">
        <v>501</v>
      </c>
    </row>
    <row r="29" spans="1:21">
      <c r="A29" s="33" t="s">
        <v>59</v>
      </c>
      <c r="B29" s="33" t="s">
        <v>502</v>
      </c>
      <c r="C29" s="34" t="s">
        <v>502</v>
      </c>
      <c r="D29" s="33">
        <v>0</v>
      </c>
      <c r="E29" s="33">
        <v>0</v>
      </c>
      <c r="F29" s="33"/>
      <c r="G29" s="33"/>
      <c r="H29" s="34"/>
      <c r="I29" s="33"/>
      <c r="J29" s="33">
        <v>980</v>
      </c>
      <c r="K29" s="33" t="s">
        <v>3</v>
      </c>
      <c r="L29" s="33"/>
      <c r="M29" s="33"/>
      <c r="N29" s="33">
        <f t="shared" ca="1" si="0"/>
        <v>0</v>
      </c>
      <c r="O29" s="33">
        <f t="shared" ca="1" si="1"/>
        <v>0</v>
      </c>
      <c r="P29" s="33" t="s">
        <v>473</v>
      </c>
      <c r="Q29" s="33" t="s">
        <v>503</v>
      </c>
      <c r="R29" s="36">
        <v>-1E-3</v>
      </c>
      <c r="S29" s="33" t="s">
        <v>504</v>
      </c>
      <c r="T29" s="33"/>
      <c r="U29" s="33" t="s">
        <v>505</v>
      </c>
    </row>
    <row r="31" spans="1:21" ht="48.95" customHeight="1">
      <c r="A31" s="44" t="s">
        <v>506</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560</v>
      </c>
    </row>
    <row r="2" spans="1:6">
      <c r="A2" s="2" t="s">
        <v>561</v>
      </c>
    </row>
    <row r="4" spans="1:6" ht="30">
      <c r="A4" s="11" t="s">
        <v>562</v>
      </c>
      <c r="B4" s="11" t="s">
        <v>563</v>
      </c>
      <c r="C4" s="11" t="s">
        <v>564</v>
      </c>
      <c r="D4" s="11" t="s">
        <v>565</v>
      </c>
      <c r="E4" s="11" t="s">
        <v>566</v>
      </c>
      <c r="F4" s="11" t="s">
        <v>567</v>
      </c>
    </row>
    <row r="5" spans="1:6">
      <c r="A5" t="s">
        <v>568</v>
      </c>
      <c r="B5" s="3" t="s">
        <v>569</v>
      </c>
      <c r="C5" s="18">
        <v>0.18</v>
      </c>
      <c r="D5" s="10">
        <v>6.42</v>
      </c>
      <c r="E5" s="7">
        <v>8600</v>
      </c>
      <c r="F5" t="s">
        <v>570</v>
      </c>
    </row>
    <row r="6" spans="1:6">
      <c r="A6" t="s">
        <v>571</v>
      </c>
      <c r="B6" s="3" t="s">
        <v>572</v>
      </c>
      <c r="C6" s="18">
        <v>9.5000000000000001E-2</v>
      </c>
      <c r="D6" s="10">
        <v>3.15</v>
      </c>
      <c r="E6" s="7">
        <v>4200</v>
      </c>
      <c r="F6" t="s">
        <v>573</v>
      </c>
    </row>
    <row r="7" spans="1:6">
      <c r="A7" t="s">
        <v>574</v>
      </c>
      <c r="B7" t="s">
        <v>3</v>
      </c>
      <c r="C7" s="18">
        <v>6.9000000000000006E-2</v>
      </c>
      <c r="D7" s="10">
        <v>2.97</v>
      </c>
      <c r="E7" s="7">
        <v>4000</v>
      </c>
      <c r="F7" t="s">
        <v>3</v>
      </c>
    </row>
    <row r="8" spans="1:6">
      <c r="A8" t="s">
        <v>575</v>
      </c>
      <c r="B8" t="s">
        <v>3</v>
      </c>
      <c r="C8" s="18">
        <v>6.3E-2</v>
      </c>
      <c r="D8" s="10">
        <v>2.19</v>
      </c>
      <c r="E8" s="7">
        <v>2900</v>
      </c>
      <c r="F8" t="s">
        <v>3</v>
      </c>
    </row>
    <row r="9" spans="1:6">
      <c r="A9" t="s">
        <v>576</v>
      </c>
      <c r="B9" t="s">
        <v>3</v>
      </c>
      <c r="C9" s="18">
        <v>5.1999999999999998E-2</v>
      </c>
      <c r="D9" s="10">
        <v>1.86</v>
      </c>
      <c r="E9" s="7">
        <v>2500</v>
      </c>
      <c r="F9" t="s">
        <v>3</v>
      </c>
    </row>
    <row r="10" spans="1:6">
      <c r="A10" t="s">
        <v>577</v>
      </c>
      <c r="B10" t="s">
        <v>3</v>
      </c>
      <c r="C10" s="18">
        <v>4.7E-2</v>
      </c>
      <c r="D10" s="10">
        <v>1.68</v>
      </c>
      <c r="E10" s="7">
        <v>2250</v>
      </c>
      <c r="F10" t="s">
        <v>578</v>
      </c>
    </row>
    <row r="11" spans="1:6">
      <c r="A11" t="s">
        <v>579</v>
      </c>
      <c r="B11" s="3" t="s">
        <v>580</v>
      </c>
      <c r="C11" s="18">
        <v>4.2000000000000003E-2</v>
      </c>
      <c r="D11" s="10">
        <v>1.57</v>
      </c>
      <c r="E11" s="7">
        <v>2100</v>
      </c>
      <c r="F11" t="s">
        <v>581</v>
      </c>
    </row>
    <row r="12" spans="1:6">
      <c r="A12" t="s">
        <v>582</v>
      </c>
      <c r="B12" s="3" t="s">
        <v>569</v>
      </c>
      <c r="C12" s="18">
        <v>0.04</v>
      </c>
      <c r="D12" s="10">
        <v>1.31</v>
      </c>
      <c r="E12" s="7">
        <v>1750</v>
      </c>
      <c r="F12" t="s">
        <v>583</v>
      </c>
    </row>
    <row r="13" spans="1:6">
      <c r="A13" t="s">
        <v>584</v>
      </c>
      <c r="B13" t="s">
        <v>3</v>
      </c>
      <c r="C13" s="18">
        <v>3.6999999999999998E-2</v>
      </c>
      <c r="D13" s="10">
        <v>1.57</v>
      </c>
      <c r="E13" s="7">
        <v>2100</v>
      </c>
      <c r="F13" t="s">
        <v>3</v>
      </c>
    </row>
    <row r="14" spans="1:6">
      <c r="A14" t="s">
        <v>585</v>
      </c>
      <c r="B14" t="s">
        <v>3</v>
      </c>
      <c r="C14" s="18">
        <v>3.5000000000000003E-2</v>
      </c>
      <c r="D14" s="10">
        <v>1.24</v>
      </c>
      <c r="E14" s="7">
        <v>1660</v>
      </c>
      <c r="F14" t="s">
        <v>3</v>
      </c>
    </row>
    <row r="15" spans="1:6">
      <c r="A15" t="s">
        <v>586</v>
      </c>
      <c r="B15" t="s">
        <v>3</v>
      </c>
      <c r="C15" s="18">
        <v>3.4000000000000002E-2</v>
      </c>
      <c r="D15" s="10">
        <v>1.29</v>
      </c>
      <c r="E15" s="7">
        <v>1720</v>
      </c>
      <c r="F15" t="s">
        <v>3</v>
      </c>
    </row>
    <row r="16" spans="1:6">
      <c r="A16" t="s">
        <v>587</v>
      </c>
      <c r="B16" t="s">
        <v>3</v>
      </c>
      <c r="C16" s="18">
        <v>3.1E-2</v>
      </c>
      <c r="D16" s="10">
        <v>1.26</v>
      </c>
      <c r="E16" s="7">
        <v>1680</v>
      </c>
      <c r="F16" t="s">
        <v>3</v>
      </c>
    </row>
    <row r="17" spans="1:6">
      <c r="A17" t="s">
        <v>588</v>
      </c>
      <c r="B17" t="s">
        <v>3</v>
      </c>
      <c r="C17" s="18">
        <v>0.03</v>
      </c>
      <c r="D17" s="10">
        <v>1.34</v>
      </c>
      <c r="E17" s="7">
        <v>1790</v>
      </c>
      <c r="F17" t="s">
        <v>3</v>
      </c>
    </row>
    <row r="18" spans="1:6">
      <c r="A18" t="s">
        <v>589</v>
      </c>
      <c r="B18" s="3" t="s">
        <v>580</v>
      </c>
      <c r="C18" s="18">
        <v>2.9000000000000001E-2</v>
      </c>
      <c r="F18" t="s">
        <v>590</v>
      </c>
    </row>
    <row r="19" spans="1:6">
      <c r="A19" t="s">
        <v>591</v>
      </c>
      <c r="B19" s="3" t="s">
        <v>572</v>
      </c>
      <c r="C19" s="18">
        <v>2.5999999999999999E-2</v>
      </c>
      <c r="F19" t="s">
        <v>3</v>
      </c>
    </row>
    <row r="20" spans="1:6">
      <c r="A20" t="s">
        <v>592</v>
      </c>
      <c r="B20" t="s">
        <v>3</v>
      </c>
      <c r="C20" s="18">
        <v>2.4E-2</v>
      </c>
      <c r="F20" t="s">
        <v>593</v>
      </c>
    </row>
    <row r="21" spans="1:6">
      <c r="A21" t="s">
        <v>594</v>
      </c>
      <c r="B21" t="s">
        <v>3</v>
      </c>
      <c r="C21" s="18">
        <v>2.3E-2</v>
      </c>
      <c r="F21" t="s">
        <v>3</v>
      </c>
    </row>
    <row r="22" spans="1:6">
      <c r="A22" t="s">
        <v>595</v>
      </c>
      <c r="B22" t="s">
        <v>3</v>
      </c>
      <c r="C22" s="18">
        <v>2.1000000000000001E-2</v>
      </c>
      <c r="F22" t="s">
        <v>3</v>
      </c>
    </row>
    <row r="23" spans="1:6">
      <c r="A23" t="s">
        <v>596</v>
      </c>
      <c r="B23" t="s">
        <v>3</v>
      </c>
      <c r="C23" s="18">
        <v>1.7999999999999999E-2</v>
      </c>
      <c r="F23" t="s">
        <v>3</v>
      </c>
    </row>
    <row r="24" spans="1:6">
      <c r="A24" t="s">
        <v>597</v>
      </c>
      <c r="B24" t="s">
        <v>3</v>
      </c>
      <c r="C24" s="18">
        <v>8.9999999999999993E-3</v>
      </c>
      <c r="D24" s="10">
        <v>0.71</v>
      </c>
      <c r="E24" s="7">
        <v>940</v>
      </c>
      <c r="F24" t="s">
        <v>598</v>
      </c>
    </row>
    <row r="26" spans="1:6" ht="45">
      <c r="A26" s="11" t="s">
        <v>599</v>
      </c>
      <c r="B26" s="11" t="s">
        <v>600</v>
      </c>
      <c r="C26" s="11" t="s">
        <v>564</v>
      </c>
      <c r="D26" s="11" t="s">
        <v>566</v>
      </c>
      <c r="E26" s="11" t="s">
        <v>61</v>
      </c>
    </row>
    <row r="27" spans="1:6">
      <c r="A27" s="3" t="s">
        <v>569</v>
      </c>
      <c r="B27" t="s">
        <v>601</v>
      </c>
      <c r="C27" s="18">
        <v>0.22</v>
      </c>
      <c r="D27" s="7">
        <v>10350</v>
      </c>
      <c r="E27" t="s">
        <v>602</v>
      </c>
    </row>
    <row r="28" spans="1:6">
      <c r="A28" s="3" t="s">
        <v>572</v>
      </c>
      <c r="B28" t="s">
        <v>603</v>
      </c>
      <c r="C28" s="18">
        <v>0.121</v>
      </c>
      <c r="D28" s="7">
        <v>4200</v>
      </c>
      <c r="E28" t="s">
        <v>604</v>
      </c>
    </row>
    <row r="29" spans="1:6">
      <c r="A29" s="3" t="s">
        <v>580</v>
      </c>
      <c r="B29" t="s">
        <v>605</v>
      </c>
      <c r="C29" s="18">
        <v>7.0999999999999994E-2</v>
      </c>
      <c r="D29" s="7">
        <v>2100</v>
      </c>
      <c r="E29" t="s">
        <v>606</v>
      </c>
    </row>
    <row r="30" spans="1:6">
      <c r="A30" t="s">
        <v>574</v>
      </c>
      <c r="B30" t="s">
        <v>574</v>
      </c>
      <c r="C30" s="18">
        <v>6.9000000000000006E-2</v>
      </c>
      <c r="D30" s="7">
        <v>4000</v>
      </c>
      <c r="E30" t="s">
        <v>3</v>
      </c>
    </row>
    <row r="31" spans="1:6">
      <c r="A31" t="s">
        <v>575</v>
      </c>
      <c r="B31" t="s">
        <v>575</v>
      </c>
      <c r="C31" s="18">
        <v>6.3E-2</v>
      </c>
      <c r="D31" s="7">
        <v>2900</v>
      </c>
      <c r="E31" t="s">
        <v>3</v>
      </c>
    </row>
    <row r="32" spans="1:6">
      <c r="A32" t="s">
        <v>576</v>
      </c>
      <c r="B32" t="s">
        <v>576</v>
      </c>
      <c r="C32" s="18">
        <v>5.1999999999999998E-2</v>
      </c>
      <c r="D32" s="7">
        <v>2500</v>
      </c>
      <c r="E32" t="s">
        <v>3</v>
      </c>
    </row>
    <row r="33" spans="1:12">
      <c r="A33" t="s">
        <v>577</v>
      </c>
      <c r="B33" t="s">
        <v>577</v>
      </c>
      <c r="C33" s="18">
        <v>4.7E-2</v>
      </c>
      <c r="D33" s="7">
        <v>2250</v>
      </c>
      <c r="E33" t="s">
        <v>3</v>
      </c>
    </row>
    <row r="34" spans="1:12">
      <c r="A34" t="s">
        <v>584</v>
      </c>
      <c r="B34" t="s">
        <v>584</v>
      </c>
      <c r="C34" s="18">
        <v>3.6999999999999998E-2</v>
      </c>
      <c r="D34" s="7">
        <v>2100</v>
      </c>
      <c r="E34" t="s">
        <v>3</v>
      </c>
    </row>
    <row r="35" spans="1:12">
      <c r="A35" t="s">
        <v>585</v>
      </c>
      <c r="B35" t="s">
        <v>585</v>
      </c>
      <c r="C35" s="18">
        <v>3.5000000000000003E-2</v>
      </c>
      <c r="D35" s="7">
        <v>1660</v>
      </c>
      <c r="E35" t="s">
        <v>3</v>
      </c>
    </row>
    <row r="36" spans="1:12">
      <c r="A36" t="s">
        <v>586</v>
      </c>
      <c r="B36" t="s">
        <v>586</v>
      </c>
      <c r="C36" s="18">
        <v>3.4000000000000002E-2</v>
      </c>
      <c r="D36" s="7">
        <v>1720</v>
      </c>
      <c r="E36" t="s">
        <v>3</v>
      </c>
    </row>
    <row r="37" spans="1:12">
      <c r="A37" t="s">
        <v>587</v>
      </c>
      <c r="B37" t="s">
        <v>587</v>
      </c>
      <c r="C37" s="18">
        <v>3.1E-2</v>
      </c>
      <c r="D37" s="7">
        <v>1680</v>
      </c>
      <c r="E37" t="s">
        <v>3</v>
      </c>
    </row>
    <row r="38" spans="1:12">
      <c r="A38" t="s">
        <v>588</v>
      </c>
      <c r="B38" t="s">
        <v>588</v>
      </c>
      <c r="C38" s="18">
        <v>0.03</v>
      </c>
      <c r="D38" s="7">
        <v>1790</v>
      </c>
      <c r="E38" t="s">
        <v>3</v>
      </c>
    </row>
    <row r="39" spans="1:12">
      <c r="A39" t="s">
        <v>592</v>
      </c>
      <c r="B39" t="s">
        <v>592</v>
      </c>
      <c r="C39" s="18">
        <v>2.4E-2</v>
      </c>
      <c r="E39" t="s">
        <v>3</v>
      </c>
    </row>
    <row r="40" spans="1:12">
      <c r="A40" t="s">
        <v>594</v>
      </c>
      <c r="B40" t="s">
        <v>594</v>
      </c>
      <c r="C40" s="18">
        <v>2.3E-2</v>
      </c>
      <c r="E40" t="s">
        <v>3</v>
      </c>
    </row>
    <row r="41" spans="1:12">
      <c r="A41" t="s">
        <v>595</v>
      </c>
      <c r="B41" t="s">
        <v>595</v>
      </c>
      <c r="C41" s="18">
        <v>2.1000000000000001E-2</v>
      </c>
      <c r="E41" t="s">
        <v>3</v>
      </c>
    </row>
    <row r="42" spans="1:12">
      <c r="A42" t="s">
        <v>596</v>
      </c>
      <c r="B42" t="s">
        <v>596</v>
      </c>
      <c r="C42" s="18">
        <v>1.7999999999999999E-2</v>
      </c>
      <c r="E42" t="s">
        <v>3</v>
      </c>
    </row>
    <row r="43" spans="1:12">
      <c r="A43" t="s">
        <v>597</v>
      </c>
      <c r="B43" t="s">
        <v>597</v>
      </c>
      <c r="C43" s="18">
        <v>8.9999999999999993E-3</v>
      </c>
      <c r="D43" s="7">
        <v>940</v>
      </c>
      <c r="E43" t="s">
        <v>3</v>
      </c>
    </row>
    <row r="45" spans="1:12" ht="63.95" customHeight="1">
      <c r="A45" s="44" t="s">
        <v>607</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608</v>
      </c>
    </row>
    <row r="3" spans="1:2">
      <c r="A3" s="11" t="s">
        <v>609</v>
      </c>
      <c r="B3" s="11" t="s">
        <v>610</v>
      </c>
    </row>
    <row r="4" spans="1:2" ht="30">
      <c r="A4" s="3" t="s">
        <v>611</v>
      </c>
      <c r="B4" s="4" t="s">
        <v>612</v>
      </c>
    </row>
    <row r="5" spans="1:2">
      <c r="A5" s="3" t="s">
        <v>613</v>
      </c>
      <c r="B5" s="4" t="s">
        <v>614</v>
      </c>
    </row>
    <row r="6" spans="1:2" ht="30">
      <c r="A6" s="3" t="s">
        <v>615</v>
      </c>
      <c r="B6" s="4" t="s">
        <v>616</v>
      </c>
    </row>
    <row r="7" spans="1:2">
      <c r="A7" s="3" t="s">
        <v>617</v>
      </c>
      <c r="B7" s="4" t="s">
        <v>618</v>
      </c>
    </row>
    <row r="8" spans="1:2">
      <c r="A8" s="3" t="s">
        <v>619</v>
      </c>
      <c r="B8" s="4" t="s">
        <v>620</v>
      </c>
    </row>
    <row r="9" spans="1:2">
      <c r="A9" s="3" t="s">
        <v>621</v>
      </c>
      <c r="B9" s="4" t="s">
        <v>622</v>
      </c>
    </row>
    <row r="10" spans="1:2">
      <c r="A10" s="3" t="s">
        <v>623</v>
      </c>
      <c r="B10" s="4" t="s">
        <v>624</v>
      </c>
    </row>
    <row r="11" spans="1:2">
      <c r="A11" s="3" t="s">
        <v>625</v>
      </c>
      <c r="B11" s="4" t="s">
        <v>626</v>
      </c>
    </row>
    <row r="12" spans="1:2">
      <c r="A12" s="3" t="s">
        <v>226</v>
      </c>
      <c r="B12" s="4" t="s">
        <v>627</v>
      </c>
    </row>
    <row r="13" spans="1:2">
      <c r="A13" s="3" t="s">
        <v>628</v>
      </c>
      <c r="B13" s="4" t="s">
        <v>629</v>
      </c>
    </row>
    <row r="14" spans="1:2">
      <c r="A14" s="3" t="s">
        <v>630</v>
      </c>
      <c r="B14" s="4" t="s">
        <v>631</v>
      </c>
    </row>
    <row r="15" spans="1:2">
      <c r="A15" s="3" t="s">
        <v>632</v>
      </c>
      <c r="B15" s="4" t="s">
        <v>633</v>
      </c>
    </row>
    <row r="16" spans="1:2">
      <c r="A16" s="3" t="s">
        <v>634</v>
      </c>
      <c r="B16" s="4" t="s">
        <v>635</v>
      </c>
    </row>
    <row r="17" spans="1:2" ht="30">
      <c r="A17" s="3" t="s">
        <v>636</v>
      </c>
      <c r="B17" s="4" t="s">
        <v>637</v>
      </c>
    </row>
    <row r="18" spans="1:2" ht="30">
      <c r="A18" s="3" t="s">
        <v>638</v>
      </c>
      <c r="B18" s="4" t="s">
        <v>639</v>
      </c>
    </row>
    <row r="19" spans="1:2">
      <c r="A19" s="3" t="s">
        <v>640</v>
      </c>
      <c r="B19" s="4" t="s">
        <v>641</v>
      </c>
    </row>
    <row r="20" spans="1:2" ht="30">
      <c r="A20" s="3" t="s">
        <v>642</v>
      </c>
      <c r="B20" s="4" t="s">
        <v>643</v>
      </c>
    </row>
    <row r="21" spans="1:2">
      <c r="A21" s="3" t="s">
        <v>644</v>
      </c>
      <c r="B21" s="4" t="s">
        <v>645</v>
      </c>
    </row>
    <row r="23" spans="1:2">
      <c r="A23" s="11" t="s">
        <v>646</v>
      </c>
      <c r="B23" s="11" t="s">
        <v>3</v>
      </c>
    </row>
    <row r="24" spans="1:2">
      <c r="A24" t="s">
        <v>647</v>
      </c>
      <c r="B24" s="43" t="s">
        <v>648</v>
      </c>
    </row>
    <row r="25" spans="1:2">
      <c r="A25" t="s">
        <v>649</v>
      </c>
      <c r="B25" s="43" t="s">
        <v>650</v>
      </c>
    </row>
    <row r="26" spans="1:2">
      <c r="A26" t="s">
        <v>651</v>
      </c>
      <c r="B26" s="43" t="s">
        <v>652</v>
      </c>
    </row>
    <row r="27" spans="1:2">
      <c r="A27" t="s">
        <v>653</v>
      </c>
      <c r="B27" s="43" t="s">
        <v>654</v>
      </c>
    </row>
    <row r="28" spans="1:2">
      <c r="A28" t="s">
        <v>655</v>
      </c>
      <c r="B28" s="43" t="s">
        <v>656</v>
      </c>
    </row>
    <row r="29" spans="1:2">
      <c r="A29" t="s">
        <v>657</v>
      </c>
      <c r="B29" s="43" t="s">
        <v>658</v>
      </c>
    </row>
    <row r="30" spans="1:2">
      <c r="A30" t="s">
        <v>659</v>
      </c>
      <c r="B30" s="43" t="s">
        <v>660</v>
      </c>
    </row>
    <row r="31" spans="1:2">
      <c r="A31" t="s">
        <v>661</v>
      </c>
      <c r="B31" s="43" t="s">
        <v>662</v>
      </c>
    </row>
    <row r="32" spans="1:2">
      <c r="A32" t="s">
        <v>663</v>
      </c>
      <c r="B32" s="43" t="s">
        <v>664</v>
      </c>
    </row>
    <row r="33" spans="1:2">
      <c r="A33" t="s">
        <v>665</v>
      </c>
      <c r="B33" s="43" t="s">
        <v>666</v>
      </c>
    </row>
    <row r="34" spans="1:2">
      <c r="A34" t="s">
        <v>667</v>
      </c>
      <c r="B34" s="43" t="s">
        <v>668</v>
      </c>
    </row>
    <row r="35" spans="1:2">
      <c r="A35" t="s">
        <v>669</v>
      </c>
      <c r="B35" s="43" t="s">
        <v>670</v>
      </c>
    </row>
    <row r="36" spans="1:2">
      <c r="A36" t="s">
        <v>671</v>
      </c>
      <c r="B36" s="43" t="s">
        <v>672</v>
      </c>
    </row>
    <row r="37" spans="1:2">
      <c r="A37" t="s">
        <v>673</v>
      </c>
      <c r="B37" s="43" t="s">
        <v>674</v>
      </c>
    </row>
    <row r="38" spans="1:2">
      <c r="A38" t="s">
        <v>675</v>
      </c>
      <c r="B38" s="43" t="s">
        <v>676</v>
      </c>
    </row>
    <row r="39" spans="1:2">
      <c r="A39" t="s">
        <v>677</v>
      </c>
      <c r="B39" s="43" t="s">
        <v>678</v>
      </c>
    </row>
    <row r="40" spans="1:2">
      <c r="A40" t="s">
        <v>679</v>
      </c>
      <c r="B40" s="43" t="s">
        <v>680</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2026-10-01T15:49:59Z</dcterms:modified>
</cp:coreProperties>
</file>