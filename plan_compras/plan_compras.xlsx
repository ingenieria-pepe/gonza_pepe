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orongaEnLaNube\gonza_pepe\plan_compras\"/>
    </mc:Choice>
  </mc:AlternateContent>
  <xr:revisionPtr revIDLastSave="0" documentId="13_ncr:1_{24A17E05-706A-42DA-ACE8-735ED6154E7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rgas_programadas" sheetId="1" r:id="rId1"/>
    <sheet name="ventas_plan" sheetId="2" r:id="rId2"/>
    <sheet name="notas" sheetId="3" r:id="rId3"/>
    <sheet name="conteo" sheetId="4" r:id="rId4"/>
    <sheet name="ventas_erp" sheetId="5" r:id="rId5"/>
    <sheet name="supuestos" sheetId="6" r:id="rId6"/>
    <sheet name="ventas_semanales" sheetId="7" r:id="rId7"/>
  </sheets>
  <calcPr calcId="181029" fullCalcOnLoad="1"/>
</workbook>
</file>

<file path=xl/sharedStrings.xml><?xml version="1.0" encoding="utf-8"?>
<sst xmlns="http://schemas.openxmlformats.org/spreadsheetml/2006/main" count="213" uniqueCount="213">
  <si>
    <t>fecha</t>
  </si>
  <si>
    <t>dia</t>
  </si>
  <si>
    <t>semana_carga</t>
  </si>
  <si>
    <t>origen</t>
  </si>
  <si>
    <t>productor</t>
  </si>
  <si>
    <t>transportista</t>
  </si>
  <si>
    <t>despachante</t>
  </si>
  <si>
    <t>cajas</t>
  </si>
  <si>
    <t>fuente</t>
  </si>
  <si>
    <t>nota</t>
  </si>
  <si>
    <t>descarga</t>
  </si>
  <si>
    <t>dom</t>
  </si>
  <si>
    <t>2026-09-13</t>
  </si>
  <si>
    <t>PY</t>
  </si>
  <si>
    <t>Paraguay DF</t>
  </si>
  <si>
    <t/>
  </si>
  <si>
    <t>Gonzalo 19/09</t>
  </si>
  <si>
    <t>dia del Plan de Cargas</t>
  </si>
  <si>
    <t>Paraguay HF</t>
  </si>
  <si>
    <t>lun</t>
  </si>
  <si>
    <t>Paraguay MS</t>
  </si>
  <si>
    <t>mar</t>
  </si>
  <si>
    <t>Paraguay AS</t>
  </si>
  <si>
    <t>vie</t>
  </si>
  <si>
    <t>BR</t>
  </si>
  <si>
    <t>Ivo zimer</t>
  </si>
  <si>
    <t>Amaro</t>
  </si>
  <si>
    <t>Cassio</t>
  </si>
  <si>
    <t>AXT</t>
  </si>
  <si>
    <t>Alianza</t>
  </si>
  <si>
    <t>sab</t>
  </si>
  <si>
    <t>Fisher</t>
  </si>
  <si>
    <t>FG (Nilton)</t>
  </si>
  <si>
    <t>el Plan decia Amaro</t>
  </si>
  <si>
    <t>2026-09-20</t>
  </si>
  <si>
    <t>Etimex</t>
  </si>
  <si>
    <t>Gonzalo 25/09 (nota)</t>
  </si>
  <si>
    <t>nota 25/09: martes, R$ 38</t>
  </si>
  <si>
    <t>Axt</t>
  </si>
  <si>
    <t>nota 25/09: viernes, R$ 36</t>
  </si>
  <si>
    <t>Agrocurupa</t>
  </si>
  <si>
    <t>Nilton</t>
  </si>
  <si>
    <t>nota 25/09: viernes, precio ilegible (3?)</t>
  </si>
  <si>
    <t>Gilson</t>
  </si>
  <si>
    <t>nota 25/09: viernes, R$ 42</t>
  </si>
  <si>
    <t>nota 25/09: Franco 3, domingo</t>
  </si>
  <si>
    <t>nota 25/09: Franco 3, lunes</t>
  </si>
  <si>
    <t>nota 25/09: Franco 3, martes</t>
  </si>
  <si>
    <t>nota 25/09: Alvarito 2, lunes</t>
  </si>
  <si>
    <t>nota 25/09: Alvarito 2, martes</t>
  </si>
  <si>
    <t>nota 25/09: Milciades 2, lunes</t>
  </si>
  <si>
    <t>nota 25/09: Milciades 2, martes</t>
  </si>
  <si>
    <t>mie</t>
  </si>
  <si>
    <t>2026-09-27</t>
  </si>
  <si>
    <t>nota 25/09: cuarta</t>
  </si>
  <si>
    <t>nota 25/09: sexta</t>
  </si>
  <si>
    <t>Chabat</t>
  </si>
  <si>
    <t>nota 25/09: tersa</t>
  </si>
  <si>
    <t>Josemar</t>
  </si>
  <si>
    <t>Stein</t>
  </si>
  <si>
    <t>Marconi</t>
  </si>
  <si>
    <t>nota 25/09: Milciades 1, nota completa 25/09: lunes confirmado</t>
  </si>
  <si>
    <t>nota 25/09: Diego 2, nota completa 25/09: lunes confirmado</t>
  </si>
  <si>
    <t>nota 25/09: Diego 2, nota completa 25/09: martes confirmado</t>
  </si>
  <si>
    <t>nota 25/09: Alvarito 1, nota completa 25/09: lunes confirmado</t>
  </si>
  <si>
    <t>Gonzalo 27/09 (chat)</t>
  </si>
  <si>
    <t>carga extra: "asi cierro mejor pensando en futuro" (ademas de la sexta ya dictada)</t>
  </si>
  <si>
    <t>Gonzalo 02/10 (precios de la semana)</t>
  </si>
  <si>
    <t>carga real: cuarta Nilton, R$ 35 (no estaba dictada)</t>
  </si>
  <si>
    <t>2026-10-04</t>
  </si>
  <si>
    <t>Gonzalo 06/10 (chat, 2da version)</t>
  </si>
  <si>
    <t>dictado 06/10 (corregido): Fisher 2: tersa; transportista supuesto = habitual</t>
  </si>
  <si>
    <t>dictado 06/10 (corregido): Fisher 2: sexta</t>
  </si>
  <si>
    <t>dictado 06/10 (corregido): Agro 1: cuarta</t>
  </si>
  <si>
    <t>dictado 06/10 (corregido): Cassio 1: cuarta</t>
  </si>
  <si>
    <t>Celso</t>
  </si>
  <si>
    <t>dictado 06/10 (corregido): Celso 1: cuarta. PRODUCTOR NUEVO: falta nombre completo y transporte</t>
  </si>
  <si>
    <t>dictado 06/10 (corregido): Ivo 2: tersa</t>
  </si>
  <si>
    <t>dictado 06/10 (corregido): Ivo 2: cuarta</t>
  </si>
  <si>
    <t>dictado 06/10 (corregido): Stein 1: tersa</t>
  </si>
  <si>
    <t>dictado 06/10 (corregido): Milciades 2: lunes</t>
  </si>
  <si>
    <t>dictado 06/10 (corregido): Milciades 2: martes</t>
  </si>
  <si>
    <t>dictado 06/10 (corregido): Diego 2: lunes</t>
  </si>
  <si>
    <t>dictado 06/10 (corregido): Diego 2: martes</t>
  </si>
  <si>
    <t>dictado 06/10 (corregido): Alvarito 1: lunes</t>
  </si>
  <si>
    <t>BO</t>
  </si>
  <si>
    <t>Banexfrut</t>
  </si>
  <si>
    <t>Gonzalo 11/10 (chat)</t>
  </si>
  <si>
    <t>dictado 11/10: Gonzalo 11/10: "semana que viene descargamos 1 camion de Bol como siempre"; carga viernes como las anteriores de Banexfrut (descarga jue 15)</t>
  </si>
  <si>
    <t>2026-10-11</t>
  </si>
  <si>
    <t>Gonzalo 15/10 planificacion (chat)</t>
  </si>
  <si>
    <t>planificacion 15/10: Fisher 2 (35): cuarta</t>
  </si>
  <si>
    <t>planificacion 15/10: Fisher 2 (35): sabado</t>
  </si>
  <si>
    <t>planificacion 15/10: Agro 2 (35): cuarta</t>
  </si>
  <si>
    <t>planificacion 15/10: Agro 2 (35): sexta</t>
  </si>
  <si>
    <t>planificacion 15/10: Cassio 2 (35): cuarta</t>
  </si>
  <si>
    <t>planificacion 15/10: Cassio 2 (35): sexta</t>
  </si>
  <si>
    <t>planificacion 15/10: Stein 2 (38): cuarta</t>
  </si>
  <si>
    <t>2026-10-16</t>
  </si>
  <si>
    <t>planificacion 15/10: Stein 2 (38): sexta</t>
  </si>
  <si>
    <t>planificacion 15/10: Ivo 1 (40): cuarta</t>
  </si>
  <si>
    <t>planificacion 15/10: Marconi 1 (38): cuarta</t>
  </si>
  <si>
    <t>planificacion 15/10: Josemar 1 (40): cuarta</t>
  </si>
  <si>
    <t>planificacion 15/10: Gilson 2 (38): cuarta</t>
  </si>
  <si>
    <t>planificacion 15/10: Gilson 2 (38): sexta</t>
  </si>
  <si>
    <t>Shapo</t>
  </si>
  <si>
    <t>planificacion 15/10: Shapo 1 (38): sexta</t>
  </si>
  <si>
    <t>Furlani</t>
  </si>
  <si>
    <t>planificacion 15/10: 1/2 carga: 12 pallets en el camion de exoticos (dictado 09/10, se mantiene)</t>
  </si>
  <si>
    <t>planificacion 15/10: Alvarito 1 (7 USD): martes</t>
  </si>
  <si>
    <t>planificacion 15/10: Milciades 1 (7 USD): miercoles</t>
  </si>
  <si>
    <t>planificacion 15/10: Bolivia 1 por semana (dictado 11/10, se mantiene)</t>
  </si>
  <si>
    <t>Jhony Viera</t>
  </si>
  <si>
    <t>Gonzalo 15/10 (chat)</t>
  </si>
  <si>
    <t>dictado 15/10: carga extra sabado 17 (Gonzalo 15/10: "hay una carga extra sabado 17 de jony viera")</t>
  </si>
  <si>
    <t>2026-10-18</t>
  </si>
  <si>
    <t>Gonzalo 16/10 definitivo (chat)</t>
  </si>
  <si>
    <t>definitivo 16/10: 1/2 carga exoticos: tersa</t>
  </si>
  <si>
    <t>definitivo 16/10: 1/2 carga exoticos: cuarta</t>
  </si>
  <si>
    <t>definitivo 16/10: Fisher 2: tersa</t>
  </si>
  <si>
    <t>definitivo 16/10: Fisher 2: cuarta</t>
  </si>
  <si>
    <t>Muller Fabricio</t>
  </si>
  <si>
    <t>definitivo 16/10: Muller 3 (Curuca): tersa</t>
  </si>
  <si>
    <t>definitivo 16/10: Muller 3 (Curuca): cuarta</t>
  </si>
  <si>
    <t>definitivo 16/10: Muller 3 (Curuca): sexta</t>
  </si>
  <si>
    <t>definitivo 16/10: Stein 3: segunda</t>
  </si>
  <si>
    <t>definitivo 16/10: Stein 3: tersa</t>
  </si>
  <si>
    <t>definitivo 16/10: Stein 3: sexta</t>
  </si>
  <si>
    <t>BAHIA</t>
  </si>
  <si>
    <t>Silvio</t>
  </si>
  <si>
    <t>definitivo 16/10: Sergio 2: Bahia sexta (Silvio)</t>
  </si>
  <si>
    <t>Sergio</t>
  </si>
  <si>
    <t>definitivo 16/10: Sergio 2: SC sabado</t>
  </si>
  <si>
    <t>definitivo 16/10: Cassio 3: tersa</t>
  </si>
  <si>
    <t>definitivo 16/10: Cassio 3: cuarta</t>
  </si>
  <si>
    <t>definitivo 16/10: Cassio 3: sexta</t>
  </si>
  <si>
    <t>definitivo 16/10: Jony 1: tersa</t>
  </si>
  <si>
    <t>definitivo 16/10: Celso 1: cuarta</t>
  </si>
  <si>
    <t>definitivo 16/10: Ivo 1: tersa</t>
  </si>
  <si>
    <t>Jaime Zimerman</t>
  </si>
  <si>
    <t>definitivo 16/10: Jaime Zimerman 1: cuarta</t>
  </si>
  <si>
    <t>definitivo 16/10: Agro 2: cuarta</t>
  </si>
  <si>
    <t>definitivo 16/10: Agro 2: sexta</t>
  </si>
  <si>
    <t>definitivo 16/10: Gilson 1: tersa</t>
  </si>
  <si>
    <t>definitivo 16/10: Marconi 1: cuarta</t>
  </si>
  <si>
    <t>definitivo 16/10: Shapo 1: tersa</t>
  </si>
  <si>
    <t>Wagner</t>
  </si>
  <si>
    <t>definitivo 16/10: Wagner 1: sexta</t>
  </si>
  <si>
    <t>Paraguay GM</t>
  </si>
  <si>
    <t>definitivo 16/10: Guido 1: lunes</t>
  </si>
  <si>
    <t>semana_lunes</t>
  </si>
  <si>
    <t>REAL ERP (captura 29/09/2026)</t>
  </si>
  <si>
    <t>total 15851 real (antes: total 13700 · mix BR 52,6 % / PY 38,4 % / BO 9,0 % (reportes ERP sem 38))</t>
  </si>
  <si>
    <t>total 14845 real (antes: total 15000 · mix BR 52,6 % / PY 38,4 % / BO 9,0 % (reportes ERP sem 38))</t>
  </si>
  <si>
    <t>Gonzalo 27/09: se pide vender 16.000; Bolivia 1 carga, el resto PY y BR</t>
  </si>
  <si>
    <t>total 16.000 = BO 1.050 (1 carga) + BR 8640 + PY 6310 (resto repartido con el mix BR/PY del ERP sem 38, 'no importa el orden')</t>
  </si>
  <si>
    <t>Gonzalo 06/10: "venta esta semana va a ser de 16 mil, la venta fallo ayer lunes" (el 03/10 habia dicho 17.000)</t>
  </si>
  <si>
    <t>total 16.000 = BO 1.050 (1 carga) + BR 9929 + PY 5021 (resto con el mix BR/PY del ERP ult. 4 sem)</t>
  </si>
  <si>
    <t>Gonzalo 15/10: "esta semana se va a vender 18 mil" = 18.000</t>
  </si>
  <si>
    <t>reparto con el mix real de las ultimas 10 semanas</t>
  </si>
  <si>
    <t>Gonzalo 16/10: "semana que viene se venden 20, la siguiente 21 mil, la del feriado 16 mil" = 20000</t>
  </si>
  <si>
    <t>reparto BR/PY/BO con el mix real de las ultimas 10 semanas; desde el mie 21 la pisa la estimacion con los dias reales</t>
  </si>
  <si>
    <t>Gonzalo 18/10: "las dos semanas de 20 y 20.5" = 20.500</t>
  </si>
  <si>
    <t>el resto de la semana como la venta estacional</t>
  </si>
  <si>
    <t>Gonzalo 16/10: "semana que viene se venden 20, la siguiente 21 mil, la del feriado 16 mil" = 16000</t>
  </si>
  <si>
    <t>feriado Finados en Brasil el mismo lunes: frontera cerrada</t>
  </si>
  <si>
    <t>notas</t>
  </si>
  <si>
    <t>PLAN DE COMPRAS - como se usa</t>
  </si>
  <si>
    <t>1. cargas_programadas: una fila por camion. fecha = dia de carga (la semana de carga va de domingo a sabado, como la dicta Gonzalo). origen BR/PY/BO. productor = nombre de la ficha (productores.xlsx). cajas: 1008 BR, 936 BR chico (AXT), 980 PY.</t>
  </si>
  <si>
    <t xml:space="preserve">   Las semanas que esten aca PISAN al Plan de Cargas para esas fechas (la copia del Plan puede tener estados viejos o filas de mas). Lo anterior sale del Plan.</t>
  </si>
  <si>
    <t>2. ventas_plan: cajas por semana de venta (lunes a sabado) y por origen. Hoy es el promedio de los reportes del ERP; cuando este el plan de ventas, va ese.</t>
  </si>
  <si>
    <t>3. Lags (de plan_semanal.xlsx / parametros): carga -&gt; descarga 5 dias (BR 3+2, PY 4+1); descarga -&gt; venta 7 dias (2 gas + 5 camara). Un camion cargado el dia D se vende desde D+12.</t>
  </si>
  <si>
    <t>4. El script proyecta cada camion a su semana de venta y compara con ventas_plan: saldo acumulado por origen y cuantos camiones cargar y cuando.</t>
  </si>
  <si>
    <t>Historial: 19/09/2026 creado con las semanas 14-19/09 (real) y 21-26/09 (programada) dictadas por Gonzalo.</t>
  </si>
  <si>
    <t>5. conteo: stock fisico de banana por origen (cajas) a la fecha del conteo por camara (todas las sedes). El simulador ARRANCA de este numero: suma los camiones que descargan despues de esa fecha y resta la venta. Cada conteo nuevo es una fila mas; se usa el mas reciente. El "Stock" del reporte diario del ERP NO es esto: es solo la fruta lista para vender ese dia.</t>
  </si>
  <si>
    <t>Historial: 19/09/2026 hoja conteo con el conteo del 17/09 (BR 14.475, PY 12.345, BO 2.604).</t>
  </si>
  <si>
    <t>6. ventas_erp: cajas vendidas por dia y origen segun el reporte diario del ERP (columna Present. = cajas, Kilos = kg; Stock = kg listos para vender ese dia, NO la camara). Sirve para calibrar ventas_plan. Hay un reporte mas de la semana 38 (5.750 cajas, dia fuerte) sin fecha: no se cargo.</t>
  </si>
  <si>
    <t>fuentes\stock\2026-09-17_conteo_camaras.xlsx</t>
  </si>
  <si>
    <t>ZAC 13.467 + Coronel Raiz 1.008; sin palta ni mandioca</t>
  </si>
  <si>
    <t>ZAC 9.402 + Coronel Raiz 2.943</t>
  </si>
  <si>
    <t>ZAC camaras 18, 25 y 29 (Porvenir)</t>
  </si>
  <si>
    <t>EC</t>
  </si>
  <si>
    <t>referencia; Ecuador no entra en el plan</t>
  </si>
  <si>
    <t>fuentes\stock\2026-09-26_conteo_camaras.xlsx</t>
  </si>
  <si>
    <t>ZAC 8701 + Coronel Raiz 2952 (cam 2: 1.944, cam 5: 1.008), listado del ERP por camara</t>
  </si>
  <si>
    <t>ZAC 13673; en Coronel Raiz no hay Paraguay (listado del ERP)</t>
  </si>
  <si>
    <t>ZAC camaras 2, 25 y 30 (Porvenir). OJO: la foto de Bolivia dice CAM 2 = 423 y el ERP 23 (camara 2 total 111): se tomo el ERP</t>
  </si>
  <si>
    <t>ZAC 6833 + Coronel Raiz 14904; referencia, Ecuador no entra en el plan</t>
  </si>
  <si>
    <t>fuentes\stock\2026-10-03_conteo_camaras.xlsx</t>
  </si>
  <si>
    <t>planilla de camaras de Gonzalo (CAM naranja = Brasil): ZAC 10253 en 10 camaras + Coronel Raiz cam 4 2016</t>
  </si>
  <si>
    <t>planilla de camaras (CAM gris = Paraguay): ZAC 9676 en 8 camaras</t>
  </si>
  <si>
    <t>planilla Bolivia: ZAC cam 30 (750, gas 29-sep) y cam 25 (750)</t>
  </si>
  <si>
    <t>planilla Carton: solo ZAC, 7 camaras; Coronel Raiz no vino; referencia, Ecuador no entra en el plan</t>
  </si>
  <si>
    <t>kg</t>
  </si>
  <si>
    <t>stock_listo_kg</t>
  </si>
  <si>
    <t>reporte ERP 15/09</t>
  </si>
  <si>
    <t>reporte ERP 16/09</t>
  </si>
  <si>
    <t>reporte ERP 19/09 cierre</t>
  </si>
  <si>
    <t>reporte ERP 26/09 10:16</t>
  </si>
  <si>
    <t>clave</t>
  </si>
  <si>
    <t>valor</t>
  </si>
  <si>
    <t>py_camiones_semana</t>
  </si>
  <si>
    <t>Gonzalo 08/10/2026: "no hables de supuestos, si no te pase cargas no cuenta". Era 5 (27/09). Con 0 el generador no agrega camiones PY supuestos en ninguna semana.</t>
  </si>
  <si>
    <t>bo_camiones_semana</t>
  </si>
  <si>
    <t>Gonzalo 08/10/2026: "no hables de supuestos, si no te pase cargas no cuenta". Era 1 (01/10: "de Bolivia uno por semana siempre"). Con 0 solo cuentan las cargas BO reales de Aloha o dictadas.</t>
  </si>
  <si>
    <t>minimo_cajas_sabado</t>
  </si>
  <si>
    <t>Gonzalo 14/10/2026: "Uruguay quiere cierre de los sabados a 27 mil" (antes 25.000 desde el 01/10; 22.500 antes)</t>
  </si>
  <si>
    <t>venta_minima_semana</t>
  </si>
  <si>
    <t>Gonzalo 18/10/2026: "18 mil es el promedio semanal minimo" (piso de la venta automatica; las semanas dictadas mandan)</t>
  </si>
  <si>
    <t>sabado</t>
  </si>
  <si>
    <t>total_banana</t>
  </si>
  <si>
    <t>ERP, venta semanal por agrupacion (captura 29/09/2026, fuentes\ventas)</t>
  </si>
  <si>
    <t>Venta real en cajas por semana (lunes a sabado) y origen, del reporte semanal del ERP. total_banana = BR + PY + BO (Ecuador va por otro canal). Agregar una fila por semana cerrada; el paso 5j la lleva al JSON (ventas_reales) y la planilla Excel la usa para el desvio y el desvio estandar.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</si>
</sst>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22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0" applyFont="1" fillId="0" applyFill="1" borderId="0" applyBorder="1" xfId="0" applyProtection="1"/>
    <xf numFmtId="22" applyNumberFormat="1" fontId="0" applyFont="1" fillId="0" applyFill="1" borderId="0" applyBorder="1" xfId="0" applyProtection="1"/>
    <xf numFmtId="22" applyNumberFormat="1" fontId="0" applyFont="1" fillId="0" applyFill="1" borderId="0" applyBorder="1" xfId="0" applyProtection="1"/>
    <xf numFmtId="22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/>
  <cols>
    <col min="1" max="1" width="12.85546875" customWidth="1"/>
    <col min="2" max="2" width="9.140625" customWidth="1"/>
    <col min="3" max="3" width="14.28515625" customWidth="1"/>
    <col min="4" max="4" width="9.140625" customWidth="1"/>
    <col min="5" max="5" width="12.85546875" customWidth="1"/>
    <col min="6" max="6" width="13" customWidth="1"/>
    <col min="7" max="7" width="12.85546875" customWidth="1"/>
    <col min="8" max="8" width="9.140625" customWidth="1"/>
    <col min="9" max="9" width="14.28515625" customWidth="1"/>
    <col min="10" max="10" width="24.7109375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0" t="s">
        <v>10</v>
      </c>
    </row>
    <row r="2">
      <c r="A2" s="1">
        <v>46278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15</v>
      </c>
      <c r="H2" s="0">
        <v>980</v>
      </c>
      <c r="I2" s="0" t="s">
        <v>16</v>
      </c>
      <c r="J2" s="0" t="s">
        <v>17</v>
      </c>
    </row>
    <row r="3">
      <c r="A3" s="1">
        <v>46278</v>
      </c>
      <c r="B3" s="0" t="s">
        <v>11</v>
      </c>
      <c r="C3" s="0" t="s">
        <v>12</v>
      </c>
      <c r="D3" s="0" t="s">
        <v>13</v>
      </c>
      <c r="E3" s="0" t="s">
        <v>18</v>
      </c>
      <c r="F3" s="0" t="s">
        <v>15</v>
      </c>
      <c r="G3" s="0" t="s">
        <v>15</v>
      </c>
      <c r="H3" s="0">
        <v>980</v>
      </c>
      <c r="I3" s="0" t="s">
        <v>16</v>
      </c>
      <c r="J3" s="0" t="s">
        <v>17</v>
      </c>
    </row>
    <row r="4">
      <c r="A4" s="1">
        <v>46278</v>
      </c>
      <c r="B4" s="0" t="s">
        <v>11</v>
      </c>
      <c r="C4" s="0" t="s">
        <v>12</v>
      </c>
      <c r="D4" s="0" t="s">
        <v>13</v>
      </c>
      <c r="E4" s="0" t="s">
        <v>18</v>
      </c>
      <c r="F4" s="0" t="s">
        <v>15</v>
      </c>
      <c r="G4" s="0" t="s">
        <v>15</v>
      </c>
      <c r="H4" s="0">
        <v>980</v>
      </c>
      <c r="I4" s="0" t="s">
        <v>16</v>
      </c>
      <c r="J4" s="0" t="s">
        <v>17</v>
      </c>
    </row>
    <row r="5">
      <c r="A5" s="1">
        <v>46279</v>
      </c>
      <c r="B5" s="0" t="s">
        <v>19</v>
      </c>
      <c r="C5" s="0" t="s">
        <v>12</v>
      </c>
      <c r="D5" s="0" t="s">
        <v>13</v>
      </c>
      <c r="E5" s="0" t="s">
        <v>14</v>
      </c>
      <c r="F5" s="0" t="s">
        <v>15</v>
      </c>
      <c r="G5" s="0" t="s">
        <v>15</v>
      </c>
      <c r="H5" s="0">
        <v>980</v>
      </c>
      <c r="I5" s="0" t="s">
        <v>16</v>
      </c>
      <c r="J5" s="0" t="s">
        <v>17</v>
      </c>
    </row>
    <row r="6">
      <c r="A6" s="1">
        <v>46279</v>
      </c>
      <c r="B6" s="0" t="s">
        <v>19</v>
      </c>
      <c r="C6" s="0" t="s">
        <v>12</v>
      </c>
      <c r="D6" s="0" t="s">
        <v>13</v>
      </c>
      <c r="E6" s="0" t="s">
        <v>20</v>
      </c>
      <c r="F6" s="0" t="s">
        <v>15</v>
      </c>
      <c r="G6" s="0" t="s">
        <v>15</v>
      </c>
      <c r="H6" s="0">
        <v>980</v>
      </c>
      <c r="I6" s="0" t="s">
        <v>16</v>
      </c>
      <c r="J6" s="0" t="s">
        <v>17</v>
      </c>
    </row>
    <row r="7">
      <c r="A7" s="1">
        <v>46279</v>
      </c>
      <c r="B7" s="0" t="s">
        <v>19</v>
      </c>
      <c r="C7" s="0" t="s">
        <v>12</v>
      </c>
      <c r="D7" s="0" t="s">
        <v>13</v>
      </c>
      <c r="E7" s="0" t="s">
        <v>18</v>
      </c>
      <c r="F7" s="0" t="s">
        <v>15</v>
      </c>
      <c r="G7" s="0" t="s">
        <v>15</v>
      </c>
      <c r="H7" s="0">
        <v>980</v>
      </c>
      <c r="I7" s="0" t="s">
        <v>16</v>
      </c>
      <c r="J7" s="0" t="s">
        <v>17</v>
      </c>
    </row>
    <row r="8">
      <c r="A8" s="1">
        <v>46280</v>
      </c>
      <c r="B8" s="0" t="s">
        <v>21</v>
      </c>
      <c r="C8" s="0" t="s">
        <v>12</v>
      </c>
      <c r="D8" s="0" t="s">
        <v>13</v>
      </c>
      <c r="E8" s="0" t="s">
        <v>22</v>
      </c>
      <c r="F8" s="0" t="s">
        <v>15</v>
      </c>
      <c r="G8" s="0" t="s">
        <v>15</v>
      </c>
      <c r="H8" s="0">
        <v>980</v>
      </c>
      <c r="I8" s="0" t="s">
        <v>16</v>
      </c>
      <c r="J8" s="0" t="s">
        <v>17</v>
      </c>
    </row>
    <row r="9">
      <c r="A9" s="1">
        <v>46280</v>
      </c>
      <c r="B9" s="0" t="s">
        <v>21</v>
      </c>
      <c r="C9" s="0" t="s">
        <v>12</v>
      </c>
      <c r="D9" s="0" t="s">
        <v>13</v>
      </c>
      <c r="E9" s="0" t="s">
        <v>20</v>
      </c>
      <c r="F9" s="0" t="s">
        <v>15</v>
      </c>
      <c r="G9" s="0" t="s">
        <v>15</v>
      </c>
      <c r="H9" s="0">
        <v>980</v>
      </c>
      <c r="I9" s="0" t="s">
        <v>16</v>
      </c>
      <c r="J9" s="0" t="s">
        <v>17</v>
      </c>
    </row>
    <row r="10">
      <c r="A10" s="1">
        <v>46283</v>
      </c>
      <c r="B10" s="0" t="s">
        <v>23</v>
      </c>
      <c r="C10" s="0" t="s">
        <v>12</v>
      </c>
      <c r="D10" s="0" t="s">
        <v>24</v>
      </c>
      <c r="E10" s="0" t="s">
        <v>25</v>
      </c>
      <c r="F10" s="0" t="s">
        <v>26</v>
      </c>
      <c r="G10" s="0" t="s">
        <v>15</v>
      </c>
      <c r="H10" s="0">
        <v>936</v>
      </c>
      <c r="I10" s="0" t="s">
        <v>16</v>
      </c>
      <c r="J10" s="0" t="s">
        <v>15</v>
      </c>
    </row>
    <row r="11">
      <c r="A11" s="1">
        <v>46283</v>
      </c>
      <c r="B11" s="0" t="s">
        <v>23</v>
      </c>
      <c r="C11" s="0" t="s">
        <v>12</v>
      </c>
      <c r="D11" s="0" t="s">
        <v>24</v>
      </c>
      <c r="E11" s="0" t="s">
        <v>27</v>
      </c>
      <c r="F11" s="0" t="s">
        <v>28</v>
      </c>
      <c r="G11" s="0" t="s">
        <v>29</v>
      </c>
      <c r="H11" s="0">
        <v>936</v>
      </c>
      <c r="I11" s="0" t="s">
        <v>16</v>
      </c>
      <c r="J11" s="0" t="s">
        <v>15</v>
      </c>
    </row>
    <row r="12">
      <c r="A12" s="1">
        <v>46284</v>
      </c>
      <c r="B12" s="0" t="s">
        <v>30</v>
      </c>
      <c r="C12" s="0" t="s">
        <v>12</v>
      </c>
      <c r="D12" s="0" t="s">
        <v>24</v>
      </c>
      <c r="E12" s="0" t="s">
        <v>31</v>
      </c>
      <c r="F12" s="0" t="s">
        <v>32</v>
      </c>
      <c r="G12" s="0" t="s">
        <v>15</v>
      </c>
      <c r="H12" s="0">
        <v>1008</v>
      </c>
      <c r="I12" s="0" t="s">
        <v>16</v>
      </c>
      <c r="J12" s="0" t="s">
        <v>33</v>
      </c>
    </row>
    <row r="13">
      <c r="A13" s="3">
        <v>46287</v>
      </c>
      <c r="B13" s="0" t="s">
        <v>21</v>
      </c>
      <c r="C13" s="0" t="s">
        <v>34</v>
      </c>
      <c r="D13" s="0" t="s">
        <v>24</v>
      </c>
      <c r="E13" s="0" t="s">
        <v>31</v>
      </c>
      <c r="F13" s="0" t="s">
        <v>26</v>
      </c>
      <c r="G13" s="0" t="s">
        <v>35</v>
      </c>
      <c r="H13" s="0">
        <v>1008</v>
      </c>
      <c r="I13" s="0" t="s">
        <v>36</v>
      </c>
      <c r="J13" s="0" t="s">
        <v>37</v>
      </c>
    </row>
    <row r="14">
      <c r="A14" s="3">
        <v>46290</v>
      </c>
      <c r="B14" s="0" t="s">
        <v>23</v>
      </c>
      <c r="C14" s="0" t="s">
        <v>34</v>
      </c>
      <c r="D14" s="0" t="s">
        <v>24</v>
      </c>
      <c r="E14" s="0" t="s">
        <v>27</v>
      </c>
      <c r="F14" s="0" t="s">
        <v>38</v>
      </c>
      <c r="G14" s="0" t="s">
        <v>29</v>
      </c>
      <c r="H14" s="0">
        <v>936</v>
      </c>
      <c r="I14" s="0" t="s">
        <v>36</v>
      </c>
      <c r="J14" s="0" t="s">
        <v>39</v>
      </c>
    </row>
    <row r="15">
      <c r="A15" s="3">
        <v>46290</v>
      </c>
      <c r="B15" s="0" t="s">
        <v>23</v>
      </c>
      <c r="C15" s="0" t="s">
        <v>34</v>
      </c>
      <c r="D15" s="0" t="s">
        <v>24</v>
      </c>
      <c r="E15" s="0" t="s">
        <v>40</v>
      </c>
      <c r="F15" s="0" t="s">
        <v>41</v>
      </c>
      <c r="G15" s="0" t="s">
        <v>35</v>
      </c>
      <c r="H15" s="0">
        <v>1008</v>
      </c>
      <c r="I15" s="0" t="s">
        <v>36</v>
      </c>
      <c r="J15" s="0" t="s">
        <v>42</v>
      </c>
    </row>
    <row r="16">
      <c r="A16" s="3">
        <v>46290</v>
      </c>
      <c r="B16" s="0" t="s">
        <v>23</v>
      </c>
      <c r="C16" s="0" t="s">
        <v>34</v>
      </c>
      <c r="D16" s="0" t="s">
        <v>24</v>
      </c>
      <c r="E16" s="0" t="s">
        <v>43</v>
      </c>
      <c r="F16" s="0" t="s">
        <v>41</v>
      </c>
      <c r="G16" s="0" t="s">
        <v>35</v>
      </c>
      <c r="H16" s="0">
        <v>1008</v>
      </c>
      <c r="I16" s="0" t="s">
        <v>36</v>
      </c>
      <c r="J16" s="0" t="s">
        <v>44</v>
      </c>
    </row>
    <row r="17">
      <c r="A17" s="3">
        <v>46285</v>
      </c>
      <c r="B17" s="0" t="s">
        <v>11</v>
      </c>
      <c r="C17" s="0" t="s">
        <v>34</v>
      </c>
      <c r="D17" s="0" t="s">
        <v>13</v>
      </c>
      <c r="E17" s="0" t="s">
        <v>18</v>
      </c>
      <c r="F17" s="0" t="s">
        <v>15</v>
      </c>
      <c r="G17" s="0" t="s">
        <v>15</v>
      </c>
      <c r="H17" s="0">
        <v>980</v>
      </c>
      <c r="I17" s="0" t="s">
        <v>36</v>
      </c>
      <c r="J17" s="0" t="s">
        <v>45</v>
      </c>
    </row>
    <row r="18">
      <c r="A18" s="3">
        <v>46286</v>
      </c>
      <c r="B18" s="0" t="s">
        <v>19</v>
      </c>
      <c r="C18" s="0" t="s">
        <v>34</v>
      </c>
      <c r="D18" s="0" t="s">
        <v>13</v>
      </c>
      <c r="E18" s="0" t="s">
        <v>18</v>
      </c>
      <c r="F18" s="0" t="s">
        <v>15</v>
      </c>
      <c r="G18" s="0" t="s">
        <v>15</v>
      </c>
      <c r="H18" s="0">
        <v>980</v>
      </c>
      <c r="I18" s="0" t="s">
        <v>36</v>
      </c>
      <c r="J18" s="0" t="s">
        <v>46</v>
      </c>
    </row>
    <row r="19">
      <c r="A19" s="3">
        <v>46287</v>
      </c>
      <c r="B19" s="0" t="s">
        <v>21</v>
      </c>
      <c r="C19" s="0" t="s">
        <v>34</v>
      </c>
      <c r="D19" s="0" t="s">
        <v>13</v>
      </c>
      <c r="E19" s="0" t="s">
        <v>18</v>
      </c>
      <c r="F19" s="0" t="s">
        <v>15</v>
      </c>
      <c r="G19" s="0" t="s">
        <v>15</v>
      </c>
      <c r="H19" s="0">
        <v>980</v>
      </c>
      <c r="I19" s="0" t="s">
        <v>36</v>
      </c>
      <c r="J19" s="0" t="s">
        <v>47</v>
      </c>
    </row>
    <row r="20">
      <c r="A20" s="3">
        <v>46286</v>
      </c>
      <c r="B20" s="0" t="s">
        <v>19</v>
      </c>
      <c r="C20" s="0" t="s">
        <v>34</v>
      </c>
      <c r="D20" s="0" t="s">
        <v>13</v>
      </c>
      <c r="E20" s="0" t="s">
        <v>22</v>
      </c>
      <c r="F20" s="0" t="s">
        <v>15</v>
      </c>
      <c r="G20" s="0" t="s">
        <v>15</v>
      </c>
      <c r="H20" s="0">
        <v>980</v>
      </c>
      <c r="I20" s="0" t="s">
        <v>36</v>
      </c>
      <c r="J20" s="0" t="s">
        <v>48</v>
      </c>
    </row>
    <row r="21">
      <c r="A21" s="3">
        <v>46287</v>
      </c>
      <c r="B21" s="0" t="s">
        <v>21</v>
      </c>
      <c r="C21" s="0" t="s">
        <v>34</v>
      </c>
      <c r="D21" s="0" t="s">
        <v>13</v>
      </c>
      <c r="E21" s="0" t="s">
        <v>22</v>
      </c>
      <c r="F21" s="0" t="s">
        <v>15</v>
      </c>
      <c r="G21" s="0" t="s">
        <v>15</v>
      </c>
      <c r="H21" s="0">
        <v>980</v>
      </c>
      <c r="I21" s="0" t="s">
        <v>36</v>
      </c>
      <c r="J21" s="0" t="s">
        <v>49</v>
      </c>
    </row>
    <row r="22">
      <c r="A22" s="3">
        <v>46286</v>
      </c>
      <c r="B22" s="0" t="s">
        <v>19</v>
      </c>
      <c r="C22" s="0" t="s">
        <v>34</v>
      </c>
      <c r="D22" s="0" t="s">
        <v>13</v>
      </c>
      <c r="E22" s="0" t="s">
        <v>20</v>
      </c>
      <c r="F22" s="0" t="s">
        <v>15</v>
      </c>
      <c r="G22" s="0" t="s">
        <v>15</v>
      </c>
      <c r="H22" s="0">
        <v>980</v>
      </c>
      <c r="I22" s="0" t="s">
        <v>36</v>
      </c>
      <c r="J22" s="0" t="s">
        <v>50</v>
      </c>
    </row>
    <row r="23">
      <c r="A23" s="3">
        <v>46287</v>
      </c>
      <c r="B23" s="0" t="s">
        <v>21</v>
      </c>
      <c r="C23" s="0" t="s">
        <v>34</v>
      </c>
      <c r="D23" s="0" t="s">
        <v>13</v>
      </c>
      <c r="E23" s="0" t="s">
        <v>20</v>
      </c>
      <c r="F23" s="0" t="s">
        <v>15</v>
      </c>
      <c r="G23" s="0" t="s">
        <v>15</v>
      </c>
      <c r="H23" s="0">
        <v>980</v>
      </c>
      <c r="I23" s="0" t="s">
        <v>36</v>
      </c>
      <c r="J23" s="0" t="s">
        <v>51</v>
      </c>
    </row>
    <row r="24">
      <c r="A24" s="3">
        <v>46295</v>
      </c>
      <c r="B24" s="0" t="s">
        <v>52</v>
      </c>
      <c r="C24" s="0" t="s">
        <v>53</v>
      </c>
      <c r="D24" s="0" t="s">
        <v>24</v>
      </c>
      <c r="E24" s="0" t="s">
        <v>31</v>
      </c>
      <c r="F24" s="0" t="s">
        <v>26</v>
      </c>
      <c r="G24" s="0" t="s">
        <v>35</v>
      </c>
      <c r="H24" s="0">
        <v>1008</v>
      </c>
      <c r="I24" s="0" t="s">
        <v>36</v>
      </c>
      <c r="J24" s="0" t="s">
        <v>54</v>
      </c>
    </row>
    <row r="25">
      <c r="A25" s="3">
        <v>46297</v>
      </c>
      <c r="B25" s="0" t="s">
        <v>23</v>
      </c>
      <c r="C25" s="0" t="s">
        <v>53</v>
      </c>
      <c r="D25" s="0" t="s">
        <v>24</v>
      </c>
      <c r="E25" s="0" t="s">
        <v>31</v>
      </c>
      <c r="F25" s="0" t="s">
        <v>26</v>
      </c>
      <c r="G25" s="0" t="s">
        <v>35</v>
      </c>
      <c r="H25" s="0">
        <v>1008</v>
      </c>
      <c r="I25" s="0" t="s">
        <v>36</v>
      </c>
      <c r="J25" s="0" t="s">
        <v>55</v>
      </c>
    </row>
    <row r="26">
      <c r="A26" s="3">
        <v>46295</v>
      </c>
      <c r="B26" s="0" t="s">
        <v>52</v>
      </c>
      <c r="C26" s="0" t="s">
        <v>53</v>
      </c>
      <c r="D26" s="0" t="s">
        <v>24</v>
      </c>
      <c r="E26" s="0" t="s">
        <v>40</v>
      </c>
      <c r="F26" s="0" t="s">
        <v>41</v>
      </c>
      <c r="G26" s="0" t="s">
        <v>35</v>
      </c>
      <c r="H26" s="0">
        <v>1008</v>
      </c>
      <c r="I26" s="0" t="s">
        <v>36</v>
      </c>
      <c r="J26" s="0" t="s">
        <v>54</v>
      </c>
    </row>
    <row r="27">
      <c r="A27" s="3">
        <v>46294</v>
      </c>
      <c r="B27" s="0" t="s">
        <v>21</v>
      </c>
      <c r="C27" s="0" t="s">
        <v>53</v>
      </c>
      <c r="D27" s="0" t="s">
        <v>24</v>
      </c>
      <c r="E27" s="0" t="s">
        <v>25</v>
      </c>
      <c r="F27" s="0" t="s">
        <v>56</v>
      </c>
      <c r="G27" s="0" t="s">
        <v>15</v>
      </c>
      <c r="H27" s="0">
        <v>1008</v>
      </c>
      <c r="I27" s="0" t="s">
        <v>36</v>
      </c>
      <c r="J27" s="0" t="s">
        <v>57</v>
      </c>
    </row>
    <row r="28">
      <c r="A28" s="3">
        <v>46297</v>
      </c>
      <c r="B28" s="0" t="s">
        <v>23</v>
      </c>
      <c r="C28" s="0" t="s">
        <v>53</v>
      </c>
      <c r="D28" s="0" t="s">
        <v>24</v>
      </c>
      <c r="E28" s="0" t="s">
        <v>25</v>
      </c>
      <c r="F28" s="0" t="s">
        <v>56</v>
      </c>
      <c r="G28" s="0" t="s">
        <v>15</v>
      </c>
      <c r="H28" s="0">
        <v>1008</v>
      </c>
      <c r="I28" s="0" t="s">
        <v>36</v>
      </c>
      <c r="J28" s="0" t="s">
        <v>55</v>
      </c>
    </row>
    <row r="29">
      <c r="A29" s="3">
        <v>46297</v>
      </c>
      <c r="B29" s="0" t="s">
        <v>23</v>
      </c>
      <c r="C29" s="0" t="s">
        <v>53</v>
      </c>
      <c r="D29" s="0" t="s">
        <v>24</v>
      </c>
      <c r="E29" s="0" t="s">
        <v>43</v>
      </c>
      <c r="F29" s="0" t="s">
        <v>41</v>
      </c>
      <c r="G29" s="0" t="s">
        <v>35</v>
      </c>
      <c r="H29" s="0">
        <v>1008</v>
      </c>
      <c r="I29" s="0" t="s">
        <v>36</v>
      </c>
      <c r="J29" s="0" t="s">
        <v>55</v>
      </c>
    </row>
    <row r="30">
      <c r="A30" s="3">
        <v>46297</v>
      </c>
      <c r="B30" s="0" t="s">
        <v>23</v>
      </c>
      <c r="C30" s="0" t="s">
        <v>53</v>
      </c>
      <c r="D30" s="0" t="s">
        <v>24</v>
      </c>
      <c r="E30" s="0" t="s">
        <v>58</v>
      </c>
      <c r="F30" s="0" t="s">
        <v>41</v>
      </c>
      <c r="G30" s="0" t="s">
        <v>35</v>
      </c>
      <c r="H30" s="0">
        <v>1008</v>
      </c>
      <c r="I30" s="0" t="s">
        <v>36</v>
      </c>
      <c r="J30" s="0" t="s">
        <v>55</v>
      </c>
    </row>
    <row r="31">
      <c r="A31" s="3">
        <v>46297</v>
      </c>
      <c r="B31" s="0" t="s">
        <v>23</v>
      </c>
      <c r="C31" s="0" t="s">
        <v>53</v>
      </c>
      <c r="D31" s="0" t="s">
        <v>24</v>
      </c>
      <c r="E31" s="0" t="s">
        <v>59</v>
      </c>
      <c r="F31" s="0" t="s">
        <v>41</v>
      </c>
      <c r="G31" s="0" t="s">
        <v>35</v>
      </c>
      <c r="H31" s="0">
        <v>1008</v>
      </c>
      <c r="I31" s="0" t="s">
        <v>36</v>
      </c>
      <c r="J31" s="0" t="s">
        <v>55</v>
      </c>
    </row>
    <row r="32">
      <c r="A32" s="3">
        <v>46297</v>
      </c>
      <c r="B32" s="0" t="s">
        <v>23</v>
      </c>
      <c r="C32" s="0" t="s">
        <v>53</v>
      </c>
      <c r="D32" s="0" t="s">
        <v>24</v>
      </c>
      <c r="E32" s="0" t="s">
        <v>60</v>
      </c>
      <c r="F32" s="0" t="s">
        <v>56</v>
      </c>
      <c r="G32" s="0" t="s">
        <v>15</v>
      </c>
      <c r="H32" s="0">
        <v>1008</v>
      </c>
      <c r="I32" s="0" t="s">
        <v>36</v>
      </c>
      <c r="J32" s="0" t="s">
        <v>55</v>
      </c>
    </row>
    <row r="33">
      <c r="A33" s="3">
        <v>46293</v>
      </c>
      <c r="B33" s="0" t="s">
        <v>19</v>
      </c>
      <c r="C33" s="0" t="s">
        <v>53</v>
      </c>
      <c r="D33" s="0" t="s">
        <v>13</v>
      </c>
      <c r="E33" s="0" t="s">
        <v>20</v>
      </c>
      <c r="F33" s="0" t="s">
        <v>15</v>
      </c>
      <c r="G33" s="0" t="s">
        <v>15</v>
      </c>
      <c r="H33" s="0">
        <v>980</v>
      </c>
      <c r="I33" s="0" t="s">
        <v>36</v>
      </c>
      <c r="J33" s="0" t="s">
        <v>61</v>
      </c>
    </row>
    <row r="34">
      <c r="A34" s="3">
        <v>46293</v>
      </c>
      <c r="B34" s="0" t="s">
        <v>19</v>
      </c>
      <c r="C34" s="0" t="s">
        <v>53</v>
      </c>
      <c r="D34" s="0" t="s">
        <v>13</v>
      </c>
      <c r="E34" s="0" t="s">
        <v>14</v>
      </c>
      <c r="F34" s="0" t="s">
        <v>15</v>
      </c>
      <c r="G34" s="0" t="s">
        <v>15</v>
      </c>
      <c r="H34" s="0">
        <v>980</v>
      </c>
      <c r="I34" s="0" t="s">
        <v>36</v>
      </c>
      <c r="J34" s="0" t="s">
        <v>62</v>
      </c>
    </row>
    <row r="35">
      <c r="A35" s="3">
        <v>46294</v>
      </c>
      <c r="B35" s="0" t="s">
        <v>21</v>
      </c>
      <c r="C35" s="0" t="s">
        <v>53</v>
      </c>
      <c r="D35" s="0" t="s">
        <v>13</v>
      </c>
      <c r="E35" s="0" t="s">
        <v>14</v>
      </c>
      <c r="F35" s="0" t="s">
        <v>15</v>
      </c>
      <c r="G35" s="0" t="s">
        <v>15</v>
      </c>
      <c r="H35" s="0">
        <v>980</v>
      </c>
      <c r="I35" s="0" t="s">
        <v>36</v>
      </c>
      <c r="J35" s="0" t="s">
        <v>63</v>
      </c>
    </row>
    <row r="36">
      <c r="A36" s="3">
        <v>46293</v>
      </c>
      <c r="B36" s="0" t="s">
        <v>19</v>
      </c>
      <c r="C36" s="0" t="s">
        <v>53</v>
      </c>
      <c r="D36" s="0" t="s">
        <v>13</v>
      </c>
      <c r="E36" s="0" t="s">
        <v>22</v>
      </c>
      <c r="F36" s="0" t="s">
        <v>15</v>
      </c>
      <c r="G36" s="0" t="s">
        <v>15</v>
      </c>
      <c r="H36" s="0">
        <v>980</v>
      </c>
      <c r="I36" s="0" t="s">
        <v>36</v>
      </c>
      <c r="J36" s="0" t="s">
        <v>64</v>
      </c>
    </row>
    <row r="37">
      <c r="A37" s="3">
        <v>46295</v>
      </c>
      <c r="B37" s="0" t="s">
        <v>52</v>
      </c>
      <c r="C37" s="0" t="s">
        <v>53</v>
      </c>
      <c r="D37" s="0" t="s">
        <v>24</v>
      </c>
      <c r="E37" s="0" t="s">
        <v>59</v>
      </c>
      <c r="F37" s="0" t="s">
        <v>41</v>
      </c>
      <c r="G37" s="0" t="s">
        <v>35</v>
      </c>
      <c r="H37" s="0">
        <v>1008</v>
      </c>
      <c r="I37" s="0" t="s">
        <v>65</v>
      </c>
      <c r="J37" s="0" t="s">
        <v>66</v>
      </c>
    </row>
    <row r="38">
      <c r="A38" s="3">
        <v>46295</v>
      </c>
      <c r="B38" s="0" t="s">
        <v>52</v>
      </c>
      <c r="C38" s="0" t="s">
        <v>53</v>
      </c>
      <c r="D38" s="0" t="s">
        <v>24</v>
      </c>
      <c r="E38" s="0" t="s">
        <v>27</v>
      </c>
      <c r="F38" s="0" t="s">
        <v>41</v>
      </c>
      <c r="G38" s="0" t="s">
        <v>35</v>
      </c>
      <c r="H38" s="0">
        <v>936</v>
      </c>
      <c r="I38" s="0" t="s">
        <v>67</v>
      </c>
      <c r="J38" s="0" t="s">
        <v>68</v>
      </c>
    </row>
    <row r="39">
      <c r="A39" s="1">
        <v>46301</v>
      </c>
      <c r="B39" s="0" t="s">
        <v>21</v>
      </c>
      <c r="C39" s="0" t="s">
        <v>69</v>
      </c>
      <c r="D39" s="0" t="s">
        <v>24</v>
      </c>
      <c r="E39" s="0" t="s">
        <v>31</v>
      </c>
      <c r="F39" s="0" t="s">
        <v>26</v>
      </c>
      <c r="G39" s="0" t="s">
        <v>35</v>
      </c>
      <c r="H39" s="0">
        <v>1008</v>
      </c>
      <c r="I39" s="0" t="s">
        <v>70</v>
      </c>
      <c r="J39" s="0" t="s">
        <v>71</v>
      </c>
    </row>
    <row r="40">
      <c r="A40" s="1">
        <v>46304</v>
      </c>
      <c r="B40" s="0" t="s">
        <v>23</v>
      </c>
      <c r="C40" s="0" t="s">
        <v>69</v>
      </c>
      <c r="D40" s="0" t="s">
        <v>24</v>
      </c>
      <c r="E40" s="0" t="s">
        <v>31</v>
      </c>
      <c r="F40" s="0" t="s">
        <v>15</v>
      </c>
      <c r="G40" s="0" t="s">
        <v>15</v>
      </c>
      <c r="H40" s="0">
        <v>1008</v>
      </c>
      <c r="I40" s="0" t="s">
        <v>70</v>
      </c>
      <c r="J40" s="0" t="s">
        <v>72</v>
      </c>
    </row>
    <row r="41">
      <c r="A41" s="1">
        <v>46302</v>
      </c>
      <c r="B41" s="0" t="s">
        <v>52</v>
      </c>
      <c r="C41" s="0" t="s">
        <v>69</v>
      </c>
      <c r="D41" s="0" t="s">
        <v>24</v>
      </c>
      <c r="E41" s="0" t="s">
        <v>40</v>
      </c>
      <c r="F41" s="0" t="s">
        <v>15</v>
      </c>
      <c r="G41" s="0" t="s">
        <v>15</v>
      </c>
      <c r="H41" s="0">
        <v>1008</v>
      </c>
      <c r="I41" s="0" t="s">
        <v>70</v>
      </c>
      <c r="J41" s="0" t="s">
        <v>73</v>
      </c>
    </row>
    <row r="42">
      <c r="A42" s="1">
        <v>46302</v>
      </c>
      <c r="B42" s="0" t="s">
        <v>52</v>
      </c>
      <c r="C42" s="0" t="s">
        <v>69</v>
      </c>
      <c r="D42" s="0" t="s">
        <v>24</v>
      </c>
      <c r="E42" s="0" t="s">
        <v>27</v>
      </c>
      <c r="F42" s="0" t="s">
        <v>15</v>
      </c>
      <c r="G42" s="0" t="s">
        <v>15</v>
      </c>
      <c r="H42" s="0">
        <v>936</v>
      </c>
      <c r="I42" s="0" t="s">
        <v>70</v>
      </c>
      <c r="J42" s="0" t="s">
        <v>74</v>
      </c>
    </row>
    <row r="43">
      <c r="A43" s="1">
        <v>46302</v>
      </c>
      <c r="B43" s="0" t="s">
        <v>52</v>
      </c>
      <c r="C43" s="0" t="s">
        <v>69</v>
      </c>
      <c r="D43" s="0" t="s">
        <v>24</v>
      </c>
      <c r="E43" s="0" t="s">
        <v>75</v>
      </c>
      <c r="F43" s="0" t="s">
        <v>15</v>
      </c>
      <c r="G43" s="0" t="s">
        <v>15</v>
      </c>
      <c r="H43" s="0">
        <v>1008</v>
      </c>
      <c r="I43" s="0" t="s">
        <v>70</v>
      </c>
      <c r="J43" s="0" t="s">
        <v>76</v>
      </c>
    </row>
    <row r="44">
      <c r="A44" s="1">
        <v>46301</v>
      </c>
      <c r="B44" s="0" t="s">
        <v>21</v>
      </c>
      <c r="C44" s="0" t="s">
        <v>69</v>
      </c>
      <c r="D44" s="0" t="s">
        <v>24</v>
      </c>
      <c r="E44" s="0" t="s">
        <v>25</v>
      </c>
      <c r="F44" s="0" t="s">
        <v>15</v>
      </c>
      <c r="G44" s="0" t="s">
        <v>15</v>
      </c>
      <c r="H44" s="0">
        <v>1008</v>
      </c>
      <c r="I44" s="0" t="s">
        <v>70</v>
      </c>
      <c r="J44" s="0" t="s">
        <v>77</v>
      </c>
    </row>
    <row r="45">
      <c r="A45" s="1">
        <v>46302</v>
      </c>
      <c r="B45" s="0" t="s">
        <v>52</v>
      </c>
      <c r="C45" s="0" t="s">
        <v>69</v>
      </c>
      <c r="D45" s="0" t="s">
        <v>24</v>
      </c>
      <c r="E45" s="0" t="s">
        <v>25</v>
      </c>
      <c r="F45" s="0" t="s">
        <v>15</v>
      </c>
      <c r="G45" s="0" t="s">
        <v>15</v>
      </c>
      <c r="H45" s="0">
        <v>1008</v>
      </c>
      <c r="I45" s="0" t="s">
        <v>70</v>
      </c>
      <c r="J45" s="0" t="s">
        <v>78</v>
      </c>
    </row>
    <row r="46">
      <c r="A46" s="1">
        <v>46301</v>
      </c>
      <c r="B46" s="0" t="s">
        <v>21</v>
      </c>
      <c r="C46" s="0" t="s">
        <v>69</v>
      </c>
      <c r="D46" s="0" t="s">
        <v>24</v>
      </c>
      <c r="E46" s="0" t="s">
        <v>59</v>
      </c>
      <c r="F46" s="0" t="s">
        <v>15</v>
      </c>
      <c r="G46" s="0" t="s">
        <v>15</v>
      </c>
      <c r="H46" s="0">
        <v>1008</v>
      </c>
      <c r="I46" s="0" t="s">
        <v>70</v>
      </c>
      <c r="J46" s="0" t="s">
        <v>79</v>
      </c>
    </row>
    <row r="47">
      <c r="A47" s="1">
        <v>46300</v>
      </c>
      <c r="B47" s="0" t="s">
        <v>19</v>
      </c>
      <c r="C47" s="0" t="s">
        <v>69</v>
      </c>
      <c r="D47" s="0" t="s">
        <v>13</v>
      </c>
      <c r="E47" s="0" t="s">
        <v>20</v>
      </c>
      <c r="F47" s="0" t="s">
        <v>15</v>
      </c>
      <c r="G47" s="0" t="s">
        <v>15</v>
      </c>
      <c r="H47" s="0">
        <v>980</v>
      </c>
      <c r="I47" s="0" t="s">
        <v>70</v>
      </c>
      <c r="J47" s="0" t="s">
        <v>80</v>
      </c>
    </row>
    <row r="48">
      <c r="A48" s="1">
        <v>46301</v>
      </c>
      <c r="B48" s="0" t="s">
        <v>21</v>
      </c>
      <c r="C48" s="0" t="s">
        <v>69</v>
      </c>
      <c r="D48" s="0" t="s">
        <v>13</v>
      </c>
      <c r="E48" s="0" t="s">
        <v>20</v>
      </c>
      <c r="F48" s="0" t="s">
        <v>15</v>
      </c>
      <c r="G48" s="0" t="s">
        <v>15</v>
      </c>
      <c r="H48" s="0">
        <v>980</v>
      </c>
      <c r="I48" s="0" t="s">
        <v>70</v>
      </c>
      <c r="J48" s="0" t="s">
        <v>81</v>
      </c>
    </row>
    <row r="49">
      <c r="A49" s="1">
        <v>46300</v>
      </c>
      <c r="B49" s="0" t="s">
        <v>19</v>
      </c>
      <c r="C49" s="0" t="s">
        <v>69</v>
      </c>
      <c r="D49" s="0" t="s">
        <v>13</v>
      </c>
      <c r="E49" s="0" t="s">
        <v>14</v>
      </c>
      <c r="F49" s="0" t="s">
        <v>15</v>
      </c>
      <c r="G49" s="0" t="s">
        <v>15</v>
      </c>
      <c r="H49" s="0">
        <v>980</v>
      </c>
      <c r="I49" s="0" t="s">
        <v>70</v>
      </c>
      <c r="J49" s="0" t="s">
        <v>82</v>
      </c>
    </row>
    <row r="50">
      <c r="A50" s="1">
        <v>46301</v>
      </c>
      <c r="B50" s="0" t="s">
        <v>21</v>
      </c>
      <c r="C50" s="0" t="s">
        <v>69</v>
      </c>
      <c r="D50" s="0" t="s">
        <v>13</v>
      </c>
      <c r="E50" s="0" t="s">
        <v>14</v>
      </c>
      <c r="F50" s="0" t="s">
        <v>15</v>
      </c>
      <c r="G50" s="0" t="s">
        <v>15</v>
      </c>
      <c r="H50" s="0">
        <v>980</v>
      </c>
      <c r="I50" s="0" t="s">
        <v>70</v>
      </c>
      <c r="J50" s="0" t="s">
        <v>83</v>
      </c>
    </row>
    <row r="51">
      <c r="A51" s="1">
        <v>46300</v>
      </c>
      <c r="B51" s="0" t="s">
        <v>19</v>
      </c>
      <c r="C51" s="0" t="s">
        <v>69</v>
      </c>
      <c r="D51" s="0" t="s">
        <v>13</v>
      </c>
      <c r="E51" s="0" t="s">
        <v>22</v>
      </c>
      <c r="F51" s="0" t="s">
        <v>15</v>
      </c>
      <c r="G51" s="0" t="s">
        <v>15</v>
      </c>
      <c r="H51" s="0">
        <v>980</v>
      </c>
      <c r="I51" s="0" t="s">
        <v>70</v>
      </c>
      <c r="J51" s="0" t="s">
        <v>84</v>
      </c>
    </row>
    <row r="52">
      <c r="A52" s="1">
        <v>46304</v>
      </c>
      <c r="B52" s="0" t="s">
        <v>23</v>
      </c>
      <c r="C52" s="0" t="s">
        <v>69</v>
      </c>
      <c r="D52" s="0" t="s">
        <v>85</v>
      </c>
      <c r="E52" s="0" t="s">
        <v>86</v>
      </c>
      <c r="F52" s="0" t="s">
        <v>15</v>
      </c>
      <c r="G52" s="0" t="s">
        <v>15</v>
      </c>
      <c r="H52" s="0">
        <v>1050</v>
      </c>
      <c r="I52" s="0" t="s">
        <v>87</v>
      </c>
      <c r="J52" s="0" t="s">
        <v>88</v>
      </c>
    </row>
    <row r="53">
      <c r="A53" s="4">
        <v>46309</v>
      </c>
      <c r="B53" s="0" t="s">
        <v>52</v>
      </c>
      <c r="C53" s="0" t="s">
        <v>89</v>
      </c>
      <c r="D53" s="0" t="s">
        <v>24</v>
      </c>
      <c r="E53" s="0" t="s">
        <v>31</v>
      </c>
      <c r="F53" s="0" t="s">
        <v>26</v>
      </c>
      <c r="G53" s="0" t="s">
        <v>35</v>
      </c>
      <c r="H53" s="0">
        <v>1008</v>
      </c>
      <c r="I53" s="0" t="s">
        <v>90</v>
      </c>
      <c r="J53" s="0" t="s">
        <v>91</v>
      </c>
    </row>
    <row r="54">
      <c r="A54" s="4">
        <v>46312</v>
      </c>
      <c r="B54" s="0" t="s">
        <v>30</v>
      </c>
      <c r="C54" s="0" t="s">
        <v>89</v>
      </c>
      <c r="D54" s="0" t="s">
        <v>24</v>
      </c>
      <c r="E54" s="0" t="s">
        <v>31</v>
      </c>
      <c r="F54" s="0" t="s">
        <v>26</v>
      </c>
      <c r="G54" s="0" t="s">
        <v>35</v>
      </c>
      <c r="H54" s="0">
        <v>1008</v>
      </c>
      <c r="I54" s="0" t="s">
        <v>90</v>
      </c>
      <c r="J54" s="0" t="s">
        <v>92</v>
      </c>
    </row>
    <row r="55">
      <c r="A55" s="4">
        <v>46309</v>
      </c>
      <c r="B55" s="0" t="s">
        <v>52</v>
      </c>
      <c r="C55" s="0" t="s">
        <v>89</v>
      </c>
      <c r="D55" s="0" t="s">
        <v>24</v>
      </c>
      <c r="E55" s="0" t="s">
        <v>40</v>
      </c>
      <c r="F55" s="0" t="s">
        <v>41</v>
      </c>
      <c r="G55" s="0" t="s">
        <v>35</v>
      </c>
      <c r="H55" s="0">
        <v>1008</v>
      </c>
      <c r="I55" s="0" t="s">
        <v>90</v>
      </c>
      <c r="J55" s="0" t="s">
        <v>93</v>
      </c>
    </row>
    <row r="56">
      <c r="A56" s="4">
        <v>46311</v>
      </c>
      <c r="B56" s="0" t="s">
        <v>23</v>
      </c>
      <c r="C56" s="0" t="s">
        <v>89</v>
      </c>
      <c r="D56" s="0" t="s">
        <v>24</v>
      </c>
      <c r="E56" s="0" t="s">
        <v>40</v>
      </c>
      <c r="F56" s="0" t="s">
        <v>41</v>
      </c>
      <c r="G56" s="0" t="s">
        <v>35</v>
      </c>
      <c r="H56" s="0">
        <v>1008</v>
      </c>
      <c r="I56" s="0" t="s">
        <v>90</v>
      </c>
      <c r="J56" s="0" t="s">
        <v>94</v>
      </c>
    </row>
    <row r="57">
      <c r="A57" s="4">
        <v>46309</v>
      </c>
      <c r="B57" s="0" t="s">
        <v>52</v>
      </c>
      <c r="C57" s="0" t="s">
        <v>89</v>
      </c>
      <c r="D57" s="0" t="s">
        <v>24</v>
      </c>
      <c r="E57" s="0" t="s">
        <v>27</v>
      </c>
      <c r="F57" s="0" t="s">
        <v>38</v>
      </c>
      <c r="G57" s="0" t="s">
        <v>29</v>
      </c>
      <c r="H57" s="0">
        <v>1008</v>
      </c>
      <c r="I57" s="0" t="s">
        <v>90</v>
      </c>
      <c r="J57" s="0" t="s">
        <v>95</v>
      </c>
    </row>
    <row r="58">
      <c r="A58" s="4">
        <v>46311</v>
      </c>
      <c r="B58" s="0" t="s">
        <v>23</v>
      </c>
      <c r="C58" s="0" t="s">
        <v>89</v>
      </c>
      <c r="D58" s="0" t="s">
        <v>24</v>
      </c>
      <c r="E58" s="0" t="s">
        <v>27</v>
      </c>
      <c r="F58" s="0" t="s">
        <v>41</v>
      </c>
      <c r="G58" s="0" t="s">
        <v>35</v>
      </c>
      <c r="H58" s="0">
        <v>1008</v>
      </c>
      <c r="I58" s="0" t="s">
        <v>90</v>
      </c>
      <c r="J58" s="0" t="s">
        <v>96</v>
      </c>
    </row>
    <row r="59">
      <c r="A59" s="4">
        <v>46309</v>
      </c>
      <c r="B59" s="0" t="s">
        <v>52</v>
      </c>
      <c r="C59" s="0" t="s">
        <v>89</v>
      </c>
      <c r="D59" s="0" t="s">
        <v>24</v>
      </c>
      <c r="E59" s="0" t="s">
        <v>59</v>
      </c>
      <c r="F59" s="0" t="s">
        <v>41</v>
      </c>
      <c r="G59" s="0" t="s">
        <v>35</v>
      </c>
      <c r="H59" s="0">
        <v>1008</v>
      </c>
      <c r="I59" s="0" t="s">
        <v>90</v>
      </c>
      <c r="J59" s="0" t="s">
        <v>97</v>
      </c>
      <c r="K59" s="0" t="s">
        <v>98</v>
      </c>
    </row>
    <row r="60">
      <c r="A60" s="4">
        <v>46311</v>
      </c>
      <c r="B60" s="0" t="s">
        <v>23</v>
      </c>
      <c r="C60" s="0" t="s">
        <v>89</v>
      </c>
      <c r="D60" s="0" t="s">
        <v>24</v>
      </c>
      <c r="E60" s="0" t="s">
        <v>59</v>
      </c>
      <c r="F60" s="0" t="s">
        <v>41</v>
      </c>
      <c r="G60" s="0" t="s">
        <v>35</v>
      </c>
      <c r="H60" s="0">
        <v>1008</v>
      </c>
      <c r="I60" s="0" t="s">
        <v>90</v>
      </c>
      <c r="J60" s="0" t="s">
        <v>99</v>
      </c>
    </row>
    <row r="61">
      <c r="A61" s="4">
        <v>46309</v>
      </c>
      <c r="B61" s="0" t="s">
        <v>52</v>
      </c>
      <c r="C61" s="0" t="s">
        <v>89</v>
      </c>
      <c r="D61" s="0" t="s">
        <v>24</v>
      </c>
      <c r="E61" s="0" t="s">
        <v>25</v>
      </c>
      <c r="F61" s="0" t="s">
        <v>56</v>
      </c>
      <c r="G61" s="0" t="s">
        <v>15</v>
      </c>
      <c r="H61" s="0">
        <v>1008</v>
      </c>
      <c r="I61" s="0" t="s">
        <v>90</v>
      </c>
      <c r="J61" s="0" t="s">
        <v>100</v>
      </c>
      <c r="K61" s="0" t="s">
        <v>98</v>
      </c>
    </row>
    <row r="62">
      <c r="A62" s="4">
        <v>46309</v>
      </c>
      <c r="B62" s="0" t="s">
        <v>52</v>
      </c>
      <c r="C62" s="0" t="s">
        <v>89</v>
      </c>
      <c r="D62" s="0" t="s">
        <v>24</v>
      </c>
      <c r="E62" s="0" t="s">
        <v>60</v>
      </c>
      <c r="F62" s="0" t="s">
        <v>56</v>
      </c>
      <c r="G62" s="0" t="s">
        <v>15</v>
      </c>
      <c r="H62" s="0">
        <v>1008</v>
      </c>
      <c r="I62" s="0" t="s">
        <v>90</v>
      </c>
      <c r="J62" s="0" t="s">
        <v>101</v>
      </c>
      <c r="K62" s="0" t="s">
        <v>98</v>
      </c>
    </row>
    <row r="63">
      <c r="A63" s="4">
        <v>46309</v>
      </c>
      <c r="B63" s="0" t="s">
        <v>52</v>
      </c>
      <c r="C63" s="0" t="s">
        <v>89</v>
      </c>
      <c r="D63" s="0" t="s">
        <v>24</v>
      </c>
      <c r="E63" s="0" t="s">
        <v>58</v>
      </c>
      <c r="F63" s="0" t="s">
        <v>41</v>
      </c>
      <c r="G63" s="0" t="s">
        <v>35</v>
      </c>
      <c r="H63" s="0">
        <v>1008</v>
      </c>
      <c r="I63" s="0" t="s">
        <v>90</v>
      </c>
      <c r="J63" s="0" t="s">
        <v>102</v>
      </c>
    </row>
    <row r="64">
      <c r="A64" s="4">
        <v>46309</v>
      </c>
      <c r="B64" s="0" t="s">
        <v>52</v>
      </c>
      <c r="C64" s="0" t="s">
        <v>89</v>
      </c>
      <c r="D64" s="0" t="s">
        <v>24</v>
      </c>
      <c r="E64" s="0" t="s">
        <v>43</v>
      </c>
      <c r="F64" s="0" t="s">
        <v>41</v>
      </c>
      <c r="G64" s="0" t="s">
        <v>35</v>
      </c>
      <c r="H64" s="0">
        <v>1008</v>
      </c>
      <c r="I64" s="0" t="s">
        <v>90</v>
      </c>
      <c r="J64" s="0" t="s">
        <v>103</v>
      </c>
      <c r="K64" s="0" t="s">
        <v>98</v>
      </c>
    </row>
    <row r="65">
      <c r="A65" s="4">
        <v>46311</v>
      </c>
      <c r="B65" s="0" t="s">
        <v>23</v>
      </c>
      <c r="C65" s="0" t="s">
        <v>89</v>
      </c>
      <c r="D65" s="0" t="s">
        <v>24</v>
      </c>
      <c r="E65" s="0" t="s">
        <v>43</v>
      </c>
      <c r="F65" s="0" t="s">
        <v>41</v>
      </c>
      <c r="G65" s="0" t="s">
        <v>35</v>
      </c>
      <c r="H65" s="0">
        <v>1008</v>
      </c>
      <c r="I65" s="0" t="s">
        <v>90</v>
      </c>
      <c r="J65" s="0" t="s">
        <v>104</v>
      </c>
    </row>
    <row r="66">
      <c r="A66" s="4">
        <v>46311</v>
      </c>
      <c r="B66" s="0" t="s">
        <v>23</v>
      </c>
      <c r="C66" s="0" t="s">
        <v>89</v>
      </c>
      <c r="D66" s="0" t="s">
        <v>24</v>
      </c>
      <c r="E66" s="0" t="s">
        <v>105</v>
      </c>
      <c r="F66" s="0" t="s">
        <v>56</v>
      </c>
      <c r="G66" s="0" t="s">
        <v>15</v>
      </c>
      <c r="H66" s="0">
        <v>1008</v>
      </c>
      <c r="I66" s="0" t="s">
        <v>90</v>
      </c>
      <c r="J66" s="0" t="s">
        <v>106</v>
      </c>
    </row>
    <row r="67">
      <c r="A67" s="4">
        <v>46308</v>
      </c>
      <c r="B67" s="0" t="s">
        <v>21</v>
      </c>
      <c r="C67" s="0" t="s">
        <v>89</v>
      </c>
      <c r="D67" s="0" t="s">
        <v>24</v>
      </c>
      <c r="E67" s="0" t="s">
        <v>107</v>
      </c>
      <c r="F67" s="0" t="s">
        <v>15</v>
      </c>
      <c r="G67" s="0" t="s">
        <v>15</v>
      </c>
      <c r="H67" s="0">
        <v>432</v>
      </c>
      <c r="I67" s="0" t="s">
        <v>90</v>
      </c>
      <c r="J67" s="0" t="s">
        <v>108</v>
      </c>
    </row>
    <row r="68">
      <c r="A68" s="4">
        <v>46308</v>
      </c>
      <c r="B68" s="0" t="s">
        <v>21</v>
      </c>
      <c r="C68" s="0" t="s">
        <v>89</v>
      </c>
      <c r="D68" s="0" t="s">
        <v>13</v>
      </c>
      <c r="E68" s="0" t="s">
        <v>22</v>
      </c>
      <c r="F68" s="0" t="s">
        <v>15</v>
      </c>
      <c r="G68" s="0" t="s">
        <v>15</v>
      </c>
      <c r="H68" s="0">
        <v>980</v>
      </c>
      <c r="I68" s="0" t="s">
        <v>90</v>
      </c>
      <c r="J68" s="0" t="s">
        <v>109</v>
      </c>
      <c r="K68" s="0" t="s">
        <v>98</v>
      </c>
    </row>
    <row r="69">
      <c r="A69" s="4">
        <v>46309</v>
      </c>
      <c r="B69" s="0" t="s">
        <v>52</v>
      </c>
      <c r="C69" s="0" t="s">
        <v>89</v>
      </c>
      <c r="D69" s="0" t="s">
        <v>13</v>
      </c>
      <c r="E69" s="0" t="s">
        <v>20</v>
      </c>
      <c r="F69" s="0" t="s">
        <v>15</v>
      </c>
      <c r="G69" s="0" t="s">
        <v>15</v>
      </c>
      <c r="H69" s="0">
        <v>980</v>
      </c>
      <c r="I69" s="0" t="s">
        <v>90</v>
      </c>
      <c r="J69" s="0" t="s">
        <v>110</v>
      </c>
    </row>
    <row r="70">
      <c r="A70" s="4">
        <v>46311</v>
      </c>
      <c r="B70" s="0" t="s">
        <v>23</v>
      </c>
      <c r="C70" s="0" t="s">
        <v>89</v>
      </c>
      <c r="D70" s="0" t="s">
        <v>85</v>
      </c>
      <c r="E70" s="0" t="s">
        <v>86</v>
      </c>
      <c r="F70" s="0" t="s">
        <v>15</v>
      </c>
      <c r="G70" s="0" t="s">
        <v>15</v>
      </c>
      <c r="H70" s="0">
        <v>1050</v>
      </c>
      <c r="I70" s="0" t="s">
        <v>90</v>
      </c>
      <c r="J70" s="0" t="s">
        <v>111</v>
      </c>
    </row>
    <row r="71">
      <c r="A71" s="5">
        <v>46312</v>
      </c>
      <c r="B71" s="0" t="s">
        <v>30</v>
      </c>
      <c r="C71" s="0" t="s">
        <v>89</v>
      </c>
      <c r="D71" s="0" t="s">
        <v>24</v>
      </c>
      <c r="E71" s="0" t="s">
        <v>112</v>
      </c>
      <c r="F71" s="0" t="s">
        <v>15</v>
      </c>
      <c r="G71" s="0" t="s">
        <v>15</v>
      </c>
      <c r="H71" s="0">
        <v>1008</v>
      </c>
      <c r="I71" s="0" t="s">
        <v>113</v>
      </c>
      <c r="J71" s="0" t="s">
        <v>114</v>
      </c>
    </row>
    <row r="72">
      <c r="A72" s="6">
        <v>46315</v>
      </c>
      <c r="B72" s="0" t="s">
        <v>21</v>
      </c>
      <c r="C72" s="0" t="s">
        <v>115</v>
      </c>
      <c r="D72" s="0" t="s">
        <v>24</v>
      </c>
      <c r="E72" s="0" t="s">
        <v>107</v>
      </c>
      <c r="F72" s="0" t="s">
        <v>15</v>
      </c>
      <c r="G72" s="0" t="s">
        <v>15</v>
      </c>
      <c r="H72" s="0">
        <v>432</v>
      </c>
      <c r="I72" s="0" t="s">
        <v>116</v>
      </c>
      <c r="J72" s="0" t="s">
        <v>117</v>
      </c>
    </row>
    <row r="73">
      <c r="A73" s="6">
        <v>46316</v>
      </c>
      <c r="B73" s="0" t="s">
        <v>52</v>
      </c>
      <c r="C73" s="0" t="s">
        <v>115</v>
      </c>
      <c r="D73" s="0" t="s">
        <v>24</v>
      </c>
      <c r="E73" s="0" t="s">
        <v>58</v>
      </c>
      <c r="F73" s="0" t="s">
        <v>15</v>
      </c>
      <c r="G73" s="0" t="s">
        <v>15</v>
      </c>
      <c r="H73" s="0">
        <v>432</v>
      </c>
      <c r="I73" s="0" t="s">
        <v>116</v>
      </c>
      <c r="J73" s="0" t="s">
        <v>118</v>
      </c>
    </row>
    <row r="74">
      <c r="A74" s="6">
        <v>46315</v>
      </c>
      <c r="B74" s="0" t="s">
        <v>21</v>
      </c>
      <c r="C74" s="0" t="s">
        <v>115</v>
      </c>
      <c r="D74" s="0" t="s">
        <v>24</v>
      </c>
      <c r="E74" s="0" t="s">
        <v>31</v>
      </c>
      <c r="F74" s="0" t="s">
        <v>26</v>
      </c>
      <c r="G74" s="0" t="s">
        <v>35</v>
      </c>
      <c r="H74" s="0">
        <v>1008</v>
      </c>
      <c r="I74" s="0" t="s">
        <v>116</v>
      </c>
      <c r="J74" s="0" t="s">
        <v>119</v>
      </c>
    </row>
    <row r="75">
      <c r="A75" s="6">
        <v>46316</v>
      </c>
      <c r="B75" s="0" t="s">
        <v>52</v>
      </c>
      <c r="C75" s="0" t="s">
        <v>115</v>
      </c>
      <c r="D75" s="0" t="s">
        <v>24</v>
      </c>
      <c r="E75" s="0" t="s">
        <v>31</v>
      </c>
      <c r="F75" s="0" t="s">
        <v>26</v>
      </c>
      <c r="G75" s="0" t="s">
        <v>35</v>
      </c>
      <c r="H75" s="0">
        <v>1008</v>
      </c>
      <c r="I75" s="0" t="s">
        <v>116</v>
      </c>
      <c r="J75" s="0" t="s">
        <v>120</v>
      </c>
    </row>
    <row r="76">
      <c r="A76" s="6">
        <v>46315</v>
      </c>
      <c r="B76" s="0" t="s">
        <v>21</v>
      </c>
      <c r="C76" s="0" t="s">
        <v>115</v>
      </c>
      <c r="D76" s="0" t="s">
        <v>24</v>
      </c>
      <c r="E76" s="0" t="s">
        <v>121</v>
      </c>
      <c r="F76" s="0" t="s">
        <v>56</v>
      </c>
      <c r="G76" s="0" t="s">
        <v>15</v>
      </c>
      <c r="H76" s="0">
        <v>1008</v>
      </c>
      <c r="I76" s="0" t="s">
        <v>116</v>
      </c>
      <c r="J76" s="0" t="s">
        <v>122</v>
      </c>
    </row>
    <row r="77">
      <c r="A77" s="6">
        <v>46316</v>
      </c>
      <c r="B77" s="0" t="s">
        <v>52</v>
      </c>
      <c r="C77" s="0" t="s">
        <v>115</v>
      </c>
      <c r="D77" s="0" t="s">
        <v>24</v>
      </c>
      <c r="E77" s="0" t="s">
        <v>121</v>
      </c>
      <c r="F77" s="0" t="s">
        <v>56</v>
      </c>
      <c r="G77" s="0" t="s">
        <v>15</v>
      </c>
      <c r="H77" s="0">
        <v>1008</v>
      </c>
      <c r="I77" s="0" t="s">
        <v>116</v>
      </c>
      <c r="J77" s="0" t="s">
        <v>123</v>
      </c>
    </row>
    <row r="78">
      <c r="A78" s="6">
        <v>46318</v>
      </c>
      <c r="B78" s="0" t="s">
        <v>23</v>
      </c>
      <c r="C78" s="0" t="s">
        <v>115</v>
      </c>
      <c r="D78" s="0" t="s">
        <v>24</v>
      </c>
      <c r="E78" s="0" t="s">
        <v>121</v>
      </c>
      <c r="F78" s="0" t="s">
        <v>56</v>
      </c>
      <c r="G78" s="0" t="s">
        <v>15</v>
      </c>
      <c r="H78" s="0">
        <v>1008</v>
      </c>
      <c r="I78" s="0" t="s">
        <v>116</v>
      </c>
      <c r="J78" s="0" t="s">
        <v>124</v>
      </c>
    </row>
    <row r="79">
      <c r="A79" s="6">
        <v>46314</v>
      </c>
      <c r="B79" s="0" t="s">
        <v>19</v>
      </c>
      <c r="C79" s="0" t="s">
        <v>115</v>
      </c>
      <c r="D79" s="0" t="s">
        <v>24</v>
      </c>
      <c r="E79" s="0" t="s">
        <v>59</v>
      </c>
      <c r="F79" s="0" t="s">
        <v>56</v>
      </c>
      <c r="G79" s="0" t="s">
        <v>15</v>
      </c>
      <c r="H79" s="0">
        <v>1008</v>
      </c>
      <c r="I79" s="0" t="s">
        <v>116</v>
      </c>
      <c r="J79" s="0" t="s">
        <v>125</v>
      </c>
    </row>
    <row r="80">
      <c r="A80" s="6">
        <v>46315</v>
      </c>
      <c r="B80" s="0" t="s">
        <v>21</v>
      </c>
      <c r="C80" s="0" t="s">
        <v>115</v>
      </c>
      <c r="D80" s="0" t="s">
        <v>24</v>
      </c>
      <c r="E80" s="0" t="s">
        <v>59</v>
      </c>
      <c r="F80" s="0" t="s">
        <v>56</v>
      </c>
      <c r="G80" s="0" t="s">
        <v>15</v>
      </c>
      <c r="H80" s="0">
        <v>1008</v>
      </c>
      <c r="I80" s="0" t="s">
        <v>116</v>
      </c>
      <c r="J80" s="0" t="s">
        <v>126</v>
      </c>
    </row>
    <row r="81">
      <c r="A81" s="6">
        <v>46318</v>
      </c>
      <c r="B81" s="0" t="s">
        <v>23</v>
      </c>
      <c r="C81" s="0" t="s">
        <v>115</v>
      </c>
      <c r="D81" s="0" t="s">
        <v>24</v>
      </c>
      <c r="E81" s="0" t="s">
        <v>59</v>
      </c>
      <c r="F81" s="0" t="s">
        <v>56</v>
      </c>
      <c r="G81" s="0" t="s">
        <v>15</v>
      </c>
      <c r="H81" s="0">
        <v>1008</v>
      </c>
      <c r="I81" s="0" t="s">
        <v>116</v>
      </c>
      <c r="J81" s="0" t="s">
        <v>127</v>
      </c>
    </row>
    <row r="82">
      <c r="A82" s="6">
        <v>46318</v>
      </c>
      <c r="B82" s="0" t="s">
        <v>23</v>
      </c>
      <c r="C82" s="0" t="s">
        <v>115</v>
      </c>
      <c r="D82" s="0" t="s">
        <v>24</v>
      </c>
      <c r="E82" s="0" t="s">
        <v>128</v>
      </c>
      <c r="F82" s="0" t="s">
        <v>129</v>
      </c>
      <c r="G82" s="0" t="s">
        <v>15</v>
      </c>
      <c r="H82" s="0">
        <v>1008</v>
      </c>
      <c r="I82" s="0" t="s">
        <v>116</v>
      </c>
      <c r="J82" s="0" t="s">
        <v>130</v>
      </c>
    </row>
    <row r="83">
      <c r="A83" s="6">
        <v>46319</v>
      </c>
      <c r="B83" s="0" t="s">
        <v>30</v>
      </c>
      <c r="C83" s="0" t="s">
        <v>115</v>
      </c>
      <c r="D83" s="0" t="s">
        <v>24</v>
      </c>
      <c r="E83" s="0" t="s">
        <v>131</v>
      </c>
      <c r="F83" s="0" t="s">
        <v>41</v>
      </c>
      <c r="G83" s="0" t="s">
        <v>35</v>
      </c>
      <c r="H83" s="0">
        <v>1008</v>
      </c>
      <c r="I83" s="0" t="s">
        <v>116</v>
      </c>
      <c r="J83" s="0" t="s">
        <v>132</v>
      </c>
    </row>
    <row r="84">
      <c r="A84" s="6">
        <v>46315</v>
      </c>
      <c r="B84" s="0" t="s">
        <v>21</v>
      </c>
      <c r="C84" s="0" t="s">
        <v>115</v>
      </c>
      <c r="D84" s="0" t="s">
        <v>24</v>
      </c>
      <c r="E84" s="0" t="s">
        <v>27</v>
      </c>
      <c r="F84" s="0" t="s">
        <v>38</v>
      </c>
      <c r="G84" s="0" t="s">
        <v>29</v>
      </c>
      <c r="H84" s="0">
        <v>1008</v>
      </c>
      <c r="I84" s="0" t="s">
        <v>116</v>
      </c>
      <c r="J84" s="0" t="s">
        <v>133</v>
      </c>
    </row>
    <row r="85">
      <c r="A85" s="6">
        <v>46316</v>
      </c>
      <c r="B85" s="0" t="s">
        <v>52</v>
      </c>
      <c r="C85" s="0" t="s">
        <v>115</v>
      </c>
      <c r="D85" s="0" t="s">
        <v>24</v>
      </c>
      <c r="E85" s="0" t="s">
        <v>27</v>
      </c>
      <c r="F85" s="0" t="s">
        <v>41</v>
      </c>
      <c r="G85" s="0" t="s">
        <v>35</v>
      </c>
      <c r="H85" s="0">
        <v>1008</v>
      </c>
      <c r="I85" s="0" t="s">
        <v>116</v>
      </c>
      <c r="J85" s="0" t="s">
        <v>134</v>
      </c>
    </row>
    <row r="86">
      <c r="A86" s="6">
        <v>46318</v>
      </c>
      <c r="B86" s="0" t="s">
        <v>23</v>
      </c>
      <c r="C86" s="0" t="s">
        <v>115</v>
      </c>
      <c r="D86" s="0" t="s">
        <v>24</v>
      </c>
      <c r="E86" s="0" t="s">
        <v>27</v>
      </c>
      <c r="F86" s="0" t="s">
        <v>41</v>
      </c>
      <c r="G86" s="0" t="s">
        <v>35</v>
      </c>
      <c r="H86" s="0">
        <v>1008</v>
      </c>
      <c r="I86" s="0" t="s">
        <v>116</v>
      </c>
      <c r="J86" s="0" t="s">
        <v>135</v>
      </c>
    </row>
    <row r="87">
      <c r="A87" s="6">
        <v>46315</v>
      </c>
      <c r="B87" s="0" t="s">
        <v>21</v>
      </c>
      <c r="C87" s="0" t="s">
        <v>115</v>
      </c>
      <c r="D87" s="0" t="s">
        <v>24</v>
      </c>
      <c r="E87" s="0" t="s">
        <v>112</v>
      </c>
      <c r="F87" s="0" t="s">
        <v>41</v>
      </c>
      <c r="G87" s="0" t="s">
        <v>35</v>
      </c>
      <c r="H87" s="0">
        <v>1008</v>
      </c>
      <c r="I87" s="0" t="s">
        <v>116</v>
      </c>
      <c r="J87" s="0" t="s">
        <v>136</v>
      </c>
    </row>
    <row r="88">
      <c r="A88" s="6">
        <v>46316</v>
      </c>
      <c r="B88" s="0" t="s">
        <v>52</v>
      </c>
      <c r="C88" s="0" t="s">
        <v>115</v>
      </c>
      <c r="D88" s="0" t="s">
        <v>24</v>
      </c>
      <c r="E88" s="0" t="s">
        <v>75</v>
      </c>
      <c r="F88" s="0" t="s">
        <v>41</v>
      </c>
      <c r="G88" s="0" t="s">
        <v>35</v>
      </c>
      <c r="H88" s="0">
        <v>1008</v>
      </c>
      <c r="I88" s="0" t="s">
        <v>116</v>
      </c>
      <c r="J88" s="0" t="s">
        <v>137</v>
      </c>
    </row>
    <row r="89">
      <c r="A89" s="6">
        <v>46315</v>
      </c>
      <c r="B89" s="0" t="s">
        <v>21</v>
      </c>
      <c r="C89" s="0" t="s">
        <v>115</v>
      </c>
      <c r="D89" s="0" t="s">
        <v>24</v>
      </c>
      <c r="E89" s="0" t="s">
        <v>25</v>
      </c>
      <c r="F89" s="0" t="s">
        <v>41</v>
      </c>
      <c r="G89" s="0" t="s">
        <v>35</v>
      </c>
      <c r="H89" s="0">
        <v>1008</v>
      </c>
      <c r="I89" s="0" t="s">
        <v>116</v>
      </c>
      <c r="J89" s="0" t="s">
        <v>138</v>
      </c>
    </row>
    <row r="90">
      <c r="A90" s="6">
        <v>46316</v>
      </c>
      <c r="B90" s="0" t="s">
        <v>52</v>
      </c>
      <c r="C90" s="0" t="s">
        <v>115</v>
      </c>
      <c r="D90" s="0" t="s">
        <v>24</v>
      </c>
      <c r="E90" s="0" t="s">
        <v>139</v>
      </c>
      <c r="F90" s="0" t="s">
        <v>41</v>
      </c>
      <c r="G90" s="0" t="s">
        <v>35</v>
      </c>
      <c r="H90" s="0">
        <v>1008</v>
      </c>
      <c r="I90" s="0" t="s">
        <v>116</v>
      </c>
      <c r="J90" s="0" t="s">
        <v>140</v>
      </c>
    </row>
    <row r="91">
      <c r="A91" s="6">
        <v>46316</v>
      </c>
      <c r="B91" s="0" t="s">
        <v>52</v>
      </c>
      <c r="C91" s="0" t="s">
        <v>115</v>
      </c>
      <c r="D91" s="0" t="s">
        <v>24</v>
      </c>
      <c r="E91" s="0" t="s">
        <v>40</v>
      </c>
      <c r="F91" s="0" t="s">
        <v>41</v>
      </c>
      <c r="G91" s="0" t="s">
        <v>35</v>
      </c>
      <c r="H91" s="0">
        <v>1008</v>
      </c>
      <c r="I91" s="0" t="s">
        <v>116</v>
      </c>
      <c r="J91" s="0" t="s">
        <v>141</v>
      </c>
    </row>
    <row r="92">
      <c r="A92" s="6">
        <v>46318</v>
      </c>
      <c r="B92" s="0" t="s">
        <v>23</v>
      </c>
      <c r="C92" s="0" t="s">
        <v>115</v>
      </c>
      <c r="D92" s="0" t="s">
        <v>24</v>
      </c>
      <c r="E92" s="0" t="s">
        <v>40</v>
      </c>
      <c r="F92" s="0" t="s">
        <v>41</v>
      </c>
      <c r="G92" s="0" t="s">
        <v>35</v>
      </c>
      <c r="H92" s="0">
        <v>1008</v>
      </c>
      <c r="I92" s="0" t="s">
        <v>116</v>
      </c>
      <c r="J92" s="0" t="s">
        <v>142</v>
      </c>
    </row>
    <row r="93">
      <c r="A93" s="6">
        <v>46315</v>
      </c>
      <c r="B93" s="0" t="s">
        <v>21</v>
      </c>
      <c r="C93" s="0" t="s">
        <v>115</v>
      </c>
      <c r="D93" s="0" t="s">
        <v>24</v>
      </c>
      <c r="E93" s="0" t="s">
        <v>43</v>
      </c>
      <c r="F93" s="0" t="s">
        <v>41</v>
      </c>
      <c r="G93" s="0" t="s">
        <v>35</v>
      </c>
      <c r="H93" s="0">
        <v>1008</v>
      </c>
      <c r="I93" s="0" t="s">
        <v>116</v>
      </c>
      <c r="J93" s="0" t="s">
        <v>143</v>
      </c>
    </row>
    <row r="94">
      <c r="A94" s="6">
        <v>46316</v>
      </c>
      <c r="B94" s="0" t="s">
        <v>52</v>
      </c>
      <c r="C94" s="0" t="s">
        <v>115</v>
      </c>
      <c r="D94" s="0" t="s">
        <v>24</v>
      </c>
      <c r="E94" s="0" t="s">
        <v>60</v>
      </c>
      <c r="F94" s="0" t="s">
        <v>41</v>
      </c>
      <c r="G94" s="0" t="s">
        <v>35</v>
      </c>
      <c r="H94" s="0">
        <v>1008</v>
      </c>
      <c r="I94" s="0" t="s">
        <v>116</v>
      </c>
      <c r="J94" s="0" t="s">
        <v>144</v>
      </c>
    </row>
    <row r="95">
      <c r="A95" s="6">
        <v>46315</v>
      </c>
      <c r="B95" s="0" t="s">
        <v>21</v>
      </c>
      <c r="C95" s="0" t="s">
        <v>115</v>
      </c>
      <c r="D95" s="0" t="s">
        <v>24</v>
      </c>
      <c r="E95" s="0" t="s">
        <v>105</v>
      </c>
      <c r="F95" s="0" t="s">
        <v>41</v>
      </c>
      <c r="G95" s="0" t="s">
        <v>35</v>
      </c>
      <c r="H95" s="0">
        <v>1008</v>
      </c>
      <c r="I95" s="0" t="s">
        <v>116</v>
      </c>
      <c r="J95" s="0" t="s">
        <v>145</v>
      </c>
    </row>
    <row r="96">
      <c r="A96" s="6">
        <v>46318</v>
      </c>
      <c r="B96" s="0" t="s">
        <v>23</v>
      </c>
      <c r="C96" s="0" t="s">
        <v>115</v>
      </c>
      <c r="D96" s="0" t="s">
        <v>24</v>
      </c>
      <c r="E96" s="0" t="s">
        <v>146</v>
      </c>
      <c r="F96" s="0" t="s">
        <v>41</v>
      </c>
      <c r="G96" s="0" t="s">
        <v>35</v>
      </c>
      <c r="H96" s="0">
        <v>1008</v>
      </c>
      <c r="I96" s="0" t="s">
        <v>116</v>
      </c>
      <c r="J96" s="0" t="s">
        <v>147</v>
      </c>
    </row>
    <row r="97">
      <c r="A97" s="6">
        <v>46314</v>
      </c>
      <c r="B97" s="0" t="s">
        <v>19</v>
      </c>
      <c r="C97" s="0" t="s">
        <v>115</v>
      </c>
      <c r="D97" s="0" t="s">
        <v>13</v>
      </c>
      <c r="E97" s="0" t="s">
        <v>148</v>
      </c>
      <c r="F97" s="0" t="s">
        <v>15</v>
      </c>
      <c r="G97" s="0" t="s">
        <v>15</v>
      </c>
      <c r="H97" s="0">
        <v>980</v>
      </c>
      <c r="I97" s="0" t="s">
        <v>116</v>
      </c>
      <c r="J97" s="0" t="s">
        <v>149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/>
  <cols>
    <col min="1" max="1" width="14.28515625" customWidth="1"/>
    <col min="2" max="4" width="9.140625" customWidth="1"/>
    <col min="5" max="5" width="38.42578125" customWidth="1"/>
    <col min="6" max="6" width="30.140625" customWidth="1"/>
  </cols>
  <sheetData>
    <row r="1">
      <c r="A1" s="2" t="s">
        <v>150</v>
      </c>
      <c r="B1" s="2" t="s">
        <v>24</v>
      </c>
      <c r="C1" s="2" t="s">
        <v>13</v>
      </c>
      <c r="D1" s="2" t="s">
        <v>85</v>
      </c>
      <c r="E1" s="2" t="s">
        <v>8</v>
      </c>
      <c r="F1" s="2" t="s">
        <v>9</v>
      </c>
    </row>
    <row r="2">
      <c r="A2" s="3">
        <v>46279</v>
      </c>
      <c r="B2" s="0">
        <v>8590</v>
      </c>
      <c r="C2" s="0">
        <v>5769</v>
      </c>
      <c r="D2" s="0">
        <v>1492</v>
      </c>
      <c r="E2" s="0" t="s">
        <v>151</v>
      </c>
      <c r="F2" s="0" t="s">
        <v>152</v>
      </c>
    </row>
    <row r="3">
      <c r="A3" s="3">
        <v>46286</v>
      </c>
      <c r="B3" s="0">
        <v>7919</v>
      </c>
      <c r="C3" s="0">
        <v>6221</v>
      </c>
      <c r="D3" s="0">
        <v>705</v>
      </c>
      <c r="E3" s="0" t="s">
        <v>151</v>
      </c>
      <c r="F3" s="0" t="s">
        <v>153</v>
      </c>
    </row>
    <row r="4">
      <c r="A4" s="3">
        <v>46293</v>
      </c>
      <c r="B4" s="0">
        <v>8640</v>
      </c>
      <c r="C4" s="0">
        <v>6310</v>
      </c>
      <c r="D4" s="0">
        <v>1050</v>
      </c>
      <c r="E4" s="0" t="s">
        <v>154</v>
      </c>
      <c r="F4" s="0" t="s">
        <v>155</v>
      </c>
    </row>
    <row r="5">
      <c r="A5" s="3">
        <v>46300</v>
      </c>
      <c r="B5" s="0">
        <v>9929</v>
      </c>
      <c r="C5" s="0">
        <v>5021</v>
      </c>
      <c r="D5" s="0">
        <v>1050</v>
      </c>
      <c r="E5" s="0" t="s">
        <v>156</v>
      </c>
      <c r="F5" s="0" t="s">
        <v>157</v>
      </c>
    </row>
    <row r="6">
      <c r="A6" s="3">
        <v>46307</v>
      </c>
      <c r="B6" s="0">
        <v>9756</v>
      </c>
      <c r="C6" s="0">
        <v>7056</v>
      </c>
      <c r="D6" s="0">
        <v>1188</v>
      </c>
      <c r="E6" s="0" t="s">
        <v>158</v>
      </c>
      <c r="F6" s="0" t="s">
        <v>159</v>
      </c>
    </row>
    <row r="7">
      <c r="A7" s="3">
        <v>46314</v>
      </c>
      <c r="B7" s="0">
        <v>10840</v>
      </c>
      <c r="C7" s="0">
        <v>7840</v>
      </c>
      <c r="D7" s="0">
        <v>1320</v>
      </c>
      <c r="E7" s="0" t="s">
        <v>160</v>
      </c>
      <c r="F7" s="0" t="s">
        <v>161</v>
      </c>
    </row>
    <row r="8">
      <c r="A8" s="7">
        <v>46321</v>
      </c>
      <c r="B8" s="0">
        <v>11111</v>
      </c>
      <c r="C8" s="0">
        <v>8036</v>
      </c>
      <c r="D8" s="0">
        <v>1353</v>
      </c>
      <c r="E8" s="0" t="s">
        <v>162</v>
      </c>
      <c r="F8" s="0" t="s">
        <v>163</v>
      </c>
    </row>
    <row r="9">
      <c r="A9" s="7">
        <v>46328</v>
      </c>
      <c r="B9" s="0">
        <v>8672</v>
      </c>
      <c r="C9" s="0">
        <v>6272</v>
      </c>
      <c r="D9" s="0">
        <v>1056</v>
      </c>
      <c r="E9" s="0" t="s">
        <v>164</v>
      </c>
      <c r="F9" s="0" t="s">
        <v>165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1"/>
  <sheetViews>
    <sheetView workbookViewId="0"/>
  </sheetViews>
  <sheetFormatPr baseColWidth="10" defaultColWidth="9.140625" defaultRowHeight="15"/>
  <cols>
    <col min="1" max="1" width="218.140625" customWidth="1"/>
  </cols>
  <sheetData>
    <row r="1">
      <c r="A1" s="0" t="s">
        <v>166</v>
      </c>
    </row>
    <row r="2">
      <c r="A2" s="0" t="s">
        <v>167</v>
      </c>
    </row>
    <row r="3">
      <c r="A3" s="0" t="s">
        <v>168</v>
      </c>
    </row>
    <row r="4">
      <c r="A4" s="0" t="s">
        <v>169</v>
      </c>
    </row>
    <row r="5">
      <c r="A5" s="0" t="s">
        <v>170</v>
      </c>
    </row>
    <row r="6">
      <c r="A6" s="0" t="s">
        <v>171</v>
      </c>
    </row>
    <row r="7">
      <c r="A7" s="0" t="s">
        <v>172</v>
      </c>
    </row>
    <row r="8">
      <c r="A8" s="0" t="s">
        <v>173</v>
      </c>
    </row>
    <row r="9">
      <c r="A9" s="0" t="s">
        <v>174</v>
      </c>
    </row>
    <row r="10">
      <c r="A10" s="0" t="s">
        <v>175</v>
      </c>
    </row>
    <row r="11">
      <c r="A11" s="0" t="s">
        <v>176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/>
  <cols>
    <col min="1" max="1" width="12.85546875" customWidth="1"/>
    <col min="2" max="3" width="9.140625" customWidth="1"/>
    <col min="4" max="4" width="43.7109375" customWidth="1"/>
    <col min="5" max="5" width="49.28515625" customWidth="1"/>
  </cols>
  <sheetData>
    <row r="1">
      <c r="A1" s="2" t="s">
        <v>0</v>
      </c>
      <c r="B1" s="2" t="s">
        <v>3</v>
      </c>
      <c r="C1" s="2" t="s">
        <v>7</v>
      </c>
      <c r="D1" s="2" t="s">
        <v>8</v>
      </c>
      <c r="E1" s="2" t="s">
        <v>9</v>
      </c>
    </row>
    <row r="2">
      <c r="A2" s="1">
        <v>46282</v>
      </c>
      <c r="B2" s="0" t="s">
        <v>24</v>
      </c>
      <c r="C2" s="0">
        <v>14475</v>
      </c>
      <c r="D2" s="0" t="s">
        <v>177</v>
      </c>
      <c r="E2" s="0" t="s">
        <v>178</v>
      </c>
    </row>
    <row r="3">
      <c r="A3" s="1">
        <v>46282</v>
      </c>
      <c r="B3" s="0" t="s">
        <v>13</v>
      </c>
      <c r="C3" s="0">
        <v>12345</v>
      </c>
      <c r="D3" s="0" t="s">
        <v>177</v>
      </c>
      <c r="E3" s="0" t="s">
        <v>179</v>
      </c>
    </row>
    <row r="4">
      <c r="A4" s="1">
        <v>46282</v>
      </c>
      <c r="B4" s="0" t="s">
        <v>85</v>
      </c>
      <c r="C4" s="0">
        <v>2604</v>
      </c>
      <c r="D4" s="0" t="s">
        <v>177</v>
      </c>
      <c r="E4" s="0" t="s">
        <v>180</v>
      </c>
    </row>
    <row r="5">
      <c r="A5" s="1">
        <v>46282</v>
      </c>
      <c r="B5" s="0" t="s">
        <v>181</v>
      </c>
      <c r="C5" s="0">
        <v>23654</v>
      </c>
      <c r="D5" s="0" t="s">
        <v>177</v>
      </c>
      <c r="E5" s="0" t="s">
        <v>182</v>
      </c>
    </row>
    <row r="6">
      <c r="A6" s="1">
        <v>46291</v>
      </c>
      <c r="B6" s="0" t="s">
        <v>24</v>
      </c>
      <c r="C6" s="0">
        <v>11653</v>
      </c>
      <c r="D6" s="0" t="s">
        <v>183</v>
      </c>
      <c r="E6" s="0" t="s">
        <v>184</v>
      </c>
    </row>
    <row r="7">
      <c r="A7" s="1">
        <v>46291</v>
      </c>
      <c r="B7" s="0" t="s">
        <v>13</v>
      </c>
      <c r="C7" s="0">
        <v>13673</v>
      </c>
      <c r="D7" s="0" t="s">
        <v>183</v>
      </c>
      <c r="E7" s="0" t="s">
        <v>185</v>
      </c>
    </row>
    <row r="8">
      <c r="A8" s="1">
        <v>46291</v>
      </c>
      <c r="B8" s="0" t="s">
        <v>85</v>
      </c>
      <c r="C8" s="0">
        <v>1646</v>
      </c>
      <c r="D8" s="0" t="s">
        <v>183</v>
      </c>
      <c r="E8" s="0" t="s">
        <v>186</v>
      </c>
    </row>
    <row r="9">
      <c r="A9" s="1">
        <v>46291</v>
      </c>
      <c r="B9" s="0" t="s">
        <v>181</v>
      </c>
      <c r="C9" s="0">
        <v>21737</v>
      </c>
      <c r="D9" s="0" t="s">
        <v>183</v>
      </c>
      <c r="E9" s="0" t="s">
        <v>187</v>
      </c>
    </row>
    <row r="10">
      <c r="A10" s="1">
        <v>46298</v>
      </c>
      <c r="B10" s="0" t="s">
        <v>24</v>
      </c>
      <c r="C10" s="0">
        <v>12269</v>
      </c>
      <c r="D10" s="0" t="s">
        <v>188</v>
      </c>
      <c r="E10" s="0" t="s">
        <v>189</v>
      </c>
    </row>
    <row r="11">
      <c r="A11" s="1">
        <v>46298</v>
      </c>
      <c r="B11" s="0" t="s">
        <v>13</v>
      </c>
      <c r="C11" s="0">
        <v>9676</v>
      </c>
      <c r="D11" s="0" t="s">
        <v>188</v>
      </c>
      <c r="E11" s="0" t="s">
        <v>190</v>
      </c>
    </row>
    <row r="12">
      <c r="A12" s="1">
        <v>46298</v>
      </c>
      <c r="B12" s="0" t="s">
        <v>85</v>
      </c>
      <c r="C12" s="0">
        <v>1500</v>
      </c>
      <c r="D12" s="0" t="s">
        <v>188</v>
      </c>
      <c r="E12" s="0" t="s">
        <v>191</v>
      </c>
    </row>
    <row r="13">
      <c r="A13" s="1">
        <v>46298</v>
      </c>
      <c r="B13" s="0" t="s">
        <v>181</v>
      </c>
      <c r="C13" s="0">
        <v>7993</v>
      </c>
      <c r="D13" s="0" t="s">
        <v>188</v>
      </c>
      <c r="E13" s="0" t="s">
        <v>192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7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/>
  <cols>
    <col min="1" max="1" width="12.85546875" customWidth="1"/>
    <col min="2" max="5" width="9.140625" customWidth="1"/>
    <col min="6" max="6" width="14.140625" customWidth="1"/>
    <col min="7" max="7" width="23.140625" customWidth="1"/>
  </cols>
  <sheetData>
    <row r="1">
      <c r="A1" s="2" t="s">
        <v>0</v>
      </c>
      <c r="B1" s="2" t="s">
        <v>1</v>
      </c>
      <c r="C1" s="2" t="s">
        <v>3</v>
      </c>
      <c r="D1" s="2" t="s">
        <v>7</v>
      </c>
      <c r="E1" s="2" t="s">
        <v>193</v>
      </c>
      <c r="F1" s="2" t="s">
        <v>194</v>
      </c>
      <c r="G1" s="2" t="s">
        <v>8</v>
      </c>
    </row>
    <row r="2">
      <c r="A2" s="1">
        <v>46280</v>
      </c>
      <c r="B2" s="0" t="s">
        <v>21</v>
      </c>
      <c r="C2" s="0" t="s">
        <v>24</v>
      </c>
      <c r="D2" s="0">
        <v>964</v>
      </c>
      <c r="E2" s="0">
        <v>21208</v>
      </c>
      <c r="F2" s="0">
        <v>21026</v>
      </c>
      <c r="G2" s="0" t="s">
        <v>195</v>
      </c>
    </row>
    <row r="3">
      <c r="A3" s="1">
        <v>46280</v>
      </c>
      <c r="B3" s="0" t="s">
        <v>21</v>
      </c>
      <c r="C3" s="0" t="s">
        <v>13</v>
      </c>
      <c r="D3" s="0">
        <v>725</v>
      </c>
      <c r="E3" s="0">
        <v>15950</v>
      </c>
      <c r="F3" s="0">
        <v>10628</v>
      </c>
      <c r="G3" s="0" t="s">
        <v>195</v>
      </c>
    </row>
    <row r="4">
      <c r="A4" s="1">
        <v>46280</v>
      </c>
      <c r="B4" s="0" t="s">
        <v>21</v>
      </c>
      <c r="C4" s="0" t="s">
        <v>85</v>
      </c>
      <c r="D4" s="0">
        <v>98</v>
      </c>
      <c r="E4" s="0">
        <v>1960</v>
      </c>
      <c r="F4" s="0">
        <v>1958</v>
      </c>
      <c r="G4" s="0" t="s">
        <v>195</v>
      </c>
    </row>
    <row r="5">
      <c r="A5" s="1">
        <v>46280</v>
      </c>
      <c r="B5" s="0" t="s">
        <v>21</v>
      </c>
      <c r="C5" s="0" t="s">
        <v>181</v>
      </c>
      <c r="D5" s="0">
        <v>996</v>
      </c>
      <c r="E5" s="0">
        <v>18924</v>
      </c>
      <c r="F5" s="0">
        <v>23023</v>
      </c>
      <c r="G5" s="0" t="s">
        <v>195</v>
      </c>
    </row>
    <row r="6">
      <c r="A6" s="1">
        <v>46281</v>
      </c>
      <c r="B6" s="0" t="s">
        <v>52</v>
      </c>
      <c r="C6" s="0" t="s">
        <v>24</v>
      </c>
      <c r="D6" s="0">
        <v>1301</v>
      </c>
      <c r="E6" s="0">
        <v>28622</v>
      </c>
      <c r="F6" s="0">
        <v>19725</v>
      </c>
      <c r="G6" s="0" t="s">
        <v>196</v>
      </c>
    </row>
    <row r="7">
      <c r="A7" s="1">
        <v>46281</v>
      </c>
      <c r="B7" s="0" t="s">
        <v>52</v>
      </c>
      <c r="C7" s="0" t="s">
        <v>13</v>
      </c>
      <c r="D7" s="0">
        <v>710</v>
      </c>
      <c r="E7" s="0">
        <v>15620</v>
      </c>
      <c r="F7" s="0">
        <v>11881</v>
      </c>
      <c r="G7" s="0" t="s">
        <v>196</v>
      </c>
    </row>
    <row r="8">
      <c r="A8" s="1">
        <v>46281</v>
      </c>
      <c r="B8" s="0" t="s">
        <v>52</v>
      </c>
      <c r="C8" s="0" t="s">
        <v>85</v>
      </c>
      <c r="D8" s="0">
        <v>114</v>
      </c>
      <c r="E8" s="0">
        <v>2280</v>
      </c>
      <c r="F8" s="0">
        <v>1844</v>
      </c>
      <c r="G8" s="0" t="s">
        <v>196</v>
      </c>
    </row>
    <row r="9">
      <c r="A9" s="1">
        <v>46281</v>
      </c>
      <c r="B9" s="0" t="s">
        <v>52</v>
      </c>
      <c r="C9" s="0" t="s">
        <v>181</v>
      </c>
      <c r="D9" s="0">
        <v>942</v>
      </c>
      <c r="E9" s="0">
        <v>17898</v>
      </c>
      <c r="F9" s="0">
        <v>22081</v>
      </c>
      <c r="G9" s="0" t="s">
        <v>196</v>
      </c>
    </row>
    <row r="10">
      <c r="A10" s="1">
        <v>46284</v>
      </c>
      <c r="B10" s="0" t="s">
        <v>30</v>
      </c>
      <c r="C10" s="0" t="s">
        <v>24</v>
      </c>
      <c r="D10" s="0">
        <v>749</v>
      </c>
      <c r="E10" s="0">
        <v>16478</v>
      </c>
      <c r="F10" s="0">
        <v>15893</v>
      </c>
      <c r="G10" s="0" t="s">
        <v>197</v>
      </c>
    </row>
    <row r="11">
      <c r="A11" s="1">
        <v>46284</v>
      </c>
      <c r="B11" s="0" t="s">
        <v>30</v>
      </c>
      <c r="C11" s="0" t="s">
        <v>13</v>
      </c>
      <c r="D11" s="0">
        <v>686</v>
      </c>
      <c r="E11" s="0">
        <v>15092</v>
      </c>
      <c r="F11" s="0">
        <v>14132</v>
      </c>
      <c r="G11" s="0" t="s">
        <v>197</v>
      </c>
    </row>
    <row r="12">
      <c r="A12" s="1">
        <v>46284</v>
      </c>
      <c r="B12" s="0" t="s">
        <v>30</v>
      </c>
      <c r="C12" s="0" t="s">
        <v>85</v>
      </c>
      <c r="D12" s="0">
        <v>139</v>
      </c>
      <c r="E12" s="0">
        <v>2780</v>
      </c>
      <c r="F12" s="0">
        <v>1972</v>
      </c>
      <c r="G12" s="0" t="s">
        <v>197</v>
      </c>
    </row>
    <row r="13">
      <c r="A13" s="1">
        <v>46284</v>
      </c>
      <c r="B13" s="0" t="s">
        <v>30</v>
      </c>
      <c r="C13" s="0" t="s">
        <v>181</v>
      </c>
      <c r="D13" s="0">
        <v>832</v>
      </c>
      <c r="E13" s="0">
        <v>15808</v>
      </c>
      <c r="F13" s="0">
        <v>20033</v>
      </c>
      <c r="G13" s="0" t="s">
        <v>197</v>
      </c>
    </row>
    <row r="14">
      <c r="A14" s="1">
        <v>46291</v>
      </c>
      <c r="B14" s="0" t="s">
        <v>30</v>
      </c>
      <c r="C14" s="0" t="s">
        <v>24</v>
      </c>
      <c r="D14" s="0">
        <v>901</v>
      </c>
      <c r="E14" s="0">
        <v>19822</v>
      </c>
      <c r="F14" s="0">
        <v>12452</v>
      </c>
      <c r="G14" s="0" t="s">
        <v>198</v>
      </c>
    </row>
    <row r="15">
      <c r="A15" s="1">
        <v>46291</v>
      </c>
      <c r="B15" s="0" t="s">
        <v>30</v>
      </c>
      <c r="C15" s="0" t="s">
        <v>181</v>
      </c>
      <c r="D15" s="0">
        <v>855</v>
      </c>
      <c r="E15" s="0">
        <v>16245</v>
      </c>
      <c r="F15" s="0">
        <v>21955</v>
      </c>
      <c r="G15" s="0" t="s">
        <v>198</v>
      </c>
    </row>
    <row r="16">
      <c r="A16" s="1">
        <v>46291</v>
      </c>
      <c r="B16" s="0" t="s">
        <v>30</v>
      </c>
      <c r="C16" s="0" t="s">
        <v>13</v>
      </c>
      <c r="D16" s="0">
        <v>233</v>
      </c>
      <c r="E16" s="0">
        <v>5126</v>
      </c>
      <c r="F16" s="0">
        <v>14786</v>
      </c>
      <c r="G16" s="0" t="s">
        <v>198</v>
      </c>
    </row>
    <row r="17">
      <c r="A17" s="1">
        <v>46291</v>
      </c>
      <c r="B17" s="0" t="s">
        <v>30</v>
      </c>
      <c r="C17" s="0" t="s">
        <v>85</v>
      </c>
      <c r="D17" s="0">
        <v>134</v>
      </c>
      <c r="E17" s="0">
        <v>2680</v>
      </c>
      <c r="F17" s="0">
        <v>2017</v>
      </c>
      <c r="G17" s="0" t="s">
        <v>198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/>
  </sheetViews>
  <sheetFormatPr baseColWidth="10" defaultColWidth="9.140625" defaultRowHeight="15"/>
  <cols>
    <col min="1" max="1" width="20.85546875" customWidth="1"/>
    <col min="2" max="2" width="9.140625" customWidth="1"/>
    <col min="3" max="3" width="159.140625" customWidth="1"/>
  </cols>
  <sheetData>
    <row r="1">
      <c r="A1" s="0" t="s">
        <v>199</v>
      </c>
      <c r="B1" s="0" t="s">
        <v>200</v>
      </c>
      <c r="C1" s="0" t="s">
        <v>9</v>
      </c>
    </row>
    <row r="2">
      <c r="A2" s="0" t="s">
        <v>201</v>
      </c>
      <c r="B2" s="0">
        <v>0</v>
      </c>
      <c r="C2" s="0" t="s">
        <v>202</v>
      </c>
    </row>
    <row r="3">
      <c r="A3" s="0" t="s">
        <v>203</v>
      </c>
      <c r="B3" s="0">
        <v>0</v>
      </c>
      <c r="C3" s="0" t="s">
        <v>204</v>
      </c>
    </row>
    <row r="4">
      <c r="A4" s="0" t="s">
        <v>205</v>
      </c>
      <c r="B4" s="0">
        <v>27000</v>
      </c>
      <c r="C4" s="0" t="s">
        <v>206</v>
      </c>
    </row>
    <row r="5">
      <c r="A5" s="0" t="s">
        <v>207</v>
      </c>
      <c r="B5" s="0">
        <v>18000</v>
      </c>
      <c r="C5" s="0" t="s">
        <v>208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5"/>
  <sheetViews>
    <sheetView workbookViewId="0"/>
  </sheetViews>
  <sheetFormatPr baseColWidth="10" defaultColWidth="9.140625" defaultRowHeight="15"/>
  <cols>
    <col min="1" max="1" width="13" customWidth="1"/>
    <col min="2" max="2" width="12" customWidth="1"/>
    <col min="8" max="8" width="70" customWidth="1"/>
  </cols>
  <sheetData>
    <row r="1">
      <c r="A1" s="2" t="s">
        <v>150</v>
      </c>
      <c r="B1" s="2" t="s">
        <v>209</v>
      </c>
      <c r="C1" s="2" t="s">
        <v>24</v>
      </c>
      <c r="D1" s="2" t="s">
        <v>13</v>
      </c>
      <c r="E1" s="2" t="s">
        <v>85</v>
      </c>
      <c r="F1" s="2" t="s">
        <v>181</v>
      </c>
      <c r="G1" s="2" t="s">
        <v>210</v>
      </c>
      <c r="H1" s="2" t="s">
        <v>8</v>
      </c>
    </row>
    <row r="2">
      <c r="A2" s="3">
        <v>46209</v>
      </c>
      <c r="B2" s="3">
        <v>46214</v>
      </c>
      <c r="C2" s="0">
        <v>8884</v>
      </c>
      <c r="D2" s="0">
        <v>4896</v>
      </c>
      <c r="E2" s="0">
        <v>713</v>
      </c>
      <c r="F2" s="0">
        <v>7277</v>
      </c>
      <c r="G2" s="0">
        <f ref="G2:G13" t="shared" si="0">C2+D2+E2</f>
        <v>14493</v>
      </c>
      <c r="H2" s="0" t="s">
        <v>211</v>
      </c>
    </row>
    <row r="3">
      <c r="A3" s="3">
        <v>46216</v>
      </c>
      <c r="B3" s="3">
        <v>46221</v>
      </c>
      <c r="C3" s="0">
        <v>8547</v>
      </c>
      <c r="D3" s="0">
        <v>3607</v>
      </c>
      <c r="E3" s="0">
        <v>344</v>
      </c>
      <c r="F3" s="0">
        <v>6900</v>
      </c>
      <c r="G3" s="0">
        <f t="shared" si="0"/>
        <v>12498</v>
      </c>
      <c r="H3" s="0" t="s">
        <v>211</v>
      </c>
    </row>
    <row r="4">
      <c r="A4" s="3">
        <v>46223</v>
      </c>
      <c r="B4" s="3">
        <v>46228</v>
      </c>
      <c r="C4" s="0">
        <v>11589</v>
      </c>
      <c r="D4" s="0">
        <v>2140</v>
      </c>
      <c r="E4" s="0">
        <v>1025</v>
      </c>
      <c r="F4" s="0">
        <v>7601</v>
      </c>
      <c r="G4" s="0">
        <f t="shared" si="0"/>
        <v>14754</v>
      </c>
      <c r="H4" s="0" t="s">
        <v>211</v>
      </c>
    </row>
    <row r="5">
      <c r="A5" s="3">
        <v>46230</v>
      </c>
      <c r="B5" s="3">
        <v>46235</v>
      </c>
      <c r="C5" s="0">
        <v>9196</v>
      </c>
      <c r="D5" s="0">
        <v>4748</v>
      </c>
      <c r="E5" s="0">
        <v>0</v>
      </c>
      <c r="F5" s="0">
        <v>7884</v>
      </c>
      <c r="G5" s="0">
        <f t="shared" si="0"/>
        <v>13944</v>
      </c>
      <c r="H5" s="0" t="s">
        <v>211</v>
      </c>
    </row>
    <row r="6">
      <c r="A6" s="3">
        <v>46237</v>
      </c>
      <c r="B6" s="3">
        <v>46242</v>
      </c>
      <c r="C6" s="0">
        <v>9880</v>
      </c>
      <c r="D6" s="0">
        <v>5192</v>
      </c>
      <c r="E6" s="0">
        <v>866</v>
      </c>
      <c r="F6" s="0">
        <v>7601</v>
      </c>
      <c r="G6" s="0">
        <f t="shared" si="0"/>
        <v>15938</v>
      </c>
      <c r="H6" s="0" t="s">
        <v>211</v>
      </c>
    </row>
    <row r="7">
      <c r="A7" s="3">
        <v>46244</v>
      </c>
      <c r="B7" s="3">
        <v>46249</v>
      </c>
      <c r="C7" s="0">
        <v>6972</v>
      </c>
      <c r="D7" s="0">
        <v>6201</v>
      </c>
      <c r="E7" s="0">
        <v>1816</v>
      </c>
      <c r="F7" s="0">
        <v>6647</v>
      </c>
      <c r="G7" s="0">
        <f t="shared" si="0"/>
        <v>14989</v>
      </c>
      <c r="H7" s="0" t="s">
        <v>211</v>
      </c>
    </row>
    <row r="8">
      <c r="A8" s="3">
        <v>46251</v>
      </c>
      <c r="B8" s="3">
        <v>46256</v>
      </c>
      <c r="C8" s="0">
        <v>8041</v>
      </c>
      <c r="D8" s="0">
        <v>5861</v>
      </c>
      <c r="E8" s="0">
        <v>34</v>
      </c>
      <c r="F8" s="0">
        <v>6290</v>
      </c>
      <c r="G8" s="0">
        <f t="shared" si="0"/>
        <v>13936</v>
      </c>
      <c r="H8" s="0" t="s">
        <v>211</v>
      </c>
    </row>
    <row r="9">
      <c r="A9" s="3">
        <v>46258</v>
      </c>
      <c r="B9" s="3">
        <v>46263</v>
      </c>
      <c r="C9" s="0">
        <v>6633</v>
      </c>
      <c r="D9" s="0">
        <v>7058</v>
      </c>
      <c r="E9" s="0">
        <v>1051</v>
      </c>
      <c r="F9" s="0">
        <v>4669</v>
      </c>
      <c r="G9" s="0">
        <f t="shared" si="0"/>
        <v>14742</v>
      </c>
      <c r="H9" s="0" t="s">
        <v>211</v>
      </c>
    </row>
    <row r="10">
      <c r="A10" s="3">
        <v>46265</v>
      </c>
      <c r="B10" s="3">
        <v>46270</v>
      </c>
      <c r="C10" s="0">
        <v>11032</v>
      </c>
      <c r="D10" s="0">
        <v>5369</v>
      </c>
      <c r="E10" s="0">
        <v>873</v>
      </c>
      <c r="F10" s="0">
        <v>7102</v>
      </c>
      <c r="G10" s="0">
        <f t="shared" si="0"/>
        <v>17274</v>
      </c>
      <c r="H10" s="0" t="s">
        <v>211</v>
      </c>
    </row>
    <row r="11">
      <c r="A11" s="3">
        <v>46272</v>
      </c>
      <c r="B11" s="3">
        <v>46277</v>
      </c>
      <c r="C11" s="0">
        <v>12293</v>
      </c>
      <c r="D11" s="0">
        <v>2770</v>
      </c>
      <c r="E11" s="0">
        <v>1486</v>
      </c>
      <c r="F11" s="0">
        <v>6924</v>
      </c>
      <c r="G11" s="0">
        <f t="shared" si="0"/>
        <v>16549</v>
      </c>
      <c r="H11" s="0" t="s">
        <v>211</v>
      </c>
    </row>
    <row r="12">
      <c r="A12" s="3">
        <v>46279</v>
      </c>
      <c r="B12" s="3">
        <v>46284</v>
      </c>
      <c r="C12" s="0">
        <v>8590</v>
      </c>
      <c r="D12" s="0">
        <v>5769</v>
      </c>
      <c r="E12" s="0">
        <v>1492</v>
      </c>
      <c r="F12" s="0">
        <v>6673</v>
      </c>
      <c r="G12" s="0">
        <f t="shared" si="0"/>
        <v>15851</v>
      </c>
      <c r="H12" s="0" t="s">
        <v>211</v>
      </c>
    </row>
    <row r="13">
      <c r="A13" s="3">
        <v>46286</v>
      </c>
      <c r="B13" s="3">
        <v>46291</v>
      </c>
      <c r="C13" s="0">
        <v>7919</v>
      </c>
      <c r="D13" s="0">
        <v>6221</v>
      </c>
      <c r="E13" s="0">
        <v>705</v>
      </c>
      <c r="F13" s="0">
        <v>6718</v>
      </c>
      <c r="G13" s="0">
        <f t="shared" si="0"/>
        <v>14845</v>
      </c>
      <c r="H13" s="0" t="s">
        <v>211</v>
      </c>
    </row>
    <row r="15">
      <c r="A15" s="0" t="s">
        <v>212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cargas_programadas</vt:lpstr>
      <vt:lpstr>ventas_plan</vt:lpstr>
      <vt:lpstr>notas</vt:lpstr>
      <vt:lpstr>conteo</vt:lpstr>
      <vt:lpstr>ventas_erp</vt:lpstr>
      <vt:lpstr>supuestos</vt:lpstr>
      <vt:lpstr>ventas_semanales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Gonzalo Pepe ALMAR S.R.L .</cp:lastModifiedBy>
  <dcterms:modified xsi:type="dcterms:W3CDTF">2026-10-15T22:49:02Z</dcterms:modified>
</cp:coreProperties>
</file>