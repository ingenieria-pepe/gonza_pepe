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"/>
    </mc:Choice>
  </mc:AlternateContent>
  <xr:revisionPtr revIDLastSave="0" documentId="13_ncr:1_{6F7E896B-BDDD-4BD9-ACD8-68F8E70A07EC}" xr6:coauthVersionLast="47" xr6:coauthVersionMax="47" xr10:uidLastSave="{00000000-0000-0000-0000-000000000000}"/>
  <bookViews>
    <workbookView xWindow="-120" yWindow="-120" windowWidth="20730" windowHeight="11040" xr2:uid="{FB88E27F-0BBB-4CDF-9A10-8995D9EA2738}"/>
  </bookViews>
  <sheets>
    <sheet name="Plan Compras BR" sheetId="5" r:id="rId1"/>
    <sheet name="Real 2026 BR" sheetId="12" r:id="rId2"/>
    <sheet name="Calendario Fases BR" sheetId="4" r:id="rId3"/>
    <sheet name="Mercado UY BR" sheetId="6" r:id="rId4"/>
    <sheet name="Intel Competidores BR" sheetId="7" r:id="rId5"/>
    <sheet name="Mercado Multi-Origen" sheetId="9" r:id="rId6"/>
    <sheet name="Indicadores" sheetId="10" r:id="rId7"/>
    <sheet name="HHI Productores BR" sheetId="11" r:id="rId8"/>
    <sheet name="Historico Almar BR" sheetId="8" r:id="rId9"/>
    <sheet name="Mercado UY EC" sheetId="13" r:id="rId10"/>
    <sheet name="Intel Competidores EC" sheetId="14" r:id="rId11"/>
    <sheet name="Historico Almar EC" sheetId="15" r:id="rId12"/>
    <sheet name="Plan Compras EC" sheetId="16" r:id="rId13"/>
    <sheet name="Dashboard" sheetId="1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5" l="1"/>
  <c r="F17" i="5"/>
  <c r="D17" i="5"/>
  <c r="C17" i="5"/>
</calcChain>
</file>

<file path=xl/sharedStrings.xml><?xml version="1.0" encoding="utf-8"?>
<sst xmlns="http://schemas.openxmlformats.org/spreadsheetml/2006/main" count="932" uniqueCount="447">
  <si>
    <t>ALMAR S.R.L.  -  PLAN 2026 BANANAS BRASIL</t>
  </si>
  <si>
    <t>NCM 0803.90  -  bananas frescas  -  origen Brasil  |  Generado: 12/05/2026  |  1 carreta = 1008 cajas de 26 kg bruto</t>
  </si>
  <si>
    <t>ESTADO HOY</t>
  </si>
  <si>
    <t>Estas en FASE 1 - BAJA  |  Precio bajo  |  Comprar fuerte  |  Faltan 60 dias para fin de la ventana</t>
  </si>
  <si>
    <t>POSICION EN EL MERCADO URUGUAYO</t>
  </si>
  <si>
    <t>Cuota 2025</t>
  </si>
  <si>
    <t>ALMAR  =  50,15% del mercado UY</t>
  </si>
  <si>
    <t>Lider claro frente a Ciro Gentile (27,63%) y Garmin (15,55%)</t>
  </si>
  <si>
    <t>Cuota 2026 (Ene-May)</t>
  </si>
  <si>
    <t>ALMAR  =  53,36% del mercado UY  (+3,21 pp)</t>
  </si>
  <si>
    <t>Consolidando liderazgo - Ciro Gentile -5,37 pp</t>
  </si>
  <si>
    <t>Volumen import 2025</t>
  </si>
  <si>
    <t>21.019 ton brutas  =  804 carretas</t>
  </si>
  <si>
    <t>~810.432 cajas equivalentes (1.008/carreta)</t>
  </si>
  <si>
    <t>Volumen 2026 proyectado</t>
  </si>
  <si>
    <t>~783 carretas  =  ~789.264 cajas</t>
  </si>
  <si>
    <t>Total ~20.521 ton brutas</t>
  </si>
  <si>
    <t>PLAN DE COMPRA 2026 (resumen)</t>
  </si>
  <si>
    <t>Target carretas 2026</t>
  </si>
  <si>
    <t>783 carretas</t>
  </si>
  <si>
    <t>vs 804 en 2025 = -2,6%</t>
  </si>
  <si>
    <t>Volumen estimado</t>
  </si>
  <si>
    <t>789.264 cajas  =  20.521 ton brutas</t>
  </si>
  <si>
    <t>1008 cajas/carreta x 26 kg</t>
  </si>
  <si>
    <t>Costo total estimado (BRL)</t>
  </si>
  <si>
    <t>R$ 36.498.964</t>
  </si>
  <si>
    <t>Asumiendo precios 2025 como referencia</t>
  </si>
  <si>
    <t>Costo total estimado (USD)</t>
  </si>
  <si>
    <t>US$ 7.019.032</t>
  </si>
  <si>
    <t>A TC 5,20 BRL/USD</t>
  </si>
  <si>
    <t>PROXIMAS ALERTAS CRITICAS</t>
  </si>
  <si>
    <t>En 60 dias</t>
  </si>
  <si>
    <t>Fin FASE 1 BAJA - cerrar compras grandes a precio bajo</t>
  </si>
  <si>
    <t>En 88 dias</t>
  </si>
  <si>
    <t>Fin ULTIMA VENTANA - cierre de contratos pre-suba</t>
  </si>
  <si>
    <t>15/08/2026</t>
  </si>
  <si>
    <t>En 95 dias</t>
  </si>
  <si>
    <t>PUNTO DE INFLEXION - ajustar precios de venta hacia arriba</t>
  </si>
  <si>
    <t>15/09/2026</t>
  </si>
  <si>
    <t>En 126 dias</t>
  </si>
  <si>
    <t>Comprar stock fin de año (antes de escasez Nov-Dic)</t>
  </si>
  <si>
    <t>PLAN DE COMPRAS BRASIL 2026  -  target mensual, precio esperado, costo y acciones</t>
  </si>
  <si>
    <t>1 carreta = 1008 cajas x 26 kg bruto  |  TC referencial 5,20 BRL/USD  |  Precios estimados con base 2025</t>
  </si>
  <si>
    <t>Mes</t>
  </si>
  <si>
    <t>Fase</t>
  </si>
  <si>
    <t>Target Carretas</t>
  </si>
  <si>
    <t>vs 2025</t>
  </si>
  <si>
    <t>Precio est (BRL/caja)</t>
  </si>
  <si>
    <t>Costo est (BRL)</t>
  </si>
  <si>
    <t>Costo est (USD)</t>
  </si>
  <si>
    <t>Cuota mensual %</t>
  </si>
  <si>
    <t>Acumulado</t>
  </si>
  <si>
    <t>Accion clave del mes</t>
  </si>
  <si>
    <t>Enero</t>
  </si>
  <si>
    <t>NORMAL inicio año</t>
  </si>
  <si>
    <t>Inicio año - operacion normal, cerrar inventario fin 2025</t>
  </si>
  <si>
    <t>Febrero</t>
  </si>
  <si>
    <t>Operacion normal - precio aun bajo</t>
  </si>
  <si>
    <t>Marzo</t>
  </si>
  <si>
    <t>Abril</t>
  </si>
  <si>
    <t>Operacion normal - empieza la zona BAJA fin de mes</t>
  </si>
  <si>
    <t>Mayo</t>
  </si>
  <si>
    <t>FASE 1 - BAJA</t>
  </si>
  <si>
    <t>COMPRA AGRESIVA - precio minimo del año, cerrar contratos largos</t>
  </si>
  <si>
    <t>Junio</t>
  </si>
  <si>
    <t>COMPRA AGRESIVA - mantener volumen alto</t>
  </si>
  <si>
    <t>Julio</t>
  </si>
  <si>
    <t>ULTIMA VENTANA - cerrar negocios antes de la suba del Sem 33</t>
  </si>
  <si>
    <t>Agosto</t>
  </si>
  <si>
    <t>FASE 2-3 INFLEXION</t>
  </si>
  <si>
    <t>INFLEXION semana 33 - ajustar precios de venta YA, reducir compras</t>
  </si>
  <si>
    <t>Setiembre</t>
  </si>
  <si>
    <t>FASE 4 - ALTA</t>
  </si>
  <si>
    <t>OPERAR POR MARGEN - precio caro, stock fin año</t>
  </si>
  <si>
    <t>Octubre</t>
  </si>
  <si>
    <t>Pico precio - vender al alza, minimizar compras especulativas</t>
  </si>
  <si>
    <t>Noviembre</t>
  </si>
  <si>
    <t>Precio alto sostenido - operacion controlada</t>
  </si>
  <si>
    <t>Diciembre</t>
  </si>
  <si>
    <t>Escasez confirmada - cubrir solo demanda fija</t>
  </si>
  <si>
    <t>TOTAL 2026</t>
  </si>
  <si>
    <t>Target</t>
  </si>
  <si>
    <t>CALENDARIO DE FASES BANANA BRASIL  -  cuando comprar barato, cuando vender caro</t>
  </si>
  <si>
    <t>Periodo 2026</t>
  </si>
  <si>
    <t>Duracion</t>
  </si>
  <si>
    <t>Precio esperado</t>
  </si>
  <si>
    <t>Que hacer</t>
  </si>
  <si>
    <t>Que NO hacer</t>
  </si>
  <si>
    <t>FASE 1 - BAJA  (compra agresiva)</t>
  </si>
  <si>
    <t>13/04 - 11/07</t>
  </si>
  <si>
    <t>~13 semanas</t>
  </si>
  <si>
    <t>27-40 BRL/caja</t>
  </si>
  <si>
    <t>Comprar volumen maximo, cerrar contratos largos con productores</t>
  </si>
  <si>
    <t>Esperar mas baja - el piso es ahora</t>
  </si>
  <si>
    <t>FASE 2 - TRANSICION (subiendo)</t>
  </si>
  <si>
    <t>13/07 - 08/08</t>
  </si>
  <si>
    <t>~4 semanas</t>
  </si>
  <si>
    <t>40-50 BRL/caja</t>
  </si>
  <si>
    <t>Ultima ventana - cerrar todo lo posible</t>
  </si>
  <si>
    <t>Comprar especulativamente - ya esta subiendo</t>
  </si>
  <si>
    <t>FASE 3 - INFLEXION  (suba brusca)</t>
  </si>
  <si>
    <t>10/08 - 15/08</t>
  </si>
  <si>
    <t>~1 semana</t>
  </si>
  <si>
    <t>50 -&gt; 55+ BRL</t>
  </si>
  <si>
    <t>AJUSTAR precios de venta hacia arriba</t>
  </si>
  <si>
    <t>Pasar de largo - aprovecha la suba</t>
  </si>
  <si>
    <t>FASE 4 - ALTA  (margen, no volumen)</t>
  </si>
  <si>
    <t>16/08 - 31/12</t>
  </si>
  <si>
    <t>~20 semanas</t>
  </si>
  <si>
    <t>55-68 BRL/caja</t>
  </si>
  <si>
    <t>Vender al alza, asegurar margen, stock fin año en setiembre</t>
  </si>
  <si>
    <t>Comprar volumen grande - precio caro y oferta limitada</t>
  </si>
  <si>
    <t>FECHAS CRITICAS PARA AGENDAR</t>
  </si>
  <si>
    <t>HOY - estas en FASE 1 - momento de comprar a precio bajo</t>
  </si>
  <si>
    <t>Fin FASE 1 BAJA - cerrar compras grandes</t>
  </si>
  <si>
    <t>PUNTO DE INFLEXION - ajustar precios de venta YA</t>
  </si>
  <si>
    <t>Comprar stock fin año (antes de escasez Nov-Dic)</t>
  </si>
  <si>
    <t>ESCASEZ confirmada - operar solo por margen</t>
  </si>
  <si>
    <t>Importador</t>
  </si>
  <si>
    <t>ALMAR S.R.L.</t>
  </si>
  <si>
    <t>CIRO GENTILE S.A.</t>
  </si>
  <si>
    <t>GARMIN S.R.L.</t>
  </si>
  <si>
    <t>ALBEZ IBARRA RUBEN ALEJANDRO</t>
  </si>
  <si>
    <t>EXPERTEX SA</t>
  </si>
  <si>
    <t>RINALIR SOCIEDAD ANONIMA</t>
  </si>
  <si>
    <t>MARAMA IMPORT AND EXPORT LTDA</t>
  </si>
  <si>
    <t>JEMI SAS</t>
  </si>
  <si>
    <t>MERCADO URUGUAYO  -  NCM 0803.90  -  origen Brasil  -  3 años</t>
  </si>
  <si>
    <t>Fuente: Penta-Transaction  |  2024 + 2025 completos, 2026 Ene-May</t>
  </si>
  <si>
    <t>USD 2024</t>
  </si>
  <si>
    <t>USD 2025</t>
  </si>
  <si>
    <t>USD 2026 (5m)</t>
  </si>
  <si>
    <t>Δ pp 24→25</t>
  </si>
  <si>
    <t>Δ pp 25→26</t>
  </si>
  <si>
    <t>DUAs 2024</t>
  </si>
  <si>
    <t>DUAs 2025</t>
  </si>
  <si>
    <t>Estado</t>
  </si>
  <si>
    <t>Recuperando 2026</t>
  </si>
  <si>
    <t>Pico 2025</t>
  </si>
  <si>
    <t>—</t>
  </si>
  <si>
    <t>NUEVO 2025</t>
  </si>
  <si>
    <t>Caida sostenida</t>
  </si>
  <si>
    <t>FRUTTARA SAS</t>
  </si>
  <si>
    <t>sin operar 2026</t>
  </si>
  <si>
    <t>LA 5TA SAS</t>
  </si>
  <si>
    <t>BANPY SAS</t>
  </si>
  <si>
    <t>CRUFI S A</t>
  </si>
  <si>
    <t>IROLDI BERMUDEZ NATALIA GIMENA</t>
  </si>
  <si>
    <t>SALIO 2025</t>
  </si>
  <si>
    <t>NALIA S A</t>
  </si>
  <si>
    <t>GRINOLAND S.A.</t>
  </si>
  <si>
    <t>TEDIBLER S A</t>
  </si>
  <si>
    <t>TOTAL MERCADO</t>
  </si>
  <si>
    <t>INTELIGENCIA COMPETITIVA  -  Ciro Gentile y Garmin (los 2 rivales reales)</t>
  </si>
  <si>
    <t>Source: Penta-Transaction DUA por DUA  -  2024 + 2025  -  comparado contra Almar</t>
  </si>
  <si>
    <t>METRICA</t>
  </si>
  <si>
    <t>ALMAR S.R.L. 2024</t>
  </si>
  <si>
    <t>ALMAR S.R.L. 2025</t>
  </si>
  <si>
    <t>CIRO GENTILE S.A. 2024</t>
  </si>
  <si>
    <t>CIRO GENTILE S.A. 2025</t>
  </si>
  <si>
    <t>GARMIN S.R.L. 2024</t>
  </si>
  <si>
    <t>GARMIN S.R.L. 2025</t>
  </si>
  <si>
    <t>USD VNA total</t>
  </si>
  <si>
    <t>Kg Brutos total</t>
  </si>
  <si>
    <t># DUAs (operaciones)</t>
  </si>
  <si>
    <t>USD/kg promedio</t>
  </si>
  <si>
    <t>Kg promedio/DUA</t>
  </si>
  <si>
    <t>Top aduana</t>
  </si>
  <si>
    <t>Top despachante</t>
  </si>
  <si>
    <t>Top transportista</t>
  </si>
  <si>
    <t>RIO BRANCO:141</t>
  </si>
  <si>
    <t>RIO BRANCO:155</t>
  </si>
  <si>
    <t>RIO BRANCO:61</t>
  </si>
  <si>
    <t>RIO BRANCO:80</t>
  </si>
  <si>
    <t>RIO BRANCO:30</t>
  </si>
  <si>
    <t>RIO BRANCO:46</t>
  </si>
  <si>
    <t>LECTURAS ESTRATEGICAS</t>
  </si>
  <si>
    <t>• Almar perdio cuota de 66,5% (2024) a 50,2% (2025) - Ciro Gentile capturo el crecimiento del mercado</t>
  </si>
  <si>
    <t>• Mercado total crecio +59% en 2025, pero Almar solo +20% - quedaron oportunidades sobre la mesa</t>
  </si>
  <si>
    <t>• Ciro Gentile crecio +63% en USD - paso de minor competidor a rival serio</t>
  </si>
  <si>
    <t>• Garmin sigue chico pero estable, no agresivo (+18% en 2025)</t>
  </si>
  <si>
    <t>• USD/kg de los 3 grandes es practicamente identico (~0,59) - competis en mismo segmento de precio</t>
  </si>
  <si>
    <t>• Almar tiene mas DUAs/ano (185 vs 80 Ciro) pero shipment promedio mas chico (113k kg vs 148k kg) - operativa de mas viajes y menor escala por viaje</t>
  </si>
  <si>
    <t>• Almar opera todo el año con peak en Set (22 DUAs) - Ciro Gentile tiene baja May/Jun (5/2 DUAs) - sugiere que Ciro NO aprovecha la ventana barata</t>
  </si>
  <si>
    <t>DUAs MENSUALES 2025  -  cuando opera cada uno</t>
  </si>
  <si>
    <t>HISTORICO ALMAR  -  evolucion en el mercado UY de bananas</t>
  </si>
  <si>
    <t>Año</t>
  </si>
  <si>
    <t>USD VNA</t>
  </si>
  <si>
    <t>Kg Brutos</t>
  </si>
  <si>
    <t># DUAs</t>
  </si>
  <si>
    <t>Cuota mercado</t>
  </si>
  <si>
    <t>Cambio cuota</t>
  </si>
  <si>
    <t>(base)</t>
  </si>
  <si>
    <t>2026 (5m)</t>
  </si>
  <si>
    <t>OBSERVACIONES</t>
  </si>
  <si>
    <t>• En 2024 Almar dominaba con 66,5% del mercado UY de bananas Brasil</t>
  </si>
  <si>
    <t>• En 2025 el mercado se expandio +59% en USD pero Almar solo crecio +20% - cuota cayo a 50,2% (-16 pp)</t>
  </si>
  <si>
    <t>• En 2026 Almar empezo a recuperar (53,4%) - probablemente porque Ciro Gentile esta perdiendo terreno</t>
  </si>
  <si>
    <t>• USD/kg promedio de Almar bajo de 0,69 (2024) a 0,60 (2025) - alineado con caida general del mercado</t>
  </si>
  <si>
    <t>• DUAs (operaciones) crecieron 146 -&gt; 185 (+27%) en 2025 - escalando la operativa</t>
  </si>
  <si>
    <t>• Shipment promedio: kg/DUA 2024 = 103.700 kg vs 2025 = 113.617 kg - cargas levemente mas grandes</t>
  </si>
  <si>
    <t>ALMAR  -  DUAs MENSUALES 2024 vs 2025</t>
  </si>
  <si>
    <t>MERCADO UY POR ORIGEN  -  Almar vs competencia en Brasil + Paraguay + Bolivia</t>
  </si>
  <si>
    <t>Fuente: Penta-Transaction DUA por DUA  -  2024 + 2025 + 2026 Ene-May</t>
  </si>
  <si>
    <t>TAMAÑO DE MERCADO POR ORIGEN (USD VNA)</t>
  </si>
  <si>
    <t>Origen</t>
  </si>
  <si>
    <t>Δ 24→25</t>
  </si>
  <si>
    <t>2026 anualiz.</t>
  </si>
  <si>
    <t>Δ 25→26 ann.</t>
  </si>
  <si>
    <t>Brasil</t>
  </si>
  <si>
    <t>Paraguay</t>
  </si>
  <si>
    <t>Bolivia</t>
  </si>
  <si>
    <t>CUOTA ALMAR POR ORIGEN</t>
  </si>
  <si>
    <t>% 2026 (5m)</t>
  </si>
  <si>
    <t>Tendencia</t>
  </si>
  <si>
    <t>🟢 Recuperando</t>
  </si>
  <si>
    <t>🔴 Caída sostenida</t>
  </si>
  <si>
    <t>🟡 Cayendo desde pico</t>
  </si>
  <si>
    <t>RANKING Brasil  -  top importadores</t>
  </si>
  <si>
    <t>#</t>
  </si>
  <si>
    <t>Nuevo 2025</t>
  </si>
  <si>
    <t>RANKING Paraguay  -  top importadores</t>
  </si>
  <si>
    <t>RANKING Bolivia  -  top importadores</t>
  </si>
  <si>
    <t>IDIL SAS</t>
  </si>
  <si>
    <t>CIRO GENTILE + GARMIN  -  donde compiten</t>
  </si>
  <si>
    <t>Competidor</t>
  </si>
  <si>
    <t>Lectura</t>
  </si>
  <si>
    <t>Crecio +63% en 2025, ahora cayendo en 2026</t>
  </si>
  <si>
    <t>Reforzo cuota mientras mercado se contraia</t>
  </si>
  <si>
    <t>⚠️ PASO a Almar en 2026 (47% vs 47% Almar)</t>
  </si>
  <si>
    <t>Estable, su negocio principal</t>
  </si>
  <si>
    <t>⬇️ Se esta yendo (de USD 796k a 84k)</t>
  </si>
  <si>
    <t>NUNCA opero en Bolivia</t>
  </si>
  <si>
    <t>CONCLUSIONES ESTRATEGICAS</t>
  </si>
  <si>
    <t>🚨 BOLIVIA URGENTE: Almar paso de lider 70% (2025) a empate con Ciro Gentile (47%-47%) en 5 meses de 2026. Es el mercado que mas crece, y se esta yendo.</t>
  </si>
  <si>
    <t>Bolivia es el mercado con mejor crecimiento: 2024 USD 728k -&gt; 2025 USD 1,4M (+86%) -&gt; 2026 anualiz USD 2,7M (+98%). Puede superar a Paraguay en 2026.</t>
  </si>
  <si>
    <t>Paraguay esta colapsando: el mercado total se contrajo -73% en 2025 (USD 8,3M -&gt; 2,3M). Almar mantuvo cuota (43%) pero sobre torta 4x mas chica.</t>
  </si>
  <si>
    <t>Garmin se retira de mercados no-Brasil: salio de Paraguay (de USD 796k a 0), nunca opero en Bolivia. Es competidor mono-origen.</t>
  </si>
  <si>
    <t>Ciro Gentile es competidor multi-origen consistente: presente en los 3 mercados los 3 años. Rival serio.</t>
  </si>
  <si>
    <t>Tedibler era #2 en Bolivia 2024 (USD 142k) y desaparecio en 2025. Posible quiebra o adquisicion - investigar si quedaron sus productores o clientes disponibles.</t>
  </si>
  <si>
    <t>INDICADORES ESTRATEGICOS  -  Performance vs Mercado + HHI por origen</t>
  </si>
  <si>
    <t>2 metricas para trackear posicion competitiva: cuanto creces vs el mercado, y que tan concentrado esta cada mercado.</t>
  </si>
  <si>
    <t>1) PERFORMANCE vs MERCADO  -  cuanto creces vs el sector</t>
  </si>
  <si>
    <t>Si el mercado crece +30% y Almar crece +15%, perdiste cuota. Idealmente Almar Δ ≥ Mercado Δ.</t>
  </si>
  <si>
    <t>Periodo</t>
  </si>
  <si>
    <t>Mercado Δ</t>
  </si>
  <si>
    <t>Almar Δ</t>
  </si>
  <si>
    <t>Cuota Δ (pp)</t>
  </si>
  <si>
    <t>Performance</t>
  </si>
  <si>
    <t>🇧🇷 Brasil</t>
  </si>
  <si>
    <t>2024→2025</t>
  </si>
  <si>
    <t>Bajo rendimiento</t>
  </si>
  <si>
    <t>Mercado crecio +31%, Almar solo +20%</t>
  </si>
  <si>
    <t>2025→2026 ann</t>
  </si>
  <si>
    <t>Superior</t>
  </si>
  <si>
    <t>Mercado cayendo, Almar resistiendo mejor</t>
  </si>
  <si>
    <t>🇵🇾 Paraguay</t>
  </si>
  <si>
    <t>En linea</t>
  </si>
  <si>
    <t>Almar bajo casi igual que el mercado</t>
  </si>
  <si>
    <t>Estable, sin cambio competitivo</t>
  </si>
  <si>
    <t>🇧🇴 Bolivia</t>
  </si>
  <si>
    <t>Crecio +121% vs mercado +86% - ganaste 11pp de cuota</t>
  </si>
  <si>
    <t>Ciro Gentile capturo el crecimiento - perdiste 23 pp</t>
  </si>
  <si>
    <t>2) HHI (Herfindahl-Hirschman Index)  -  concentracion del mercado</t>
  </si>
  <si>
    <t>Escala: &lt;1500 competitivo  |  1500-2500 moderado  |  &gt;2500 alta concentracion  |  &gt;5000 cuasi-monopolio.  Suma de (cuota%)^2 x 10000.</t>
  </si>
  <si>
    <t>HHI 2024</t>
  </si>
  <si>
    <t>HHI 2025</t>
  </si>
  <si>
    <t>HHI 2026 (5m)</t>
  </si>
  <si>
    <t>Δ 25→26</t>
  </si>
  <si>
    <t>Estado actual</t>
  </si>
  <si>
    <t>Alta concentracion estable</t>
  </si>
  <si>
    <t>Top 3 explica todo el mercado, sin cambios de fondo</t>
  </si>
  <si>
    <t>Concentracion creciendo</t>
  </si>
  <si>
    <t>Mercado se redujo y quedo duopolio Almar-Ciro (44%+36%)</t>
  </si>
  <si>
    <t>Cuasi-monopolio descendiendo</t>
  </si>
  <si>
    <t>2025 fue 70% Almar (5444 = casi monopolio); ahora 47-47 con Ciro</t>
  </si>
  <si>
    <t>3) SCORECARD HOY  -  donde estas parado</t>
  </si>
  <si>
    <t>Cuota actual</t>
  </si>
  <si>
    <t>HHI</t>
  </si>
  <si>
    <t>Tu performance 2025→26</t>
  </si>
  <si>
    <t>Status</t>
  </si>
  <si>
    <t>53,4%</t>
  </si>
  <si>
    <t>Superior (+3,2 pp)</t>
  </si>
  <si>
    <t>🟢 BIEN - lider consolidando</t>
  </si>
  <si>
    <t>43,0%</t>
  </si>
  <si>
    <t>En linea (0,0 pp)</t>
  </si>
  <si>
    <t>🟡 ESTABLE - mercado en agonia</t>
  </si>
  <si>
    <t>46,6%</t>
  </si>
  <si>
    <t>Bajo (-23,4 pp)</t>
  </si>
  <si>
    <t>🔴 ALERTA - perdiendo liderazgo</t>
  </si>
  <si>
    <t>CONCENTRACION DE PRODUCTORES BRASILEÑOS  -  riesgo de dependencia</t>
  </si>
  <si>
    <t>HHI propio = concentracion de tus carretas en pocos productores. &lt;1500 diversificado · 1500-2500 moderado · &gt;2500 concentrado</t>
  </si>
  <si>
    <t>HHI PROPIO POR AÑO</t>
  </si>
  <si>
    <t>BAJO - diversificado</t>
  </si>
  <si>
    <t>Variación 24→25</t>
  </si>
  <si>
    <t>Te DIVERSIFICASTE - menos dependencia</t>
  </si>
  <si>
    <t>RANKING PRODUCTORES 2025</t>
  </si>
  <si>
    <t>Productor</t>
  </si>
  <si>
    <t>Carretas 2025</t>
  </si>
  <si>
    <t>Carretas 2024</t>
  </si>
  <si>
    <t>Cuota 2024</t>
  </si>
  <si>
    <t>Δ pp</t>
  </si>
  <si>
    <t>Riesgo</t>
  </si>
  <si>
    <t>Fisher</t>
  </si>
  <si>
    <t>🔴 Alto</t>
  </si>
  <si>
    <t>Valdemar</t>
  </si>
  <si>
    <t>Jony</t>
  </si>
  <si>
    <t>Cassio</t>
  </si>
  <si>
    <t>🟡 Medio</t>
  </si>
  <si>
    <t>Gilson</t>
  </si>
  <si>
    <t>Agrocurupa</t>
  </si>
  <si>
    <t>Bahia</t>
  </si>
  <si>
    <t>nuevo</t>
  </si>
  <si>
    <t>🟢 Bajo</t>
  </si>
  <si>
    <t>Claudia</t>
  </si>
  <si>
    <t>Sergio</t>
  </si>
  <si>
    <t>Aita</t>
  </si>
  <si>
    <t>Victor</t>
  </si>
  <si>
    <t>Sergio (bahia)</t>
  </si>
  <si>
    <t>Tureck</t>
  </si>
  <si>
    <t>Chicolandia</t>
  </si>
  <si>
    <t>Gison</t>
  </si>
  <si>
    <t>Chico</t>
  </si>
  <si>
    <t>CONCENTRACION ACUMULADA</t>
  </si>
  <si>
    <t>Top 3 productores =</t>
  </si>
  <si>
    <t>de tus carretas (en 2025: Fisher Valdemar Jony</t>
  </si>
  <si>
    <t>Top 5 productores =</t>
  </si>
  <si>
    <t>LECTURAS</t>
  </si>
  <si>
    <t>• Fisher es tu productor mas grande con 21,1 % de las carretas - si se cae, perdes 169 carretas/año (~US$ 1556k de compra).</t>
  </si>
  <si>
    <t>• Top 3 (Fisher + Valdemar + Jony) = 52,9 % de tu volumen - alto riesgo de concentracion.</t>
  </si>
  <si>
    <t>• HHI 2025 = 1298 - BAJO - diversificado. Idealmente quieres bajarlo a &lt;1500 diversificando.</t>
  </si>
  <si>
    <t>• Productores nuevos en 2025: Aita, Chicolandia, Tureck, Victor - 4 proveedores que sumaste para diversificar. Buena señal.</t>
  </si>
  <si>
    <t>• Cassio y Fisher tuvieron crecimiento explosivo 2024 a 2025 (de 15 a 87, de 17 a 169 carretas). Pasaron de marginales a centrales.</t>
  </si>
  <si>
    <t>REAL 2026  -  carretas Ene-Abr vs Plan  +  productores reales</t>
  </si>
  <si>
    <t>Data: planilla cargas 2026  |  Ene-Abr disponible  |  255 registros  |  253 carretas totales</t>
  </si>
  <si>
    <t>REAL vs PLAN  -  carretas mensuales</t>
  </si>
  <si>
    <t>Plan</t>
  </si>
  <si>
    <t>Real</t>
  </si>
  <si>
    <t>Δ carretas</t>
  </si>
  <si>
    <t>Δ %</t>
  </si>
  <si>
    <t>Precio Real (BRL/caja)</t>
  </si>
  <si>
    <t>Precio Plan (referencia 2025)</t>
  </si>
  <si>
    <t>Δ precio %</t>
  </si>
  <si>
    <t>TOTAL Ene-Abr</t>
  </si>
  <si>
    <t>RANKING PRODUCTORES 2026 (Ene-Abr)  vs  2025</t>
  </si>
  <si>
    <t>Carretas 2026 (4m)</t>
  </si>
  <si>
    <t>Anualizado lineal</t>
  </si>
  <si>
    <t>Δ vs 2025 %</t>
  </si>
  <si>
    <t>Cuota 2026</t>
  </si>
  <si>
    <t>🟢 Creciendo fuerte</t>
  </si>
  <si>
    <t>🔴 Cayendo</t>
  </si>
  <si>
    <t>Curuca</t>
  </si>
  <si>
    <t>⭐ NUEVO 2026</t>
  </si>
  <si>
    <t>Ivo zimer</t>
  </si>
  <si>
    <t>Marconi</t>
  </si>
  <si>
    <t>Marangoni</t>
  </si>
  <si>
    <t>Waguiner</t>
  </si>
  <si>
    <t>Joao vinter</t>
  </si>
  <si>
    <t>Furlani</t>
  </si>
  <si>
    <t>Stein</t>
  </si>
  <si>
    <t>Winter</t>
  </si>
  <si>
    <t>DESPACHANTES 2026  -  con quien tramitas</t>
  </si>
  <si>
    <t>Despachante</t>
  </si>
  <si>
    <t>Carretas</t>
  </si>
  <si>
    <t>% Volumen</t>
  </si>
  <si>
    <t>Despachos</t>
  </si>
  <si>
    <t>Etimex</t>
  </si>
  <si>
    <t>Despachante principal (74%)</t>
  </si>
  <si>
    <t>Alianza</t>
  </si>
  <si>
    <t>Secundario (26%)</t>
  </si>
  <si>
    <t>TRANSPORTISTAS 2026  -  top</t>
  </si>
  <si>
    <t>Transportista</t>
  </si>
  <si>
    <t>Viajes</t>
  </si>
  <si>
    <t>Nilton</t>
  </si>
  <si>
    <t>Axt</t>
  </si>
  <si>
    <t>Chabat</t>
  </si>
  <si>
    <t>Amaro</t>
  </si>
  <si>
    <t>Silvio</t>
  </si>
  <si>
    <t>Zanini</t>
  </si>
  <si>
    <t>Gral</t>
  </si>
  <si>
    <t>Exoticos</t>
  </si>
  <si>
    <t>LECTURAS Y RECOMENDACIONES</t>
  </si>
  <si>
    <t>• 2026 va +7,7% arriba del plan Ene-Abr (253 carretas vs 235 planeadas). Si seguis a este ritmo, terminas el año en ~840 carretas (vs 783 plan).</t>
  </si>
  <si>
    <t>• ⚠️ FISHER esta cayendo fuerte: pasaria de 169 (2025) a ~96 carretas anualizadas (-43%). Era tu #1 - ahora es #3. Investigar que paso.</t>
  </si>
  <si>
    <t>• 🚀 CASSIO se convirtio en tu productor #1: 67,5 carretas en 4 meses (anualizado 203). Era #4 en 2025 con 87. Crecimiento +133%.</t>
  </si>
  <si>
    <t>• ⚠️ MARZO 2026 fue 21% mas caro que marzo 2025 (53,12 vs 43,82 BRL/caja). El calendario de fases puede adelantarse este año - vigilar mayo-junio</t>
  </si>
  <si>
    <t>• ⭐ Productor NUEVO: Curuca con 17 carretas en 4 meses (anualizado 51). Buena diversificacion.</t>
  </si>
  <si>
    <t>• Despachante: Etimex domina con 74% - dependencia alta. Conviene tener relacion solida con Alianza tambien para tener backup operativo.</t>
  </si>
  <si>
    <t>• Transportista: Nilton es el 38% de tus viajes. Mismo principio - dependencia operativa significativa.</t>
  </si>
  <si>
    <t>MERCADO URUGUAYO ECUADOR  -  NCM 0803.90  -  Almar vs competencia</t>
  </si>
  <si>
    <t>Fuente: Penta-Transaction  -  origen Ecuador  -  873 DUAs totales (2024+2025+2026 5m)</t>
  </si>
  <si>
    <t>🟢 Crecimiento sostenido</t>
  </si>
  <si>
    <t>PROEXUR S R L</t>
  </si>
  <si>
    <t>🔴 Caida sostenida</t>
  </si>
  <si>
    <t>HENDERSON Y CIA S.A.</t>
  </si>
  <si>
    <t>Salio</t>
  </si>
  <si>
    <t>INTELIGENCIA COMPETITIVA ECUADOR  -  Almar vs PROEXUR + Ciro Gentile + Lina Fresh</t>
  </si>
  <si>
    <t>PROEXUR S R L 2024</t>
  </si>
  <si>
    <t>PROEXUR S R L 2025</t>
  </si>
  <si>
    <t>FRAY BENTOS</t>
  </si>
  <si>
    <t>PAYSANDU</t>
  </si>
  <si>
    <t>• Almar es lider de Ecuador y CRECIENDO consistente: 39,4% (2024) -&gt; 43,9% (2025) -&gt; 48,0% (2026 5m). +9 pp en 2 años.</t>
  </si>
  <si>
    <t>• PROEXUR S R L es tu rival principal en Ecuador (no opera en Brasil ni Bolivia/Paraguay segun los datos previos). Cuota cayendo: 27,4% -&gt; 24,9% -&gt; 21,5%.</t>
  </si>
  <si>
    <t>• Ciro Gentile esta tambien aca pero perdiendo fuerza: 25,6% (2024) -&gt; 22,4% (2025) -&gt; 16,4% (2026). Mismo patron que en Brasil y Bolivia.</t>
  </si>
  <si>
    <t>• Almar tiene cargas mas grandes que la competencia: 62k kg/DUA en 2025 (vs Ciro 47k, Proexur 63k). En 2026 saltaste a 85k kg/DUA - escalando logistica.</t>
  </si>
  <si>
    <t>• USD/kg es muy estable en EC (~1,00 para todos). No hay diferenciacion por precio - se compite por relacion comercial.</t>
  </si>
  <si>
    <t>• Aduana mas usada: Carrasco (aeropuerto) - confirma que banana ecuatoriana entra por avion, no por terrestre como Brasil.</t>
  </si>
  <si>
    <t>HISTORICO ALMAR ECUADOR  -  evolucion 2024-2025-2026</t>
  </si>
  <si>
    <t>• Cuota Almar EC crecio sostenida: +4,5 pp por año. Es donde mas creces consistentemente.</t>
  </si>
  <si>
    <t>• 2024 -&gt; 2025: USD subio 21,5% (5,96M -&gt; 7,24M). DUAs bajaron de 141 a 126 - hiciste cargas mas grandes.</t>
  </si>
  <si>
    <t>• Kg/DUA 2025 = 62k kg (vs 46k en 2024). En 2026 saltaste a 85k kg/DUA. Estas eficienciando logistica.</t>
  </si>
  <si>
    <t>• USD/kg estable en ~1,00 todo el periodo - precio commodity sin fluctuaciones grandes (diferente de Brasil).</t>
  </si>
  <si>
    <t>• A diferencia de Brasil donde perdiste cuota 2024-&gt;2025 (-16 pp), en Ecuador siempre creciste (+4,5 pp/año).</t>
  </si>
  <si>
    <t>• Si seguis al ritmo actual, en 2027 podrias superar el 50% en Ecuador.</t>
  </si>
  <si>
    <t>ALMAR EC  -  DUAs MENSUALES 2024 vs 2025</t>
  </si>
  <si>
    <t>LINA FRESH URUGUAY SAS (= Garmin en EC)</t>
  </si>
  <si>
    <t>LINA FRESH (=Garmin) 2024</t>
  </si>
  <si>
    <t>LINA FRESH (=Garmin) 2025</t>
  </si>
  <si>
    <t>LINA FRESH (=Garmin)</t>
  </si>
  <si>
    <t>• ⚠️ GARMIN SI OPERA en EC bajo otra razon social: LINA FRESH URUGUAY SAS. Entro en 2025 (4%) y crecio a 8,85% en 5 meses. Es una estrategia de diversificacion oculta. Garmin NO es mono-origen como yo habia concluido inicialmente.</t>
  </si>
  <si>
    <t>• LINA FRESH (=Garmin) entro en 2025 con 4% y ya esta en 8,85% en 2026. Crecimiento agresivo del rival de Brasil ahora tambien en EC.</t>
  </si>
  <si>
    <t>🇪🇨 Ecuador</t>
  </si>
  <si>
    <t>Almar +21,5% vs mercado +9,1% - ganaste 4,5 pp</t>
  </si>
  <si>
    <t>Crecimiento sostenido - mercado EC sigue creciendo y Almar mas</t>
  </si>
  <si>
    <t>Alta concentracion creciendo</t>
  </si>
  <si>
    <t>Top 3 = 86% del mercado. Almar consolidando posicion #1</t>
  </si>
  <si>
    <t>48,0%</t>
  </si>
  <si>
    <t>Superior (+4,1 pp)</t>
  </si>
  <si>
    <t>🟢 BIEN - crecimiento sostenido</t>
  </si>
  <si>
    <t>PLAN COMPRAS ECUADOR 2026  -  proyeccion mensual (totales agregados)</t>
  </si>
  <si>
    <t>Basado en patron Penta 2024+2025  -  ritmo Ene-May 2026 +15% vs 2025</t>
  </si>
  <si>
    <t>USD 2026 (real/proyec.)</t>
  </si>
  <si>
    <t>% YoY</t>
  </si>
  <si>
    <t>DUAs 2026</t>
  </si>
  <si>
    <t>Proyeccion</t>
  </si>
  <si>
    <t>TOTAL AÑO</t>
  </si>
  <si>
    <t>RESUMEN PROYECCION 2026 ECUADOR</t>
  </si>
  <si>
    <t>USD VNA total 2026 proyectado:</t>
  </si>
  <si>
    <t>Variacion vs 2025:</t>
  </si>
  <si>
    <t>Hipotesis:</t>
  </si>
  <si>
    <t>mantener mismo numero DUAs que 2025 (Jun-Dic) pero con kg/DUA = 2026 (78k USD/DUA vs 57k en 2025)</t>
  </si>
  <si>
    <t>• Ene-May 2026 real: Almar EC = USD 3.458.045 en 44 DUAs. Ritmo +15% vs 2025 mismo periodo.</t>
  </si>
  <si>
    <t>• Kg/DUA subio fuerte: 62k (2025) -&gt; 85k (2026). Estas operando con cargas mas grandes - mejor eficiencia.</t>
  </si>
  <si>
    <t>• Si se sostiene el ritmo, 2026 total ≈ USD 8,3M (+15% vs USD 7,2M de 2025). Crecimiento orgánico.</t>
  </si>
  <si>
    <t>• Cuota EC viene subiendo +4,5 pp/año - sin perdida visible. Si el patrón continua, en 2027 superas 50%.</t>
  </si>
  <si>
    <t>• Atención a LINA FRESH (=Garmin) que crece +5 pp en EC - es el unico competidor con momentum agresivo.</t>
  </si>
  <si>
    <t>• Mercado EC no tiene estacionalidad fuerte como Brasil - DUAs distribuidos relativamente parejos.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</si>
</sst>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\+0%;\-0%;0%"/>
    <numFmt numFmtId="165" formatCode="#,000"/>
    <numFmt numFmtId="166" formatCode="#.##0"/>
    <numFmt numFmtId="167" formatCode="#,#00%"/>
    <numFmt numFmtId="168" formatCode="#,000%"/>
    <numFmt numFmtId="169" formatCode="\+#,000;\-#,000;#,000"/>
    <numFmt numFmtId="170" formatCode="0,000"/>
    <numFmt numFmtId="171" formatCode="\+#,000%;\-#,000%;#,000%"/>
    <numFmt numFmtId="172" formatCode="\+#,#00%;\-#,#00%"/>
    <numFmt numFmtId="173" formatCode="\+#,#00%;\-#,#00%;#,#00%"/>
    <numFmt numFmtId="174" formatCode="\+0;\-0;0"/>
    <numFmt numFmtId="175" formatCode="#,#00"/>
    <numFmt numFmtId="176" formatCode="\+#,#00;\-#,#00;#,#00"/>
    <numFmt numFmtId="177" formatCode="\+0%;\-0%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3F3DD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2" fillId="5" borderId="0" xfId="0" applyNumberFormat="1" applyFont="1" applyFill="1"/>
    <xf numFmtId="0" fontId="0" fillId="5" borderId="0" xfId="0" applyFill="1"/>
    <xf numFmtId="0" fontId="8" fillId="2" borderId="0" xfId="0" applyFont="1" applyFill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4" borderId="0" xfId="0" applyFill="1"/>
    <xf numFmtId="1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166" fontId="0" fillId="4" borderId="0" xfId="0" applyNumberFormat="1" applyFill="1"/>
    <xf numFmtId="167" fontId="0" fillId="4" borderId="0" xfId="0" applyNumberFormat="1" applyFill="1"/>
    <xf numFmtId="0" fontId="0" fillId="6" borderId="0" xfId="0" applyFill="1"/>
    <xf numFmtId="1" fontId="0" fillId="6" borderId="0" xfId="0" applyNumberFormat="1" applyFill="1"/>
    <xf numFmtId="164" fontId="0" fillId="6" borderId="0" xfId="0" applyNumberFormat="1" applyFill="1"/>
    <xf numFmtId="165" fontId="0" fillId="6" borderId="0" xfId="0" applyNumberFormat="1" applyFill="1"/>
    <xf numFmtId="166" fontId="0" fillId="6" borderId="0" xfId="0" applyNumberFormat="1" applyFill="1"/>
    <xf numFmtId="167" fontId="0" fillId="6" borderId="0" xfId="0" applyNumberFormat="1" applyFill="1"/>
    <xf numFmtId="0" fontId="0" fillId="7" borderId="0" xfId="0" applyFill="1"/>
    <xf numFmtId="1" fontId="0" fillId="7" borderId="0" xfId="0" applyNumberFormat="1" applyFill="1"/>
    <xf numFmtId="164" fontId="0" fillId="7" borderId="0" xfId="0" applyNumberFormat="1" applyFill="1"/>
    <xf numFmtId="165" fontId="0" fillId="7" borderId="0" xfId="0" applyNumberFormat="1" applyFill="1"/>
    <xf numFmtId="166" fontId="0" fillId="7" borderId="0" xfId="0" applyNumberFormat="1" applyFill="1"/>
    <xf numFmtId="167" fontId="0" fillId="7" borderId="0" xfId="0" applyNumberFormat="1" applyFill="1"/>
    <xf numFmtId="0" fontId="2" fillId="8" borderId="1" xfId="0" applyFont="1" applyFill="1" applyBorder="1"/>
    <xf numFmtId="1" fontId="2" fillId="8" borderId="1" xfId="0" applyNumberFormat="1" applyFont="1" applyFill="1" applyBorder="1"/>
    <xf numFmtId="164" fontId="2" fillId="8" borderId="1" xfId="0" applyNumberFormat="1" applyFont="1" applyFill="1" applyBorder="1"/>
    <xf numFmtId="166" fontId="2" fillId="8" borderId="1" xfId="0" applyNumberFormat="1" applyFont="1" applyFill="1" applyBorder="1"/>
    <xf numFmtId="0" fontId="0" fillId="4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6" fillId="0" borderId="0" xfId="0" applyFont="1"/>
    <xf numFmtId="14" fontId="2" fillId="6" borderId="0" xfId="0" applyNumberFormat="1" applyFont="1" applyFill="1"/>
    <xf numFmtId="9" fontId="8" fillId="2" borderId="0" xfId="0" applyNumberFormat="1" applyFont="1" applyFill="1"/>
    <xf numFmtId="168" fontId="0" fillId="0" borderId="0" xfId="0" applyNumberFormat="1"/>
    <xf numFmtId="169" fontId="0" fillId="0" borderId="0" xfId="0" applyNumberFormat="1"/>
    <xf numFmtId="169" fontId="9" fillId="0" borderId="0" xfId="0" applyNumberFormat="1" applyFont="1"/>
    <xf numFmtId="0" fontId="2" fillId="5" borderId="0" xfId="0" applyFont="1" applyFill="1"/>
    <xf numFmtId="166" fontId="2" fillId="5" borderId="0" xfId="0" applyNumberFormat="1" applyFont="1" applyFill="1"/>
    <xf numFmtId="168" fontId="2" fillId="5" borderId="0" xfId="0" applyNumberFormat="1" applyFont="1" applyFill="1"/>
    <xf numFmtId="169" fontId="10" fillId="5" borderId="0" xfId="0" applyNumberFormat="1" applyFont="1" applyFill="1"/>
    <xf numFmtId="169" fontId="1" fillId="0" borderId="0" xfId="0" applyNumberFormat="1" applyFont="1"/>
    <xf numFmtId="166" fontId="0" fillId="5" borderId="0" xfId="0" applyNumberFormat="1" applyFill="1"/>
    <xf numFmtId="1" fontId="0" fillId="5" borderId="0" xfId="0" applyNumberFormat="1" applyFill="1"/>
    <xf numFmtId="169" fontId="11" fillId="5" borderId="0" xfId="0" applyNumberFormat="1" applyFont="1" applyFill="1"/>
    <xf numFmtId="1" fontId="2" fillId="5" borderId="0" xfId="0" applyNumberFormat="1" applyFont="1" applyFill="1"/>
    <xf numFmtId="0" fontId="0" fillId="10" borderId="0" xfId="0" applyFill="1"/>
    <xf numFmtId="166" fontId="0" fillId="10" borderId="0" xfId="0" applyNumberFormat="1" applyFill="1"/>
    <xf numFmtId="168" fontId="0" fillId="10" borderId="0" xfId="0" applyNumberFormat="1" applyFill="1"/>
    <xf numFmtId="169" fontId="9" fillId="10" borderId="0" xfId="0" applyNumberFormat="1" applyFont="1" applyFill="1"/>
    <xf numFmtId="169" fontId="1" fillId="10" borderId="0" xfId="0" applyNumberFormat="1" applyFont="1" applyFill="1"/>
    <xf numFmtId="1" fontId="0" fillId="10" borderId="0" xfId="0" applyNumberFormat="1" applyFill="1"/>
    <xf numFmtId="168" fontId="2" fillId="8" borderId="1" xfId="0" applyNumberFormat="1" applyFont="1" applyFill="1" applyBorder="1"/>
    <xf numFmtId="170" fontId="0" fillId="0" borderId="0" xfId="0" applyNumberFormat="1"/>
    <xf numFmtId="170" fontId="0" fillId="5" borderId="0" xfId="0" applyNumberFormat="1" applyFill="1"/>
    <xf numFmtId="171" fontId="11" fillId="0" borderId="0" xfId="0" applyNumberFormat="1" applyFont="1"/>
    <xf numFmtId="171" fontId="10" fillId="0" borderId="0" xfId="0" applyNumberFormat="1" applyFont="1"/>
    <xf numFmtId="172" fontId="9" fillId="0" borderId="0" xfId="0" applyNumberFormat="1" applyFont="1"/>
    <xf numFmtId="172" fontId="1" fillId="0" borderId="0" xfId="0" applyNumberFormat="1" applyFont="1"/>
    <xf numFmtId="168" fontId="0" fillId="5" borderId="0" xfId="0" applyNumberFormat="1" applyFill="1"/>
    <xf numFmtId="169" fontId="2" fillId="5" borderId="0" xfId="0" applyNumberFormat="1" applyFont="1" applyFill="1"/>
    <xf numFmtId="0" fontId="2" fillId="7" borderId="0" xfId="0" applyFont="1" applyFill="1"/>
    <xf numFmtId="173" fontId="0" fillId="0" borderId="0" xfId="0" applyNumberFormat="1"/>
    <xf numFmtId="169" fontId="11" fillId="0" borderId="0" xfId="0" applyNumberFormat="1" applyFont="1"/>
    <xf numFmtId="0" fontId="11" fillId="0" borderId="0" xfId="0" applyFont="1"/>
    <xf numFmtId="169" fontId="10" fillId="0" borderId="0" xfId="0" applyNumberFormat="1" applyFont="1"/>
    <xf numFmtId="0" fontId="10" fillId="0" borderId="0" xfId="0" applyFont="1"/>
    <xf numFmtId="174" fontId="0" fillId="0" borderId="0" xfId="0" applyNumberFormat="1"/>
    <xf numFmtId="1" fontId="0" fillId="9" borderId="0" xfId="0" applyNumberFormat="1" applyFill="1"/>
    <xf numFmtId="1" fontId="2" fillId="7" borderId="0" xfId="0" applyNumberFormat="1" applyFont="1" applyFill="1"/>
    <xf numFmtId="0" fontId="0" fillId="9" borderId="0" xfId="0" applyFill="1"/>
    <xf numFmtId="1" fontId="12" fillId="4" borderId="0" xfId="0" applyNumberFormat="1" applyFont="1" applyFill="1"/>
    <xf numFmtId="174" fontId="2" fillId="0" borderId="0" xfId="0" applyNumberFormat="1" applyFont="1"/>
    <xf numFmtId="175" fontId="0" fillId="0" borderId="0" xfId="0" applyNumberFormat="1"/>
    <xf numFmtId="176" fontId="0" fillId="0" borderId="0" xfId="0" applyNumberFormat="1"/>
    <xf numFmtId="176" fontId="9" fillId="0" borderId="0" xfId="0" applyNumberFormat="1" applyFont="1"/>
    <xf numFmtId="175" fontId="2" fillId="7" borderId="0" xfId="0" applyNumberFormat="1" applyFont="1" applyFill="1"/>
    <xf numFmtId="167" fontId="2" fillId="7" borderId="0" xfId="0" applyNumberFormat="1" applyFont="1" applyFill="1"/>
    <xf numFmtId="176" fontId="10" fillId="7" borderId="0" xfId="0" applyNumberFormat="1" applyFont="1" applyFill="1"/>
    <xf numFmtId="176" fontId="1" fillId="0" borderId="0" xfId="0" applyNumberFormat="1" applyFont="1"/>
    <xf numFmtId="176" fontId="11" fillId="7" borderId="0" xfId="0" applyNumberFormat="1" applyFont="1" applyFill="1"/>
    <xf numFmtId="167" fontId="2" fillId="0" borderId="0" xfId="0" applyNumberFormat="1" applyFont="1"/>
    <xf numFmtId="167" fontId="12" fillId="0" borderId="0" xfId="0" applyNumberFormat="1" applyFont="1"/>
    <xf numFmtId="174" fontId="9" fillId="0" borderId="0" xfId="0" applyNumberFormat="1" applyFont="1"/>
    <xf numFmtId="173" fontId="9" fillId="0" borderId="0" xfId="0" applyNumberFormat="1" applyFont="1"/>
    <xf numFmtId="174" fontId="1" fillId="0" borderId="0" xfId="0" applyNumberFormat="1" applyFont="1"/>
    <xf numFmtId="173" fontId="1" fillId="0" borderId="0" xfId="0" applyNumberFormat="1" applyFont="1"/>
    <xf numFmtId="173" fontId="11" fillId="0" borderId="0" xfId="0" applyNumberFormat="1" applyFont="1"/>
    <xf numFmtId="174" fontId="2" fillId="8" borderId="1" xfId="0" applyNumberFormat="1" applyFont="1" applyFill="1" applyBorder="1"/>
    <xf numFmtId="172" fontId="10" fillId="8" borderId="1" xfId="0" applyNumberFormat="1" applyFont="1" applyFill="1" applyBorder="1"/>
    <xf numFmtId="164" fontId="10" fillId="0" borderId="0" xfId="0" applyNumberFormat="1" applyFont="1"/>
    <xf numFmtId="164" fontId="10" fillId="7" borderId="0" xfId="0" applyNumberFormat="1" applyFont="1" applyFill="1"/>
    <xf numFmtId="164" fontId="11" fillId="0" borderId="0" xfId="0" applyNumberFormat="1" applyFont="1"/>
    <xf numFmtId="164" fontId="11" fillId="7" borderId="0" xfId="0" applyNumberFormat="1" applyFont="1" applyFill="1"/>
    <xf numFmtId="0" fontId="4" fillId="0" borderId="0" xfId="0" applyFont="1"/>
    <xf numFmtId="0" fontId="2" fillId="10" borderId="0" xfId="0" applyFont="1" applyFill="1"/>
    <xf numFmtId="174" fontId="2" fillId="7" borderId="0" xfId="0" applyNumberFormat="1" applyFont="1" applyFill="1"/>
    <xf numFmtId="0" fontId="2" fillId="4" borderId="0" xfId="0" applyFont="1" applyFill="1"/>
    <xf numFmtId="1" fontId="2" fillId="4" borderId="0" xfId="0" applyNumberFormat="1" applyFont="1" applyFill="1"/>
    <xf numFmtId="177" fontId="0" fillId="4" borderId="0" xfId="0" applyNumberFormat="1" applyFill="1"/>
    <xf numFmtId="177" fontId="9" fillId="4" borderId="0" xfId="0" applyNumberFormat="1" applyFont="1" applyFill="1"/>
    <xf numFmtId="177" fontId="9" fillId="0" borderId="0" xfId="0" applyNumberFormat="1" applyFont="1"/>
    <xf numFmtId="172" fontId="10" fillId="0" borderId="0" xfId="0" applyNumberFormat="1" applyFont="1"/>
    <xf numFmtId="166" fontId="12" fillId="0" borderId="0" xfId="0" applyNumberFormat="1" applyFont="1"/>
    <xf numFmtId="0" fontId="5" fillId="2" borderId="0" xfId="0" applyFont="1" applyFill="1" applyAlignment="1">
      <alignment horizontal="center"/>
    </xf>
    <xf numFmtId="0" fontId="4" fillId="0" borderId="0" xfId="0" applyFont="1"/>
    <xf numFmtId="0" fontId="0" fillId="0" borderId="0" xfId="0"/>
    <xf numFmtId="0" fontId="0" fillId="0" borderId="0" xfId="0" applyAlignment="1">
      <alignment vertical="center" wrapText="1"/>
    </xf>
    <xf numFmtId="0" fontId="2" fillId="6" borderId="0" xfId="0" applyFont="1" applyFill="1"/>
    <xf numFmtId="0" fontId="0" fillId="5" borderId="0" xfId="0" applyFill="1"/>
    <xf numFmtId="0" fontId="0" fillId="0" borderId="0" xfId="0" applyAlignment="1">
      <alignment wrapText="1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7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UY"/>
              <a:t>Target carretas por mes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 Compras BR'!$M$4</c:f>
              <c:strCache>
                <c:ptCount val="1"/>
                <c:pt idx="0">
                  <c:v>Target</c:v>
                </c:pt>
              </c:strCache>
            </c:strRef>
          </c:tx>
          <c:invertIfNegative val="0"/>
          <c:cat>
            <c:strRef>
              <c:f>'Plan Compras BR'!$L$5:$L$16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'Plan Compras BR'!$M$5:$M$16</c:f>
              <c:numCache>
                <c:formatCode>0</c:formatCode>
                <c:ptCount val="12"/>
                <c:pt idx="0">
                  <c:v>35</c:v>
                </c:pt>
                <c:pt idx="1">
                  <c:v>60</c:v>
                </c:pt>
                <c:pt idx="2">
                  <c:v>75</c:v>
                </c:pt>
                <c:pt idx="3">
                  <c:v>65</c:v>
                </c:pt>
                <c:pt idx="4">
                  <c:v>100</c:v>
                </c:pt>
                <c:pt idx="5">
                  <c:v>75</c:v>
                </c:pt>
                <c:pt idx="6">
                  <c:v>78</c:v>
                </c:pt>
                <c:pt idx="7">
                  <c:v>55</c:v>
                </c:pt>
                <c:pt idx="8">
                  <c:v>80</c:v>
                </c:pt>
                <c:pt idx="9">
                  <c:v>55</c:v>
                </c:pt>
                <c:pt idx="10">
                  <c:v>55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3A-4DAF-8051-2EC3E8DE6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4578623"/>
        <c:axId val="1074572383"/>
      </c:barChart>
      <c:catAx>
        <c:axId val="1074578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4572383"/>
        <c:crosses val="autoZero"/>
        <c:auto val="1"/>
        <c:lblAlgn val="ctr"/>
        <c:lblOffset val="100"/>
        <c:noMultiLvlLbl val="0"/>
      </c:catAx>
      <c:valAx>
        <c:axId val="1074572383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07457862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DUAs por mes 2025  -  cuando importa cada uno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'Intel Competidores BR'!$B$26</c:f>
              <c:strCache>
                <c:ptCount val="1"/>
                <c:pt idx="0">
                  <c:v>ALMAR S.R.L.</c:v>
                </c:pt>
              </c:strCache>
            </c:strRef>
          </c:tx>
          <c:marker>
            <c:symbol val="none"/>
          </c:marker>
          <c:cat>
            <c:strRef>
              <c:f>'Intel Competidores BR'!$A$27:$A$38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'Intel Competidores BR'!$B$27:$B$38</c:f>
              <c:numCache>
                <c:formatCode>0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17</c:v>
                </c:pt>
                <c:pt idx="3">
                  <c:v>16</c:v>
                </c:pt>
                <c:pt idx="4">
                  <c:v>13</c:v>
                </c:pt>
                <c:pt idx="5">
                  <c:v>18</c:v>
                </c:pt>
                <c:pt idx="6">
                  <c:v>12</c:v>
                </c:pt>
                <c:pt idx="7">
                  <c:v>10</c:v>
                </c:pt>
                <c:pt idx="8">
                  <c:v>22</c:v>
                </c:pt>
                <c:pt idx="9">
                  <c:v>19</c:v>
                </c:pt>
                <c:pt idx="10">
                  <c:v>18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CD-413B-B241-F2FC354968E0}"/>
            </c:ext>
          </c:extLst>
        </c:ser>
        <c:ser>
          <c:idx val="1"/>
          <c:order val="1"/>
          <c:tx>
            <c:strRef>
              <c:f>'Intel Competidores BR'!$C$26</c:f>
              <c:strCache>
                <c:ptCount val="1"/>
                <c:pt idx="0">
                  <c:v>CIRO GENTILE S.A.</c:v>
                </c:pt>
              </c:strCache>
            </c:strRef>
          </c:tx>
          <c:marker>
            <c:symbol val="none"/>
          </c:marker>
          <c:cat>
            <c:strRef>
              <c:f>'Intel Competidores BR'!$A$27:$A$38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'Intel Competidores BR'!$C$27:$C$38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6</c:v>
                </c:pt>
                <c:pt idx="9">
                  <c:v>10</c:v>
                </c:pt>
                <c:pt idx="10">
                  <c:v>7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CD-413B-B241-F2FC354968E0}"/>
            </c:ext>
          </c:extLst>
        </c:ser>
        <c:ser>
          <c:idx val="2"/>
          <c:order val="2"/>
          <c:tx>
            <c:strRef>
              <c:f>'Intel Competidores BR'!$D$26</c:f>
              <c:strCache>
                <c:ptCount val="1"/>
                <c:pt idx="0">
                  <c:v>GARMIN S.R.L.</c:v>
                </c:pt>
              </c:strCache>
            </c:strRef>
          </c:tx>
          <c:marker>
            <c:symbol val="none"/>
          </c:marker>
          <c:cat>
            <c:strRef>
              <c:f>'Intel Competidores BR'!$A$27:$A$38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'Intel Competidores BR'!$D$27:$D$38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CD-413B-B241-F2FC35496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7255151"/>
        <c:axId val="317256111"/>
      </c:lineChart>
      <c:catAx>
        <c:axId val="3172551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7256111"/>
        <c:crosses val="autoZero"/>
        <c:auto val="1"/>
        <c:lblAlgn val="ctr"/>
        <c:lblOffset val="100"/>
        <c:noMultiLvlLbl val="0"/>
      </c:catAx>
      <c:valAx>
        <c:axId val="317256111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3172551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Almar  -  DUAs por mes 2024 vs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'Historico Almar BR'!$A$19:$A$31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'Historico Almar BR'!$B$19:$B$31</c:f>
              <c:numCache>
                <c:formatCode>0</c:formatCode>
                <c:ptCount val="13"/>
                <c:pt idx="0" formatCode="General">
                  <c:v>2024</c:v>
                </c:pt>
                <c:pt idx="1">
                  <c:v>8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14</c:v>
                </c:pt>
                <c:pt idx="7">
                  <c:v>14</c:v>
                </c:pt>
                <c:pt idx="8">
                  <c:v>12</c:v>
                </c:pt>
                <c:pt idx="9">
                  <c:v>14</c:v>
                </c:pt>
                <c:pt idx="10">
                  <c:v>15</c:v>
                </c:pt>
                <c:pt idx="11">
                  <c:v>19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FA-4274-861A-707167FAF892}"/>
            </c:ext>
          </c:extLst>
        </c:ser>
        <c:ser>
          <c:idx val="1"/>
          <c:order val="1"/>
          <c:marker>
            <c:symbol val="none"/>
          </c:marker>
          <c:cat>
            <c:strRef>
              <c:f>'Historico Almar BR'!$A$19:$A$31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'Historico Almar BR'!$C$19:$C$31</c:f>
              <c:numCache>
                <c:formatCode>0</c:formatCode>
                <c:ptCount val="13"/>
                <c:pt idx="0" formatCode="General">
                  <c:v>2025</c:v>
                </c:pt>
                <c:pt idx="1">
                  <c:v>11</c:v>
                </c:pt>
                <c:pt idx="2">
                  <c:v>12</c:v>
                </c:pt>
                <c:pt idx="3">
                  <c:v>17</c:v>
                </c:pt>
                <c:pt idx="4">
                  <c:v>16</c:v>
                </c:pt>
                <c:pt idx="5">
                  <c:v>13</c:v>
                </c:pt>
                <c:pt idx="6">
                  <c:v>18</c:v>
                </c:pt>
                <c:pt idx="7">
                  <c:v>12</c:v>
                </c:pt>
                <c:pt idx="8">
                  <c:v>10</c:v>
                </c:pt>
                <c:pt idx="9">
                  <c:v>22</c:v>
                </c:pt>
                <c:pt idx="10">
                  <c:v>19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FA-4274-861A-707167FAF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8353471"/>
        <c:axId val="288354431"/>
      </c:lineChart>
      <c:catAx>
        <c:axId val="288353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8354431"/>
        <c:crosses val="autoZero"/>
        <c:auto val="1"/>
        <c:lblAlgn val="ctr"/>
        <c:lblOffset val="100"/>
        <c:noMultiLvlLbl val="0"/>
      </c:catAx>
      <c:valAx>
        <c:axId val="2883544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835347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DUAs por mes 2025  -  Almar vs competencia EC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'Intel Competidores EC'!$B$27</c:f>
              <c:strCache>
                <c:ptCount val="1"/>
                <c:pt idx="0">
                  <c:v>ALMAR S.R.L.</c:v>
                </c:pt>
              </c:strCache>
            </c:strRef>
          </c:tx>
          <c:marker>
            <c:symbol val="none"/>
          </c:marker>
          <c:cat>
            <c:strRef>
              <c:f>'Intel Competidores EC'!$A$28:$A$39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'Intel Competidores EC'!$B$28:$B$39</c:f>
              <c:numCache>
                <c:formatCode>0</c:formatCode>
                <c:ptCount val="12"/>
                <c:pt idx="0">
                  <c:v>7</c:v>
                </c:pt>
                <c:pt idx="1">
                  <c:v>12</c:v>
                </c:pt>
                <c:pt idx="2">
                  <c:v>12</c:v>
                </c:pt>
                <c:pt idx="3">
                  <c:v>16</c:v>
                </c:pt>
                <c:pt idx="4">
                  <c:v>9</c:v>
                </c:pt>
                <c:pt idx="5">
                  <c:v>7</c:v>
                </c:pt>
                <c:pt idx="6">
                  <c:v>4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17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D2-4BA3-A23D-92FF41185B2F}"/>
            </c:ext>
          </c:extLst>
        </c:ser>
        <c:ser>
          <c:idx val="1"/>
          <c:order val="1"/>
          <c:tx>
            <c:strRef>
              <c:f>'Intel Competidores EC'!$C$27</c:f>
              <c:strCache>
                <c:ptCount val="1"/>
                <c:pt idx="0">
                  <c:v>PROEXUR S R L</c:v>
                </c:pt>
              </c:strCache>
            </c:strRef>
          </c:tx>
          <c:marker>
            <c:symbol val="none"/>
          </c:marker>
          <c:cat>
            <c:strRef>
              <c:f>'Intel Competidores EC'!$A$28:$A$39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'Intel Competidores EC'!$C$28:$C$39</c:f>
              <c:numCache>
                <c:formatCode>0</c:formatCode>
                <c:ptCount val="12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D2-4BA3-A23D-92FF41185B2F}"/>
            </c:ext>
          </c:extLst>
        </c:ser>
        <c:ser>
          <c:idx val="2"/>
          <c:order val="2"/>
          <c:tx>
            <c:strRef>
              <c:f>'Intel Competidores EC'!$D$27</c:f>
              <c:strCache>
                <c:ptCount val="1"/>
                <c:pt idx="0">
                  <c:v>CIRO GENTILE S.A.</c:v>
                </c:pt>
              </c:strCache>
            </c:strRef>
          </c:tx>
          <c:marker>
            <c:symbol val="none"/>
          </c:marker>
          <c:cat>
            <c:strRef>
              <c:f>'Intel Competidores EC'!$A$28:$A$39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'Intel Competidores EC'!$D$28:$D$39</c:f>
              <c:numCache>
                <c:formatCode>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D2-4BA3-A23D-92FF41185B2F}"/>
            </c:ext>
          </c:extLst>
        </c:ser>
        <c:ser>
          <c:idx val="3"/>
          <c:order val="3"/>
          <c:tx>
            <c:strRef>
              <c:f>'Intel Competidores EC'!$E$27</c:f>
              <c:strCache>
                <c:ptCount val="1"/>
                <c:pt idx="0">
                  <c:v>LINA FRESH (=Garmin)</c:v>
                </c:pt>
              </c:strCache>
            </c:strRef>
          </c:tx>
          <c:marker>
            <c:symbol val="none"/>
          </c:marker>
          <c:cat>
            <c:strRef>
              <c:f>'Intel Competidores EC'!$A$28:$A$39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'Intel Competidores EC'!$E$28:$E$39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5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D2-4BA3-A23D-92FF41185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3135760"/>
        <c:axId val="953136240"/>
      </c:lineChart>
      <c:catAx>
        <c:axId val="95313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53136240"/>
        <c:crosses val="autoZero"/>
        <c:auto val="1"/>
        <c:lblAlgn val="ctr"/>
        <c:lblOffset val="100"/>
        <c:noMultiLvlLbl val="0"/>
      </c:catAx>
      <c:valAx>
        <c:axId val="9531362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953135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Almar EC  -  DUAs por mes 2024 vs 2025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'Historico Almar EC'!$A$19:$A$31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'Historico Almar EC'!$B$19:$B$31</c:f>
              <c:numCache>
                <c:formatCode>0</c:formatCode>
                <c:ptCount val="13"/>
                <c:pt idx="0" formatCode="General">
                  <c:v>2024</c:v>
                </c:pt>
                <c:pt idx="1">
                  <c:v>5</c:v>
                </c:pt>
                <c:pt idx="2">
                  <c:v>14</c:v>
                </c:pt>
                <c:pt idx="3">
                  <c:v>9</c:v>
                </c:pt>
                <c:pt idx="4">
                  <c:v>13</c:v>
                </c:pt>
                <c:pt idx="5">
                  <c:v>9</c:v>
                </c:pt>
                <c:pt idx="6">
                  <c:v>5</c:v>
                </c:pt>
                <c:pt idx="7">
                  <c:v>19</c:v>
                </c:pt>
                <c:pt idx="8">
                  <c:v>13</c:v>
                </c:pt>
                <c:pt idx="9">
                  <c:v>15</c:v>
                </c:pt>
                <c:pt idx="10">
                  <c:v>16</c:v>
                </c:pt>
                <c:pt idx="11">
                  <c:v>13</c:v>
                </c:pt>
                <c:pt idx="1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F3-46AB-A9EE-9858D68619E7}"/>
            </c:ext>
          </c:extLst>
        </c:ser>
        <c:ser>
          <c:idx val="1"/>
          <c:order val="1"/>
          <c:marker>
            <c:symbol val="none"/>
          </c:marker>
          <c:cat>
            <c:strRef>
              <c:f>'Historico Almar EC'!$A$19:$A$31</c:f>
              <c:strCache>
                <c:ptCount val="13"/>
                <c:pt idx="0">
                  <c:v>Mes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'Historico Almar EC'!$C$19:$C$31</c:f>
              <c:numCache>
                <c:formatCode>0</c:formatCode>
                <c:ptCount val="13"/>
                <c:pt idx="0" formatCode="General">
                  <c:v>2025</c:v>
                </c:pt>
                <c:pt idx="1">
                  <c:v>7</c:v>
                </c:pt>
                <c:pt idx="2">
                  <c:v>12</c:v>
                </c:pt>
                <c:pt idx="3">
                  <c:v>12</c:v>
                </c:pt>
                <c:pt idx="4">
                  <c:v>16</c:v>
                </c:pt>
                <c:pt idx="5">
                  <c:v>9</c:v>
                </c:pt>
                <c:pt idx="6">
                  <c:v>7</c:v>
                </c:pt>
                <c:pt idx="7">
                  <c:v>4</c:v>
                </c:pt>
                <c:pt idx="8">
                  <c:v>9</c:v>
                </c:pt>
                <c:pt idx="9">
                  <c:v>8</c:v>
                </c:pt>
                <c:pt idx="10">
                  <c:v>13</c:v>
                </c:pt>
                <c:pt idx="11">
                  <c:v>17</c:v>
                </c:pt>
                <c:pt idx="1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F3-46AB-A9EE-9858D6861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5120912"/>
        <c:axId val="1065124752"/>
      </c:lineChart>
      <c:catAx>
        <c:axId val="106512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5124752"/>
        <c:crosses val="autoZero"/>
        <c:auto val="1"/>
        <c:lblAlgn val="ctr"/>
        <c:lblOffset val="100"/>
        <c:noMultiLvlLbl val="0"/>
      </c:catAx>
      <c:valAx>
        <c:axId val="1065124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5120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177800</xdr:colOff>
      <xdr:row>3</xdr:row>
      <xdr:rowOff>142875</xdr:rowOff>
    </xdr:from>
    <xdr:to>
      <xdr:col>19</xdr:col>
      <xdr:colOff>685800</xdr:colOff>
      <xdr:row>25</xdr:row>
      <xdr:rowOff>15875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7565614-A22F-F8A7-F4AB-5738E639A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26</xdr:row>
      <xdr:rowOff>187325</xdr:rowOff>
    </xdr:from>
    <xdr:to>
      <xdr:col>17</xdr:col>
      <xdr:colOff>381000</xdr:colOff>
      <xdr:row>45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3CCE60-173E-A2F0-6F1C-2F422E575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18</xdr:row>
      <xdr:rowOff>123825</xdr:rowOff>
    </xdr:from>
    <xdr:to>
      <xdr:col>16</xdr:col>
      <xdr:colOff>254000</xdr:colOff>
      <xdr:row>37</xdr:row>
      <xdr:rowOff>60325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D7F4DC-9C34-84FB-1456-8E42C2510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21</xdr:row>
      <xdr:rowOff>196850</xdr:rowOff>
    </xdr:from>
    <xdr:to>
      <xdr:col>20</xdr:col>
      <xdr:colOff>0</xdr:colOff>
      <xdr:row>41</xdr:row>
      <xdr:rowOff>60325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77E97D-35E3-9DCE-BFC1-94C9BC479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13</xdr:row>
      <xdr:rowOff>323850</xdr:rowOff>
    </xdr:from>
    <xdr:to>
      <xdr:col>16</xdr:col>
      <xdr:colOff>254000</xdr:colOff>
      <xdr:row>31</xdr:row>
      <xdr:rowOff>60325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ADDDFC4-4E40-A01E-7B17-65CCD7FE4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4ED5-C1B1-4401-A2BE-42D315441690}">
  <dimension ref="A1:M17"/>
  <sheetViews>
    <sheetView tabSelected="1" workbookViewId="0">
      <selection activeCell="J11" sqref="J11"/>
    </sheetView>
  </sheetViews>
  <sheetFormatPr baseColWidth="10" defaultRowHeight="15" x14ac:dyDescent="0.25"/>
  <cols>
    <col min="1" max="1" width="12.7109375" customWidth="1"/>
    <col min="2" max="2" width="18.7109375" customWidth="1"/>
    <col min="3" max="3" width="12.7109375" customWidth="1"/>
    <col min="4" max="4" width="10.7109375" customWidth="1"/>
    <col min="5" max="5" width="17.7109375" customWidth="1"/>
    <col min="6" max="7" width="14.7109375" customWidth="1"/>
    <col min="8" max="8" width="12.7109375" customWidth="1"/>
    <col min="9" max="9" width="11.7109375" customWidth="1"/>
    <col min="10" max="10" width="50.7109375" customWidth="1"/>
  </cols>
  <sheetData>
    <row r="1" spans="1:13" ht="18.75" x14ac:dyDescent="0.3">
      <c r="A1" s="110" t="s">
        <v>41</v>
      </c>
      <c r="B1" s="110"/>
      <c r="C1" s="110"/>
      <c r="D1" s="110"/>
      <c r="E1" s="110"/>
      <c r="F1" s="110"/>
      <c r="G1" s="110"/>
      <c r="H1" s="110"/>
      <c r="I1" s="110"/>
      <c r="J1" s="110"/>
    </row>
    <row r="2" spans="1:13" x14ac:dyDescent="0.25">
      <c r="A2" s="111" t="s">
        <v>42</v>
      </c>
      <c r="B2" s="112"/>
      <c r="C2" s="112"/>
      <c r="D2" s="112"/>
      <c r="E2" s="112"/>
      <c r="F2" s="112"/>
      <c r="G2" s="112"/>
      <c r="H2" s="112"/>
      <c r="I2" s="112"/>
      <c r="J2" s="112"/>
    </row>
    <row r="4" spans="1:13" x14ac:dyDescent="0.25">
      <c r="A4" s="5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5" t="s">
        <v>52</v>
      </c>
      <c r="L4" s="1" t="s">
        <v>43</v>
      </c>
      <c r="M4" s="1" t="s">
        <v>81</v>
      </c>
    </row>
    <row r="5" spans="1:13" x14ac:dyDescent="0.25">
      <c r="A5" t="s">
        <v>53</v>
      </c>
      <c r="B5" t="s">
        <v>54</v>
      </c>
      <c r="C5" s="6">
        <v>35</v>
      </c>
      <c r="D5" s="7">
        <v>0</v>
      </c>
      <c r="E5" s="8">
        <v>39.49</v>
      </c>
      <c r="F5" s="9">
        <v>1393207.2000000002</v>
      </c>
      <c r="G5" s="9">
        <v>267924.46153846156</v>
      </c>
      <c r="H5" s="10">
        <v>4.4699872286079183E-2</v>
      </c>
      <c r="I5" s="6">
        <v>35</v>
      </c>
      <c r="J5" t="s">
        <v>55</v>
      </c>
      <c r="L5" t="s">
        <v>53</v>
      </c>
      <c r="M5" s="6">
        <v>35</v>
      </c>
    </row>
    <row r="6" spans="1:13" x14ac:dyDescent="0.25">
      <c r="A6" t="s">
        <v>56</v>
      </c>
      <c r="B6" t="s">
        <v>54</v>
      </c>
      <c r="C6" s="6">
        <v>60</v>
      </c>
      <c r="D6" s="7">
        <v>-4.7619047619047616E-2</v>
      </c>
      <c r="E6" s="8">
        <v>37.29</v>
      </c>
      <c r="F6" s="9">
        <v>2255299.1999999997</v>
      </c>
      <c r="G6" s="9">
        <v>433711.38461538457</v>
      </c>
      <c r="H6" s="10">
        <v>7.662835249042145E-2</v>
      </c>
      <c r="I6" s="6">
        <v>95</v>
      </c>
      <c r="J6" t="s">
        <v>57</v>
      </c>
      <c r="L6" t="s">
        <v>56</v>
      </c>
      <c r="M6" s="6">
        <v>60</v>
      </c>
    </row>
    <row r="7" spans="1:13" x14ac:dyDescent="0.25">
      <c r="A7" t="s">
        <v>58</v>
      </c>
      <c r="B7" t="s">
        <v>54</v>
      </c>
      <c r="C7" s="6">
        <v>75</v>
      </c>
      <c r="D7" s="7">
        <v>-4.4585987261146494E-2</v>
      </c>
      <c r="E7" s="8">
        <v>43.82</v>
      </c>
      <c r="F7" s="9">
        <v>3312792</v>
      </c>
      <c r="G7" s="9">
        <v>637075.38461538462</v>
      </c>
      <c r="H7" s="10">
        <v>9.5785440613026823E-2</v>
      </c>
      <c r="I7" s="6">
        <v>170</v>
      </c>
      <c r="J7" t="s">
        <v>57</v>
      </c>
      <c r="L7" t="s">
        <v>58</v>
      </c>
      <c r="M7" s="6">
        <v>75</v>
      </c>
    </row>
    <row r="8" spans="1:13" x14ac:dyDescent="0.25">
      <c r="A8" t="s">
        <v>59</v>
      </c>
      <c r="B8" t="s">
        <v>54</v>
      </c>
      <c r="C8" s="6">
        <v>65</v>
      </c>
      <c r="D8" s="7">
        <v>-2.9850746268656716E-2</v>
      </c>
      <c r="E8" s="8">
        <v>40.36</v>
      </c>
      <c r="F8" s="9">
        <v>2644387.2000000002</v>
      </c>
      <c r="G8" s="9">
        <v>508536</v>
      </c>
      <c r="H8" s="10">
        <v>8.3014048531289908E-2</v>
      </c>
      <c r="I8" s="6">
        <v>235</v>
      </c>
      <c r="J8" t="s">
        <v>60</v>
      </c>
      <c r="L8" t="s">
        <v>59</v>
      </c>
      <c r="M8" s="6">
        <v>65</v>
      </c>
    </row>
    <row r="9" spans="1:13" x14ac:dyDescent="0.25">
      <c r="A9" s="11" t="s">
        <v>61</v>
      </c>
      <c r="B9" s="11" t="s">
        <v>62</v>
      </c>
      <c r="C9" s="12">
        <v>100</v>
      </c>
      <c r="D9" s="13">
        <v>6.7235859124866557E-2</v>
      </c>
      <c r="E9" s="14">
        <v>31.31</v>
      </c>
      <c r="F9" s="15">
        <v>3156048</v>
      </c>
      <c r="G9" s="15">
        <v>606932.30769230763</v>
      </c>
      <c r="H9" s="16">
        <v>0.1277139208173691</v>
      </c>
      <c r="I9" s="12">
        <v>335</v>
      </c>
      <c r="J9" s="11" t="s">
        <v>63</v>
      </c>
      <c r="L9" t="s">
        <v>61</v>
      </c>
      <c r="M9" s="6">
        <v>100</v>
      </c>
    </row>
    <row r="10" spans="1:13" x14ac:dyDescent="0.25">
      <c r="A10" s="11" t="s">
        <v>64</v>
      </c>
      <c r="B10" s="11" t="s">
        <v>62</v>
      </c>
      <c r="C10" s="12">
        <v>75</v>
      </c>
      <c r="D10" s="13">
        <v>0.11940298507462686</v>
      </c>
      <c r="E10" s="14">
        <v>27.1</v>
      </c>
      <c r="F10" s="15">
        <v>2048760</v>
      </c>
      <c r="G10" s="15">
        <v>393992.30769230769</v>
      </c>
      <c r="H10" s="16">
        <v>9.5785440613026823E-2</v>
      </c>
      <c r="I10" s="12">
        <v>410</v>
      </c>
      <c r="J10" s="11" t="s">
        <v>65</v>
      </c>
      <c r="L10" t="s">
        <v>64</v>
      </c>
      <c r="M10" s="6">
        <v>75</v>
      </c>
    </row>
    <row r="11" spans="1:13" x14ac:dyDescent="0.25">
      <c r="A11" s="11" t="s">
        <v>66</v>
      </c>
      <c r="B11" s="11" t="s">
        <v>62</v>
      </c>
      <c r="C11" s="12">
        <v>78</v>
      </c>
      <c r="D11" s="13">
        <v>0.04</v>
      </c>
      <c r="E11" s="14">
        <v>40.53</v>
      </c>
      <c r="F11" s="15">
        <v>3186630.72</v>
      </c>
      <c r="G11" s="15">
        <v>612813.6</v>
      </c>
      <c r="H11" s="16">
        <v>9.9616858237547887E-2</v>
      </c>
      <c r="I11" s="12">
        <v>488</v>
      </c>
      <c r="J11" s="11" t="s">
        <v>67</v>
      </c>
      <c r="L11" t="s">
        <v>66</v>
      </c>
      <c r="M11" s="6">
        <v>78</v>
      </c>
    </row>
    <row r="12" spans="1:13" x14ac:dyDescent="0.25">
      <c r="A12" s="17" t="s">
        <v>68</v>
      </c>
      <c r="B12" s="17" t="s">
        <v>69</v>
      </c>
      <c r="C12" s="18">
        <v>55</v>
      </c>
      <c r="D12" s="19">
        <v>-8.3333333333333329E-2</v>
      </c>
      <c r="E12" s="20">
        <v>54.09</v>
      </c>
      <c r="F12" s="21">
        <v>2998749.6</v>
      </c>
      <c r="G12" s="21">
        <v>576682.61538461538</v>
      </c>
      <c r="H12" s="22">
        <v>7.0242656449553006E-2</v>
      </c>
      <c r="I12" s="18">
        <v>543</v>
      </c>
      <c r="J12" s="17" t="s">
        <v>70</v>
      </c>
      <c r="L12" t="s">
        <v>68</v>
      </c>
      <c r="M12" s="6">
        <v>55</v>
      </c>
    </row>
    <row r="13" spans="1:13" x14ac:dyDescent="0.25">
      <c r="A13" s="23" t="s">
        <v>71</v>
      </c>
      <c r="B13" s="23" t="s">
        <v>72</v>
      </c>
      <c r="C13" s="24">
        <v>80</v>
      </c>
      <c r="D13" s="25">
        <v>-0.13043478260869565</v>
      </c>
      <c r="E13" s="26">
        <v>65.78</v>
      </c>
      <c r="F13" s="27">
        <v>5304499.2</v>
      </c>
      <c r="G13" s="27">
        <v>1020096</v>
      </c>
      <c r="H13" s="28">
        <v>0.10217113665389528</v>
      </c>
      <c r="I13" s="24">
        <v>623</v>
      </c>
      <c r="J13" s="23" t="s">
        <v>73</v>
      </c>
      <c r="L13" t="s">
        <v>71</v>
      </c>
      <c r="M13" s="6">
        <v>80</v>
      </c>
    </row>
    <row r="14" spans="1:13" x14ac:dyDescent="0.25">
      <c r="A14" s="23" t="s">
        <v>74</v>
      </c>
      <c r="B14" s="23" t="s">
        <v>72</v>
      </c>
      <c r="C14" s="24">
        <v>55</v>
      </c>
      <c r="D14" s="25">
        <v>-9.8360655737704916E-2</v>
      </c>
      <c r="E14" s="26">
        <v>67.739999999999995</v>
      </c>
      <c r="F14" s="27">
        <v>3755505.5999999996</v>
      </c>
      <c r="G14" s="27">
        <v>722212.61538461526</v>
      </c>
      <c r="H14" s="28">
        <v>7.0242656449553006E-2</v>
      </c>
      <c r="I14" s="24">
        <v>678</v>
      </c>
      <c r="J14" s="23" t="s">
        <v>75</v>
      </c>
      <c r="L14" t="s">
        <v>74</v>
      </c>
      <c r="M14" s="6">
        <v>55</v>
      </c>
    </row>
    <row r="15" spans="1:13" x14ac:dyDescent="0.25">
      <c r="A15" s="23" t="s">
        <v>76</v>
      </c>
      <c r="B15" s="23" t="s">
        <v>72</v>
      </c>
      <c r="C15" s="24">
        <v>55</v>
      </c>
      <c r="D15" s="25">
        <v>-0.11290322580645161</v>
      </c>
      <c r="E15" s="26">
        <v>63.39</v>
      </c>
      <c r="F15" s="27">
        <v>3514341.6</v>
      </c>
      <c r="G15" s="27">
        <v>675834.92307692312</v>
      </c>
      <c r="H15" s="28">
        <v>7.0242656449553006E-2</v>
      </c>
      <c r="I15" s="24">
        <v>733</v>
      </c>
      <c r="J15" s="23" t="s">
        <v>77</v>
      </c>
      <c r="L15" t="s">
        <v>76</v>
      </c>
      <c r="M15" s="6">
        <v>55</v>
      </c>
    </row>
    <row r="16" spans="1:13" x14ac:dyDescent="0.25">
      <c r="A16" s="23" t="s">
        <v>78</v>
      </c>
      <c r="B16" s="23" t="s">
        <v>72</v>
      </c>
      <c r="C16" s="24">
        <v>50</v>
      </c>
      <c r="D16" s="25">
        <v>0</v>
      </c>
      <c r="E16" s="26">
        <v>58.11</v>
      </c>
      <c r="F16" s="27">
        <v>2928744</v>
      </c>
      <c r="G16" s="27">
        <v>563220</v>
      </c>
      <c r="H16" s="28">
        <v>6.3856960408684549E-2</v>
      </c>
      <c r="I16" s="24">
        <v>783</v>
      </c>
      <c r="J16" s="23" t="s">
        <v>79</v>
      </c>
      <c r="L16" t="s">
        <v>78</v>
      </c>
      <c r="M16" s="6">
        <v>50</v>
      </c>
    </row>
    <row r="17" spans="1:10" x14ac:dyDescent="0.25">
      <c r="A17" s="29" t="s">
        <v>80</v>
      </c>
      <c r="B17" s="29"/>
      <c r="C17" s="30">
        <f>SUM(C5:C16)</f>
        <v>783</v>
      </c>
      <c r="D17" s="31">
        <f>(C17-804)/804</f>
        <v>-2.6119402985074626E-2</v>
      </c>
      <c r="E17" s="29"/>
      <c r="F17" s="32">
        <f>SUM(F5:F16)</f>
        <v>36498964.32</v>
      </c>
      <c r="G17" s="32">
        <f>SUM(G5:G16)</f>
        <v>7019031.5999999996</v>
      </c>
      <c r="H17" s="29"/>
      <c r="I17" s="29"/>
      <c r="J17" s="29"/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F8C6-D5F5-4FA5-8055-AA393BC87160}">
  <dimension ref="A1:H58"/>
  <sheetViews>
    <sheetView workbookViewId="0">
      <selection sqref="A1:G1"/>
    </sheetView>
  </sheetViews>
  <sheetFormatPr baseColWidth="10" defaultRowHeight="15" x14ac:dyDescent="0.25"/>
  <cols>
    <col min="1" max="1" width="4.7109375" customWidth="1"/>
    <col min="2" max="2" width="22.7109375" customWidth="1"/>
    <col min="3" max="3" width="14.7109375" customWidth="1"/>
    <col min="4" max="5" width="16.7109375" customWidth="1"/>
    <col min="6" max="6" width="14.7109375" customWidth="1"/>
    <col min="7" max="8" width="22.7109375" customWidth="1"/>
  </cols>
  <sheetData>
    <row r="1" spans="1:8" ht="18.75" x14ac:dyDescent="0.3">
      <c r="A1" s="110" t="s">
        <v>333</v>
      </c>
      <c r="B1" s="110"/>
      <c r="C1" s="110"/>
      <c r="D1" s="110"/>
      <c r="E1" s="110"/>
      <c r="F1" s="110"/>
      <c r="G1" s="110"/>
    </row>
    <row r="2" spans="1:8" x14ac:dyDescent="0.25">
      <c r="A2" s="111" t="s">
        <v>334</v>
      </c>
      <c r="B2" s="112"/>
      <c r="C2" s="112"/>
      <c r="D2" s="112"/>
      <c r="E2" s="112"/>
      <c r="F2" s="112"/>
      <c r="G2" s="112"/>
    </row>
    <row r="4" spans="1:8" ht="15.75" x14ac:dyDescent="0.25">
      <c r="A4" s="37" t="s">
        <v>335</v>
      </c>
    </row>
    <row r="5" spans="1:8" x14ac:dyDescent="0.25">
      <c r="A5" s="5" t="s">
        <v>43</v>
      </c>
      <c r="B5" s="5" t="s">
        <v>336</v>
      </c>
      <c r="C5" s="5" t="s">
        <v>337</v>
      </c>
      <c r="D5" s="5" t="s">
        <v>338</v>
      </c>
      <c r="E5" s="5" t="s">
        <v>339</v>
      </c>
      <c r="F5" s="5" t="s">
        <v>340</v>
      </c>
      <c r="G5" s="5" t="s">
        <v>341</v>
      </c>
      <c r="H5" s="5" t="s">
        <v>342</v>
      </c>
    </row>
    <row r="6" spans="1:8" x14ac:dyDescent="0.25">
      <c r="A6" t="s">
        <v>53</v>
      </c>
      <c r="B6" s="6">
        <v>35</v>
      </c>
      <c r="C6" s="6">
        <v>66</v>
      </c>
      <c r="D6" s="89">
        <v>31</v>
      </c>
      <c r="E6" s="90">
        <v>0.88571428571428568</v>
      </c>
      <c r="F6" s="8">
        <v>35.5</v>
      </c>
      <c r="G6" s="8">
        <v>39.49</v>
      </c>
      <c r="H6" s="68">
        <v>-0.10103823752848827</v>
      </c>
    </row>
    <row r="7" spans="1:8" x14ac:dyDescent="0.25">
      <c r="A7" t="s">
        <v>56</v>
      </c>
      <c r="B7" s="6">
        <v>60</v>
      </c>
      <c r="C7" s="6">
        <v>50</v>
      </c>
      <c r="D7" s="91">
        <v>-10</v>
      </c>
      <c r="E7" s="92">
        <v>-0.16666666666666666</v>
      </c>
      <c r="F7" s="8">
        <v>36.15</v>
      </c>
      <c r="G7" s="8">
        <v>37.29</v>
      </c>
      <c r="H7" s="68">
        <v>-3.0571198712791649E-2</v>
      </c>
    </row>
    <row r="8" spans="1:8" x14ac:dyDescent="0.25">
      <c r="A8" t="s">
        <v>58</v>
      </c>
      <c r="B8" s="6">
        <v>75</v>
      </c>
      <c r="C8" s="6">
        <v>69</v>
      </c>
      <c r="D8" s="91">
        <v>-6</v>
      </c>
      <c r="E8" s="92">
        <v>-0.08</v>
      </c>
      <c r="F8" s="8">
        <v>53.12</v>
      </c>
      <c r="G8" s="8">
        <v>43.82</v>
      </c>
      <c r="H8" s="93">
        <v>0.21223185759926969</v>
      </c>
    </row>
    <row r="9" spans="1:8" x14ac:dyDescent="0.25">
      <c r="A9" t="s">
        <v>59</v>
      </c>
      <c r="B9" s="6">
        <v>65</v>
      </c>
      <c r="C9" s="6">
        <v>68</v>
      </c>
      <c r="D9" s="73">
        <v>3</v>
      </c>
      <c r="E9" s="68">
        <v>4.6153846153846156E-2</v>
      </c>
      <c r="F9" s="8">
        <v>39.15</v>
      </c>
      <c r="G9" s="8">
        <v>40.36</v>
      </c>
      <c r="H9" s="68">
        <v>-2.9980178394449972E-2</v>
      </c>
    </row>
    <row r="10" spans="1:8" x14ac:dyDescent="0.25">
      <c r="A10" s="29" t="s">
        <v>343</v>
      </c>
      <c r="B10" s="30">
        <v>235</v>
      </c>
      <c r="C10" s="30">
        <v>253</v>
      </c>
      <c r="D10" s="94">
        <v>18</v>
      </c>
      <c r="E10" s="95">
        <v>7.6999999999999999E-2</v>
      </c>
      <c r="F10" s="29"/>
      <c r="G10" s="29"/>
      <c r="H10" s="29"/>
    </row>
    <row r="13" spans="1:8" ht="15.75" x14ac:dyDescent="0.25">
      <c r="A13" s="37" t="s">
        <v>344</v>
      </c>
    </row>
    <row r="14" spans="1:8" x14ac:dyDescent="0.25">
      <c r="A14" s="5" t="s">
        <v>219</v>
      </c>
      <c r="B14" s="5" t="s">
        <v>297</v>
      </c>
      <c r="C14" s="5" t="s">
        <v>298</v>
      </c>
      <c r="D14" s="5" t="s">
        <v>345</v>
      </c>
      <c r="E14" s="5" t="s">
        <v>346</v>
      </c>
      <c r="F14" s="5" t="s">
        <v>347</v>
      </c>
      <c r="G14" s="5" t="s">
        <v>348</v>
      </c>
      <c r="H14" s="5" t="s">
        <v>136</v>
      </c>
    </row>
    <row r="15" spans="1:8" x14ac:dyDescent="0.25">
      <c r="A15" s="67">
        <v>1</v>
      </c>
      <c r="B15" s="67" t="s">
        <v>307</v>
      </c>
      <c r="C15" s="82">
        <v>87</v>
      </c>
      <c r="D15" s="82">
        <v>675</v>
      </c>
      <c r="E15" s="75">
        <v>2025</v>
      </c>
      <c r="F15" s="97">
        <v>22.275862068965516</v>
      </c>
      <c r="G15" s="83">
        <v>266798418972332</v>
      </c>
      <c r="H15" s="67" t="s">
        <v>349</v>
      </c>
    </row>
    <row r="16" spans="1:8" x14ac:dyDescent="0.25">
      <c r="A16">
        <v>2</v>
      </c>
      <c r="B16" t="s">
        <v>309</v>
      </c>
      <c r="C16" s="79">
        <v>75.5</v>
      </c>
      <c r="D16" s="79">
        <v>255</v>
      </c>
      <c r="E16" s="6">
        <v>765</v>
      </c>
      <c r="F16" s="96">
        <v>9.1324503311258276</v>
      </c>
      <c r="G16" s="10">
        <v>100790513833992</v>
      </c>
      <c r="H16" t="s">
        <v>349</v>
      </c>
    </row>
    <row r="17" spans="1:8" x14ac:dyDescent="0.25">
      <c r="A17">
        <v>3</v>
      </c>
      <c r="B17" t="s">
        <v>305</v>
      </c>
      <c r="C17" s="79">
        <v>131.5</v>
      </c>
      <c r="D17" s="79">
        <v>34</v>
      </c>
      <c r="E17" s="6">
        <v>102</v>
      </c>
      <c r="F17" s="98">
        <v>-0.22433460076045628</v>
      </c>
      <c r="G17" s="10">
        <v>134387351778656</v>
      </c>
      <c r="H17" t="s">
        <v>350</v>
      </c>
    </row>
    <row r="18" spans="1:8" x14ac:dyDescent="0.25">
      <c r="A18" s="67">
        <v>4</v>
      </c>
      <c r="B18" s="67" t="s">
        <v>303</v>
      </c>
      <c r="C18" s="82">
        <v>169.3</v>
      </c>
      <c r="D18" s="82">
        <v>32</v>
      </c>
      <c r="E18" s="75">
        <v>96</v>
      </c>
      <c r="F18" s="99">
        <v>-0.43295924394565866</v>
      </c>
      <c r="G18" s="83">
        <v>126482213438735</v>
      </c>
      <c r="H18" s="67" t="s">
        <v>350</v>
      </c>
    </row>
    <row r="19" spans="1:8" x14ac:dyDescent="0.25">
      <c r="A19">
        <v>5</v>
      </c>
      <c r="B19" t="s">
        <v>306</v>
      </c>
      <c r="C19" s="79">
        <v>124.5</v>
      </c>
      <c r="D19" s="79">
        <v>26</v>
      </c>
      <c r="E19" s="6">
        <v>78</v>
      </c>
      <c r="F19" s="98">
        <v>-0.37349397590361444</v>
      </c>
      <c r="G19" s="10">
        <v>102766798418972</v>
      </c>
      <c r="H19" t="s">
        <v>350</v>
      </c>
    </row>
    <row r="20" spans="1:8" x14ac:dyDescent="0.25">
      <c r="A20">
        <v>6</v>
      </c>
      <c r="B20" t="s">
        <v>310</v>
      </c>
      <c r="C20" s="79">
        <v>74</v>
      </c>
      <c r="D20" s="79">
        <v>18</v>
      </c>
      <c r="E20" s="6">
        <v>54</v>
      </c>
      <c r="F20" s="98">
        <v>-0.27027027027027029</v>
      </c>
      <c r="G20" s="10">
        <v>711462450592885</v>
      </c>
      <c r="H20" t="s">
        <v>350</v>
      </c>
    </row>
    <row r="21" spans="1:8" x14ac:dyDescent="0.25">
      <c r="A21">
        <v>7</v>
      </c>
      <c r="B21" t="s">
        <v>351</v>
      </c>
      <c r="C21" s="79">
        <v>0</v>
      </c>
      <c r="D21" s="79">
        <v>17</v>
      </c>
      <c r="E21" s="6">
        <v>51</v>
      </c>
      <c r="F21" t="s">
        <v>312</v>
      </c>
      <c r="G21" s="10">
        <v>671936758893281</v>
      </c>
      <c r="H21" t="s">
        <v>352</v>
      </c>
    </row>
    <row r="22" spans="1:8" x14ac:dyDescent="0.25">
      <c r="A22">
        <v>8</v>
      </c>
      <c r="B22" t="s">
        <v>315</v>
      </c>
      <c r="C22" s="79">
        <v>23</v>
      </c>
      <c r="D22" s="79">
        <v>6</v>
      </c>
      <c r="E22" s="6">
        <v>18</v>
      </c>
      <c r="F22" s="98">
        <v>-0.21739130434782608</v>
      </c>
      <c r="G22" s="10">
        <v>237154150197628</v>
      </c>
      <c r="H22" t="s">
        <v>350</v>
      </c>
    </row>
    <row r="23" spans="1:8" x14ac:dyDescent="0.25">
      <c r="A23">
        <v>9</v>
      </c>
      <c r="B23" t="s">
        <v>353</v>
      </c>
      <c r="C23" s="79">
        <v>0</v>
      </c>
      <c r="D23" s="79">
        <v>6</v>
      </c>
      <c r="E23" s="6">
        <v>18</v>
      </c>
      <c r="F23" t="s">
        <v>312</v>
      </c>
      <c r="G23" s="10">
        <v>237154150197628</v>
      </c>
      <c r="H23" t="s">
        <v>352</v>
      </c>
    </row>
    <row r="24" spans="1:8" x14ac:dyDescent="0.25">
      <c r="A24">
        <v>10</v>
      </c>
      <c r="B24" t="s">
        <v>354</v>
      </c>
      <c r="C24" s="79">
        <v>0</v>
      </c>
      <c r="D24" s="79">
        <v>5</v>
      </c>
      <c r="E24" s="6">
        <v>15</v>
      </c>
      <c r="F24" t="s">
        <v>312</v>
      </c>
      <c r="G24" s="10">
        <v>197628458498024</v>
      </c>
      <c r="H24" t="s">
        <v>352</v>
      </c>
    </row>
    <row r="25" spans="1:8" x14ac:dyDescent="0.25">
      <c r="A25">
        <v>11</v>
      </c>
      <c r="B25" t="s">
        <v>355</v>
      </c>
      <c r="C25" s="79">
        <v>0</v>
      </c>
      <c r="D25" s="79">
        <v>4</v>
      </c>
      <c r="E25" s="6">
        <v>12</v>
      </c>
      <c r="F25" t="s">
        <v>312</v>
      </c>
      <c r="G25" s="10">
        <v>158102766798419</v>
      </c>
      <c r="H25" t="s">
        <v>352</v>
      </c>
    </row>
    <row r="26" spans="1:8" x14ac:dyDescent="0.25">
      <c r="A26">
        <v>12</v>
      </c>
      <c r="B26" t="s">
        <v>356</v>
      </c>
      <c r="C26" s="79">
        <v>0</v>
      </c>
      <c r="D26" s="79">
        <v>3</v>
      </c>
      <c r="E26" s="6">
        <v>9</v>
      </c>
      <c r="F26" t="s">
        <v>312</v>
      </c>
      <c r="G26" s="10">
        <v>118577075098814</v>
      </c>
      <c r="H26" t="s">
        <v>352</v>
      </c>
    </row>
    <row r="27" spans="1:8" x14ac:dyDescent="0.25">
      <c r="A27">
        <v>13</v>
      </c>
      <c r="B27" t="s">
        <v>357</v>
      </c>
      <c r="C27" s="79">
        <v>0</v>
      </c>
      <c r="D27" s="79">
        <v>3</v>
      </c>
      <c r="E27" s="6">
        <v>9</v>
      </c>
      <c r="F27" t="s">
        <v>312</v>
      </c>
      <c r="G27" s="10">
        <v>118577075098814</v>
      </c>
      <c r="H27" t="s">
        <v>352</v>
      </c>
    </row>
    <row r="28" spans="1:8" x14ac:dyDescent="0.25">
      <c r="A28">
        <v>14</v>
      </c>
      <c r="B28" t="s">
        <v>358</v>
      </c>
      <c r="C28" s="79">
        <v>0</v>
      </c>
      <c r="D28" s="79">
        <v>3</v>
      </c>
      <c r="E28" s="6">
        <v>9</v>
      </c>
      <c r="F28" t="s">
        <v>312</v>
      </c>
      <c r="G28" s="10">
        <v>118577075098814</v>
      </c>
      <c r="H28" t="s">
        <v>352</v>
      </c>
    </row>
    <row r="29" spans="1:8" x14ac:dyDescent="0.25">
      <c r="A29">
        <v>15</v>
      </c>
      <c r="B29" t="s">
        <v>359</v>
      </c>
      <c r="C29" s="79">
        <v>0</v>
      </c>
      <c r="D29" s="79">
        <v>2</v>
      </c>
      <c r="E29" s="6">
        <v>6</v>
      </c>
      <c r="F29" t="s">
        <v>312</v>
      </c>
      <c r="G29" s="10">
        <v>790513833992095</v>
      </c>
      <c r="H29" t="s">
        <v>352</v>
      </c>
    </row>
    <row r="30" spans="1:8" x14ac:dyDescent="0.25">
      <c r="A30">
        <v>16</v>
      </c>
      <c r="B30" t="s">
        <v>360</v>
      </c>
      <c r="C30" s="79">
        <v>0</v>
      </c>
      <c r="D30" s="79">
        <v>1</v>
      </c>
      <c r="E30" s="6">
        <v>3</v>
      </c>
      <c r="F30" t="s">
        <v>312</v>
      </c>
      <c r="G30" s="10">
        <v>395256916996047</v>
      </c>
      <c r="H30" t="s">
        <v>352</v>
      </c>
    </row>
    <row r="33" spans="1:5" ht="15.75" x14ac:dyDescent="0.25">
      <c r="A33" s="37" t="s">
        <v>361</v>
      </c>
    </row>
    <row r="34" spans="1:5" x14ac:dyDescent="0.25">
      <c r="A34" s="5" t="s">
        <v>362</v>
      </c>
      <c r="B34" s="5" t="s">
        <v>363</v>
      </c>
      <c r="C34" s="5" t="s">
        <v>364</v>
      </c>
      <c r="D34" s="5" t="s">
        <v>365</v>
      </c>
      <c r="E34" s="5" t="s">
        <v>226</v>
      </c>
    </row>
    <row r="35" spans="1:5" x14ac:dyDescent="0.25">
      <c r="A35" t="s">
        <v>366</v>
      </c>
      <c r="B35" s="6">
        <v>145</v>
      </c>
      <c r="C35" s="10">
        <v>0.73599999999999999</v>
      </c>
      <c r="D35" s="6">
        <v>146</v>
      </c>
      <c r="E35" t="s">
        <v>367</v>
      </c>
    </row>
    <row r="36" spans="1:5" x14ac:dyDescent="0.25">
      <c r="A36" t="s">
        <v>368</v>
      </c>
      <c r="B36" s="6">
        <v>52</v>
      </c>
      <c r="C36" s="10">
        <v>0.26400000000000001</v>
      </c>
      <c r="D36" s="6">
        <v>52</v>
      </c>
      <c r="E36" t="s">
        <v>369</v>
      </c>
    </row>
    <row r="39" spans="1:5" ht="15.75" x14ac:dyDescent="0.25">
      <c r="A39" s="37" t="s">
        <v>370</v>
      </c>
    </row>
    <row r="40" spans="1:5" x14ac:dyDescent="0.25">
      <c r="A40" s="5" t="s">
        <v>371</v>
      </c>
      <c r="B40" s="5" t="s">
        <v>363</v>
      </c>
      <c r="C40" s="5" t="s">
        <v>372</v>
      </c>
    </row>
    <row r="41" spans="1:5" x14ac:dyDescent="0.25">
      <c r="A41" t="s">
        <v>373</v>
      </c>
      <c r="B41" s="6">
        <v>98</v>
      </c>
      <c r="C41" s="6">
        <v>99</v>
      </c>
    </row>
    <row r="42" spans="1:5" x14ac:dyDescent="0.25">
      <c r="A42" t="s">
        <v>374</v>
      </c>
      <c r="B42" s="6">
        <v>42</v>
      </c>
      <c r="C42" s="6">
        <v>42</v>
      </c>
    </row>
    <row r="43" spans="1:5" x14ac:dyDescent="0.25">
      <c r="A43" t="s">
        <v>375</v>
      </c>
      <c r="B43" s="6">
        <v>34</v>
      </c>
      <c r="C43" s="6">
        <v>34</v>
      </c>
    </row>
    <row r="44" spans="1:5" x14ac:dyDescent="0.25">
      <c r="A44" t="s">
        <v>376</v>
      </c>
      <c r="B44" s="6">
        <v>18</v>
      </c>
      <c r="C44" s="6">
        <v>18</v>
      </c>
    </row>
    <row r="45" spans="1:5" x14ac:dyDescent="0.25">
      <c r="A45" t="s">
        <v>377</v>
      </c>
      <c r="B45" s="6">
        <v>8</v>
      </c>
      <c r="C45" s="6">
        <v>8</v>
      </c>
    </row>
    <row r="46" spans="1:5" x14ac:dyDescent="0.25">
      <c r="A46" t="s">
        <v>378</v>
      </c>
      <c r="B46" s="6">
        <v>7</v>
      </c>
      <c r="C46" s="6">
        <v>7</v>
      </c>
    </row>
    <row r="47" spans="1:5" x14ac:dyDescent="0.25">
      <c r="A47" t="s">
        <v>379</v>
      </c>
      <c r="B47" s="6">
        <v>2</v>
      </c>
      <c r="C47" s="6">
        <v>2</v>
      </c>
    </row>
    <row r="48" spans="1:5" x14ac:dyDescent="0.25">
      <c r="A48" t="s">
        <v>380</v>
      </c>
      <c r="B48" s="6">
        <v>1</v>
      </c>
      <c r="C48" s="6">
        <v>2</v>
      </c>
    </row>
    <row r="51" spans="1:8" ht="15.75" x14ac:dyDescent="0.25">
      <c r="A51" s="37" t="s">
        <v>381</v>
      </c>
    </row>
    <row r="52" spans="1:8" ht="30" customHeight="1" x14ac:dyDescent="0.25">
      <c r="A52" s="113" t="s">
        <v>382</v>
      </c>
      <c r="B52" s="113"/>
      <c r="C52" s="113"/>
      <c r="D52" s="113"/>
      <c r="E52" s="113"/>
      <c r="F52" s="113"/>
      <c r="G52" s="113"/>
      <c r="H52" s="113"/>
    </row>
    <row r="53" spans="1:8" ht="30" customHeight="1" x14ac:dyDescent="0.25">
      <c r="A53" s="113" t="s">
        <v>383</v>
      </c>
      <c r="B53" s="113"/>
      <c r="C53" s="113"/>
      <c r="D53" s="113"/>
      <c r="E53" s="113"/>
      <c r="F53" s="113"/>
      <c r="G53" s="113"/>
      <c r="H53" s="113"/>
    </row>
    <row r="54" spans="1:8" ht="30" customHeight="1" x14ac:dyDescent="0.25">
      <c r="A54" s="113" t="s">
        <v>384</v>
      </c>
      <c r="B54" s="113"/>
      <c r="C54" s="113"/>
      <c r="D54" s="113"/>
      <c r="E54" s="113"/>
      <c r="F54" s="113"/>
      <c r="G54" s="113"/>
      <c r="H54" s="113"/>
    </row>
    <row r="55" spans="1:8" ht="30" customHeight="1" x14ac:dyDescent="0.25">
      <c r="A55" s="113" t="s">
        <v>385</v>
      </c>
      <c r="B55" s="113"/>
      <c r="C55" s="113"/>
      <c r="D55" s="113"/>
      <c r="E55" s="113"/>
      <c r="F55" s="113"/>
      <c r="G55" s="113"/>
      <c r="H55" s="113"/>
    </row>
    <row r="56" spans="1:8" ht="30" customHeight="1" x14ac:dyDescent="0.25">
      <c r="A56" s="113" t="s">
        <v>386</v>
      </c>
      <c r="B56" s="113"/>
      <c r="C56" s="113"/>
      <c r="D56" s="113"/>
      <c r="E56" s="113"/>
      <c r="F56" s="113"/>
      <c r="G56" s="113"/>
      <c r="H56" s="113"/>
    </row>
    <row r="57" spans="1:8" ht="30" customHeight="1" x14ac:dyDescent="0.25">
      <c r="A57" s="113" t="s">
        <v>387</v>
      </c>
      <c r="B57" s="113"/>
      <c r="C57" s="113"/>
      <c r="D57" s="113"/>
      <c r="E57" s="113"/>
      <c r="F57" s="113"/>
      <c r="G57" s="113"/>
      <c r="H57" s="113"/>
    </row>
    <row r="58" spans="1:8" ht="30" customHeight="1" x14ac:dyDescent="0.25">
      <c r="A58" s="113" t="s">
        <v>388</v>
      </c>
      <c r="B58" s="113"/>
      <c r="C58" s="113"/>
      <c r="D58" s="113"/>
      <c r="E58" s="113"/>
      <c r="F58" s="113"/>
      <c r="G58" s="113"/>
      <c r="H58" s="113"/>
    </row>
  </sheetData>
  <mergeCells count="9">
    <mergeCell ref="A56:H56"/>
    <mergeCell ref="A57:H57"/>
    <mergeCell ref="A58:H58"/>
    <mergeCell ref="A1:G1"/>
    <mergeCell ref="A2:G2"/>
    <mergeCell ref="A52:H52"/>
    <mergeCell ref="A53:H53"/>
    <mergeCell ref="A54:H54"/>
    <mergeCell ref="A55:H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C245-70C7-44AF-9E4B-7DA34E14E3BA}">
  <dimension ref="A1:F15"/>
  <sheetViews>
    <sheetView topLeftCell="A4" workbookViewId="0">
      <selection sqref="A1:F1"/>
    </sheetView>
  </sheetViews>
  <sheetFormatPr baseColWidth="10" defaultRowHeight="15" x14ac:dyDescent="0.25"/>
  <cols>
    <col min="1" max="1" width="32.7109375" customWidth="1"/>
    <col min="2" max="2" width="18.7109375" customWidth="1"/>
    <col min="3" max="3" width="14.7109375" customWidth="1"/>
    <col min="4" max="4" width="18.7109375" customWidth="1"/>
    <col min="5" max="5" width="50.7109375" customWidth="1"/>
    <col min="6" max="6" width="40.7109375" customWidth="1"/>
  </cols>
  <sheetData>
    <row r="1" spans="1:6" ht="18.75" x14ac:dyDescent="0.3">
      <c r="A1" s="110" t="s">
        <v>82</v>
      </c>
      <c r="B1" s="110"/>
      <c r="C1" s="110"/>
      <c r="D1" s="110"/>
      <c r="E1" s="110"/>
      <c r="F1" s="110"/>
    </row>
    <row r="3" spans="1:6" x14ac:dyDescent="0.25">
      <c r="A3" s="5" t="s">
        <v>44</v>
      </c>
      <c r="B3" s="5" t="s">
        <v>83</v>
      </c>
      <c r="C3" s="5" t="s">
        <v>84</v>
      </c>
      <c r="D3" s="5" t="s">
        <v>85</v>
      </c>
      <c r="E3" s="5" t="s">
        <v>86</v>
      </c>
      <c r="F3" s="5" t="s">
        <v>87</v>
      </c>
    </row>
    <row r="4" spans="1:6" ht="32.1" customHeight="1" x14ac:dyDescent="0.25">
      <c r="A4" s="33" t="s">
        <v>88</v>
      </c>
      <c r="B4" s="33" t="s">
        <v>89</v>
      </c>
      <c r="C4" s="33" t="s">
        <v>90</v>
      </c>
      <c r="D4" s="33" t="s">
        <v>91</v>
      </c>
      <c r="E4" s="33" t="s">
        <v>92</v>
      </c>
      <c r="F4" s="33" t="s">
        <v>93</v>
      </c>
    </row>
    <row r="5" spans="1:6" ht="32.1" customHeight="1" x14ac:dyDescent="0.25">
      <c r="A5" s="34" t="s">
        <v>94</v>
      </c>
      <c r="B5" s="34" t="s">
        <v>95</v>
      </c>
      <c r="C5" s="34" t="s">
        <v>96</v>
      </c>
      <c r="D5" s="34" t="s">
        <v>97</v>
      </c>
      <c r="E5" s="34" t="s">
        <v>98</v>
      </c>
      <c r="F5" s="34" t="s">
        <v>99</v>
      </c>
    </row>
    <row r="6" spans="1:6" ht="32.1" customHeight="1" x14ac:dyDescent="0.25">
      <c r="A6" s="35" t="s">
        <v>100</v>
      </c>
      <c r="B6" s="35" t="s">
        <v>101</v>
      </c>
      <c r="C6" s="35" t="s">
        <v>102</v>
      </c>
      <c r="D6" s="35" t="s">
        <v>103</v>
      </c>
      <c r="E6" s="35" t="s">
        <v>104</v>
      </c>
      <c r="F6" s="35" t="s">
        <v>105</v>
      </c>
    </row>
    <row r="7" spans="1:6" ht="32.1" customHeight="1" x14ac:dyDescent="0.25">
      <c r="A7" s="36" t="s">
        <v>106</v>
      </c>
      <c r="B7" s="36" t="s">
        <v>107</v>
      </c>
      <c r="C7" s="36" t="s">
        <v>108</v>
      </c>
      <c r="D7" s="36" t="s">
        <v>109</v>
      </c>
      <c r="E7" s="36" t="s">
        <v>110</v>
      </c>
      <c r="F7" s="36" t="s">
        <v>111</v>
      </c>
    </row>
    <row r="9" spans="1:6" ht="15.75" x14ac:dyDescent="0.25">
      <c r="A9" s="37" t="s">
        <v>112</v>
      </c>
    </row>
    <row r="10" spans="1:6" x14ac:dyDescent="0.25">
      <c r="A10" s="38">
        <v>46361</v>
      </c>
      <c r="B10" s="114" t="s">
        <v>113</v>
      </c>
      <c r="C10" s="114"/>
      <c r="D10" s="114"/>
      <c r="E10" s="114"/>
      <c r="F10" s="114"/>
    </row>
    <row r="11" spans="1:6" x14ac:dyDescent="0.25">
      <c r="A11" s="3">
        <v>46333</v>
      </c>
      <c r="B11" s="115" t="s">
        <v>114</v>
      </c>
      <c r="C11" s="115"/>
      <c r="D11" s="115"/>
      <c r="E11" s="115"/>
      <c r="F11" s="115"/>
    </row>
    <row r="12" spans="1:6" x14ac:dyDescent="0.25">
      <c r="A12" s="2">
        <v>46242</v>
      </c>
      <c r="B12" s="112" t="s">
        <v>34</v>
      </c>
      <c r="C12" s="112"/>
      <c r="D12" s="112"/>
      <c r="E12" s="112"/>
      <c r="F12" s="112"/>
    </row>
    <row r="13" spans="1:6" x14ac:dyDescent="0.25">
      <c r="A13" s="1" t="s">
        <v>35</v>
      </c>
      <c r="B13" s="112" t="s">
        <v>115</v>
      </c>
      <c r="C13" s="112"/>
      <c r="D13" s="112"/>
      <c r="E13" s="112"/>
      <c r="F13" s="112"/>
    </row>
    <row r="14" spans="1:6" x14ac:dyDescent="0.25">
      <c r="A14" s="1" t="s">
        <v>38</v>
      </c>
      <c r="B14" s="112" t="s">
        <v>116</v>
      </c>
      <c r="C14" s="112"/>
      <c r="D14" s="112"/>
      <c r="E14" s="112"/>
      <c r="F14" s="112"/>
    </row>
    <row r="15" spans="1:6" x14ac:dyDescent="0.25">
      <c r="A15" s="2">
        <v>46034</v>
      </c>
      <c r="B15" s="112" t="s">
        <v>117</v>
      </c>
      <c r="C15" s="112"/>
      <c r="D15" s="112"/>
      <c r="E15" s="112"/>
      <c r="F15" s="112"/>
    </row>
  </sheetData>
  <mergeCells count="7">
    <mergeCell ref="B15:F15"/>
    <mergeCell ref="A1:F1"/>
    <mergeCell ref="B10:F10"/>
    <mergeCell ref="B11:F11"/>
    <mergeCell ref="B12:F12"/>
    <mergeCell ref="B13:F13"/>
    <mergeCell ref="B14:F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E984-975D-4AA9-995F-EF58A375FDA1}">
  <dimension ref="A1:L21"/>
  <sheetViews>
    <sheetView workbookViewId="0">
      <selection sqref="A1:L1"/>
    </sheetView>
  </sheetViews>
  <sheetFormatPr baseColWidth="10" defaultRowHeight="15" x14ac:dyDescent="0.25"/>
  <cols>
    <col min="1" max="1" width="32.7109375" customWidth="1"/>
    <col min="2" max="2" width="13.7109375" customWidth="1"/>
    <col min="3" max="3" width="9.7109375" customWidth="1"/>
    <col min="4" max="4" width="13.7109375" customWidth="1"/>
    <col min="5" max="5" width="9.7109375" customWidth="1"/>
    <col min="6" max="6" width="13.7109375" customWidth="1"/>
    <col min="7" max="7" width="9.7109375" customWidth="1"/>
    <col min="8" max="9" width="11.7109375" customWidth="1"/>
    <col min="10" max="11" width="10.7109375" customWidth="1"/>
    <col min="12" max="12" width="22.7109375" customWidth="1"/>
  </cols>
  <sheetData>
    <row r="1" spans="1:12" ht="18.75" x14ac:dyDescent="0.3">
      <c r="A1" s="110" t="s">
        <v>127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2" x14ac:dyDescent="0.25">
      <c r="A2" s="111" t="s">
        <v>128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4" spans="1:12" x14ac:dyDescent="0.25">
      <c r="A4" s="5" t="s">
        <v>118</v>
      </c>
      <c r="B4" s="5" t="s">
        <v>129</v>
      </c>
      <c r="C4" s="39">
        <v>20.239999999999998</v>
      </c>
      <c r="D4" s="5" t="s">
        <v>130</v>
      </c>
      <c r="E4" s="39">
        <v>20.25</v>
      </c>
      <c r="F4" s="5" t="s">
        <v>131</v>
      </c>
      <c r="G4" s="39">
        <v>20.260000000000002</v>
      </c>
      <c r="H4" s="5" t="s">
        <v>132</v>
      </c>
      <c r="I4" s="5" t="s">
        <v>133</v>
      </c>
      <c r="J4" s="5" t="s">
        <v>134</v>
      </c>
      <c r="K4" s="5" t="s">
        <v>135</v>
      </c>
      <c r="L4" s="5" t="s">
        <v>136</v>
      </c>
    </row>
    <row r="5" spans="1:12" x14ac:dyDescent="0.25">
      <c r="A5" s="43" t="s">
        <v>119</v>
      </c>
      <c r="B5" s="44">
        <v>8947528</v>
      </c>
      <c r="C5" s="45">
        <v>0.54561607469260975</v>
      </c>
      <c r="D5" s="44">
        <v>10753792</v>
      </c>
      <c r="E5" s="45">
        <v>0.50150625003876559</v>
      </c>
      <c r="F5" s="44">
        <v>3016752</v>
      </c>
      <c r="G5" s="45">
        <v>0.53360445568932435</v>
      </c>
      <c r="H5" s="50">
        <v>-4.4109824653844161</v>
      </c>
      <c r="I5" s="46">
        <v>3.2098205650558764</v>
      </c>
      <c r="J5" s="51">
        <v>146</v>
      </c>
      <c r="K5" s="51">
        <v>185</v>
      </c>
      <c r="L5" s="43" t="s">
        <v>137</v>
      </c>
    </row>
    <row r="6" spans="1:12" x14ac:dyDescent="0.25">
      <c r="A6" s="52" t="s">
        <v>120</v>
      </c>
      <c r="B6" s="53">
        <v>3636326</v>
      </c>
      <c r="C6" s="54">
        <v>0.22174145958779665</v>
      </c>
      <c r="D6" s="53">
        <v>5925693</v>
      </c>
      <c r="E6" s="54">
        <v>0.27634643438435141</v>
      </c>
      <c r="F6" s="53">
        <v>1258395</v>
      </c>
      <c r="G6" s="54">
        <v>0.22258547570936135</v>
      </c>
      <c r="H6" s="55">
        <v>5.4604974796554764</v>
      </c>
      <c r="I6" s="56">
        <v>-5.3760958674990063</v>
      </c>
      <c r="J6" s="57">
        <v>61</v>
      </c>
      <c r="K6" s="57">
        <v>80</v>
      </c>
      <c r="L6" s="52" t="s">
        <v>138</v>
      </c>
    </row>
    <row r="7" spans="1:12" x14ac:dyDescent="0.25">
      <c r="A7" s="52" t="s">
        <v>121</v>
      </c>
      <c r="B7" s="53">
        <v>2821035</v>
      </c>
      <c r="C7" s="54">
        <v>0.17202539553611529</v>
      </c>
      <c r="D7" s="53">
        <v>3333450</v>
      </c>
      <c r="E7" s="54">
        <v>0.15545642032054582</v>
      </c>
      <c r="F7" s="53">
        <v>1073124</v>
      </c>
      <c r="G7" s="54">
        <v>0.18981465758774685</v>
      </c>
      <c r="H7" s="56">
        <v>-1.6568975215569464</v>
      </c>
      <c r="I7" s="55">
        <v>3.4358237267201024</v>
      </c>
      <c r="J7" s="57">
        <v>34</v>
      </c>
      <c r="K7" s="57">
        <v>50</v>
      </c>
      <c r="L7" s="52" t="s">
        <v>137</v>
      </c>
    </row>
    <row r="8" spans="1:12" x14ac:dyDescent="0.25">
      <c r="A8" t="s">
        <v>122</v>
      </c>
      <c r="B8" s="9">
        <v>15028</v>
      </c>
      <c r="C8" s="40">
        <v>9.1640041478278022E-4</v>
      </c>
      <c r="D8" s="9">
        <v>468120</v>
      </c>
      <c r="E8" s="40">
        <v>2.18309137621545E-2</v>
      </c>
      <c r="F8" s="9">
        <v>92252</v>
      </c>
      <c r="G8" s="40">
        <v>1.6317575407674065E-2</v>
      </c>
      <c r="H8" s="42">
        <v>2.0914513347371719</v>
      </c>
      <c r="I8" s="47">
        <v>-0.55133383544804337</v>
      </c>
      <c r="J8" s="6">
        <v>1</v>
      </c>
      <c r="K8" s="6">
        <v>21</v>
      </c>
      <c r="L8" t="s">
        <v>138</v>
      </c>
    </row>
    <row r="9" spans="1:12" x14ac:dyDescent="0.25">
      <c r="A9" t="s">
        <v>123</v>
      </c>
      <c r="B9" s="9">
        <v>189571</v>
      </c>
      <c r="C9" s="40">
        <v>1.1559950960259944E-2</v>
      </c>
      <c r="D9" s="9">
        <v>438402</v>
      </c>
      <c r="E9" s="40">
        <v>2.0445006099196909E-2</v>
      </c>
      <c r="F9" s="9">
        <v>114425</v>
      </c>
      <c r="G9" s="40">
        <v>2.0239545657797172E-2</v>
      </c>
      <c r="H9" s="42">
        <v>0.88850551389369659</v>
      </c>
      <c r="I9" s="41">
        <v>-2.0546044139973726E-2</v>
      </c>
      <c r="J9" s="6">
        <v>8</v>
      </c>
      <c r="K9" s="6">
        <v>32</v>
      </c>
      <c r="L9" t="s">
        <v>138</v>
      </c>
    </row>
    <row r="10" spans="1:12" x14ac:dyDescent="0.25">
      <c r="A10" t="s">
        <v>124</v>
      </c>
      <c r="B10" t="s">
        <v>139</v>
      </c>
      <c r="C10" t="s">
        <v>139</v>
      </c>
      <c r="D10" s="9">
        <v>182962</v>
      </c>
      <c r="E10" s="40">
        <v>8.5324866353740734E-3</v>
      </c>
      <c r="F10" s="9">
        <v>37440</v>
      </c>
      <c r="G10" s="40">
        <v>6.6224041024944393E-3</v>
      </c>
      <c r="H10" t="s">
        <v>139</v>
      </c>
      <c r="I10" s="41">
        <v>-0.19100825328796342</v>
      </c>
      <c r="J10" t="s">
        <v>139</v>
      </c>
      <c r="K10" s="6">
        <v>15</v>
      </c>
      <c r="L10" t="s">
        <v>140</v>
      </c>
    </row>
    <row r="11" spans="1:12" x14ac:dyDescent="0.25">
      <c r="A11" t="s">
        <v>125</v>
      </c>
      <c r="B11" s="9">
        <v>157192</v>
      </c>
      <c r="C11" s="40">
        <v>9.5854946766392602E-3</v>
      </c>
      <c r="D11" s="9">
        <v>179256</v>
      </c>
      <c r="E11" s="40">
        <v>8.359656236325657E-3</v>
      </c>
      <c r="F11" s="9">
        <v>11041</v>
      </c>
      <c r="G11" s="40">
        <v>1.9529370645203286E-3</v>
      </c>
      <c r="H11" s="41">
        <v>-0.12258384403136033</v>
      </c>
      <c r="I11" s="47">
        <v>-0.64067191718053285</v>
      </c>
      <c r="J11" s="6">
        <v>12</v>
      </c>
      <c r="K11" s="6">
        <v>18</v>
      </c>
      <c r="L11" t="s">
        <v>141</v>
      </c>
    </row>
    <row r="12" spans="1:12" x14ac:dyDescent="0.25">
      <c r="A12" t="s">
        <v>142</v>
      </c>
      <c r="B12" s="9">
        <v>109732</v>
      </c>
      <c r="C12" s="40">
        <v>6.6914060630119806E-3</v>
      </c>
      <c r="D12" s="9">
        <v>114001</v>
      </c>
      <c r="E12" s="40">
        <v>5.3164701354340236E-3</v>
      </c>
      <c r="F12" t="s">
        <v>139</v>
      </c>
      <c r="G12" t="s">
        <v>139</v>
      </c>
      <c r="H12" s="41">
        <v>-0.13749359275779571</v>
      </c>
      <c r="I12" t="s">
        <v>139</v>
      </c>
      <c r="J12" s="6">
        <v>12</v>
      </c>
      <c r="K12" s="6">
        <v>11</v>
      </c>
      <c r="L12" t="s">
        <v>143</v>
      </c>
    </row>
    <row r="13" spans="1:12" x14ac:dyDescent="0.25">
      <c r="A13" t="s">
        <v>144</v>
      </c>
      <c r="B13" t="s">
        <v>139</v>
      </c>
      <c r="C13" t="s">
        <v>139</v>
      </c>
      <c r="D13" s="9">
        <v>23063</v>
      </c>
      <c r="E13" s="40">
        <v>1.0755497823134435E-3</v>
      </c>
      <c r="F13" t="s">
        <v>139</v>
      </c>
      <c r="G13" t="s">
        <v>139</v>
      </c>
      <c r="H13" t="s">
        <v>139</v>
      </c>
      <c r="I13" t="s">
        <v>139</v>
      </c>
      <c r="J13" t="s">
        <v>139</v>
      </c>
      <c r="K13" s="6">
        <v>1</v>
      </c>
      <c r="L13" t="s">
        <v>140</v>
      </c>
    </row>
    <row r="14" spans="1:12" x14ac:dyDescent="0.25">
      <c r="A14" t="s">
        <v>126</v>
      </c>
      <c r="B14" t="s">
        <v>139</v>
      </c>
      <c r="C14" t="s">
        <v>139</v>
      </c>
      <c r="D14" s="9">
        <v>21880</v>
      </c>
      <c r="E14" s="40">
        <v>1.0203802296760241E-3</v>
      </c>
      <c r="F14" s="9">
        <v>50107</v>
      </c>
      <c r="G14" s="40">
        <v>8.8629487810814329E-3</v>
      </c>
      <c r="H14" t="s">
        <v>139</v>
      </c>
      <c r="I14" s="42">
        <v>0.78425685514054089</v>
      </c>
      <c r="J14" t="s">
        <v>139</v>
      </c>
      <c r="K14" s="6">
        <v>2</v>
      </c>
      <c r="L14" t="s">
        <v>140</v>
      </c>
    </row>
    <row r="15" spans="1:12" x14ac:dyDescent="0.25">
      <c r="A15" t="s">
        <v>145</v>
      </c>
      <c r="B15" s="9">
        <v>14755</v>
      </c>
      <c r="C15" s="40">
        <v>8.9975300240350826E-4</v>
      </c>
      <c r="D15" s="9">
        <v>1639</v>
      </c>
      <c r="E15" s="40">
        <v>7.6435246637980055E-5</v>
      </c>
      <c r="F15" t="s">
        <v>139</v>
      </c>
      <c r="G15" t="s">
        <v>139</v>
      </c>
      <c r="H15" s="41">
        <v>-8.2331775576552829E-2</v>
      </c>
      <c r="I15" t="s">
        <v>139</v>
      </c>
      <c r="J15" s="6">
        <v>1</v>
      </c>
      <c r="K15" s="6">
        <v>1</v>
      </c>
      <c r="L15" t="s">
        <v>143</v>
      </c>
    </row>
    <row r="16" spans="1:12" x14ac:dyDescent="0.25">
      <c r="A16" t="s">
        <v>146</v>
      </c>
      <c r="B16" t="s">
        <v>139</v>
      </c>
      <c r="C16" t="s">
        <v>139</v>
      </c>
      <c r="D16" s="9">
        <v>729</v>
      </c>
      <c r="E16" s="40">
        <v>3.3997129224580513E-5</v>
      </c>
      <c r="F16" t="s">
        <v>139</v>
      </c>
      <c r="G16" t="s">
        <v>139</v>
      </c>
      <c r="H16" t="s">
        <v>139</v>
      </c>
      <c r="I16" t="s">
        <v>139</v>
      </c>
      <c r="J16" t="s">
        <v>139</v>
      </c>
      <c r="K16" s="6">
        <v>1</v>
      </c>
      <c r="L16" t="s">
        <v>140</v>
      </c>
    </row>
    <row r="17" spans="1:12" x14ac:dyDescent="0.25">
      <c r="A17" t="s">
        <v>147</v>
      </c>
      <c r="B17" s="9">
        <v>2375</v>
      </c>
      <c r="C17" s="40">
        <v>1.4482638974641355E-4</v>
      </c>
      <c r="D17" t="s">
        <v>139</v>
      </c>
      <c r="E17" t="s">
        <v>139</v>
      </c>
      <c r="F17" t="s">
        <v>139</v>
      </c>
      <c r="G17" t="s">
        <v>139</v>
      </c>
      <c r="H17" t="s">
        <v>139</v>
      </c>
      <c r="I17" t="s">
        <v>139</v>
      </c>
      <c r="J17" s="6">
        <v>1</v>
      </c>
      <c r="K17" t="s">
        <v>139</v>
      </c>
      <c r="L17" t="s">
        <v>148</v>
      </c>
    </row>
    <row r="18" spans="1:12" x14ac:dyDescent="0.25">
      <c r="A18" t="s">
        <v>149</v>
      </c>
      <c r="B18" s="9">
        <v>476575</v>
      </c>
      <c r="C18" s="40">
        <v>2.9061320713009282E-2</v>
      </c>
      <c r="D18" t="s">
        <v>139</v>
      </c>
      <c r="E18" t="s">
        <v>139</v>
      </c>
      <c r="F18" t="s">
        <v>139</v>
      </c>
      <c r="G18" t="s">
        <v>139</v>
      </c>
      <c r="H18" t="s">
        <v>139</v>
      </c>
      <c r="I18" t="s">
        <v>139</v>
      </c>
      <c r="J18" s="6">
        <v>18</v>
      </c>
      <c r="K18" t="s">
        <v>139</v>
      </c>
      <c r="L18" t="s">
        <v>148</v>
      </c>
    </row>
    <row r="19" spans="1:12" x14ac:dyDescent="0.25">
      <c r="A19" t="s">
        <v>150</v>
      </c>
      <c r="B19" s="9">
        <v>14414</v>
      </c>
      <c r="C19" s="40">
        <v>8.7895898181254955E-4</v>
      </c>
      <c r="D19" t="s">
        <v>139</v>
      </c>
      <c r="E19" t="s">
        <v>139</v>
      </c>
      <c r="F19" t="s">
        <v>139</v>
      </c>
      <c r="G19" t="s">
        <v>139</v>
      </c>
      <c r="H19" t="s">
        <v>139</v>
      </c>
      <c r="I19" t="s">
        <v>139</v>
      </c>
      <c r="J19" s="6">
        <v>1</v>
      </c>
      <c r="K19" t="s">
        <v>139</v>
      </c>
      <c r="L19" t="s">
        <v>148</v>
      </c>
    </row>
    <row r="20" spans="1:12" x14ac:dyDescent="0.25">
      <c r="A20" t="s">
        <v>151</v>
      </c>
      <c r="B20" s="9">
        <v>14414</v>
      </c>
      <c r="C20" s="40">
        <v>8.7895898181254955E-4</v>
      </c>
      <c r="D20" t="s">
        <v>139</v>
      </c>
      <c r="E20" t="s">
        <v>139</v>
      </c>
      <c r="F20" t="s">
        <v>139</v>
      </c>
      <c r="G20" t="s">
        <v>139</v>
      </c>
      <c r="H20" t="s">
        <v>139</v>
      </c>
      <c r="I20" t="s">
        <v>139</v>
      </c>
      <c r="J20" s="6">
        <v>1</v>
      </c>
      <c r="K20" t="s">
        <v>139</v>
      </c>
      <c r="L20" t="s">
        <v>148</v>
      </c>
    </row>
    <row r="21" spans="1:12" x14ac:dyDescent="0.25">
      <c r="A21" s="29" t="s">
        <v>152</v>
      </c>
      <c r="B21" s="32">
        <v>16398945</v>
      </c>
      <c r="C21" s="58">
        <v>1</v>
      </c>
      <c r="D21" s="32">
        <v>21442987</v>
      </c>
      <c r="E21" s="58">
        <v>1</v>
      </c>
      <c r="F21" s="32">
        <v>5653536</v>
      </c>
      <c r="G21" s="58">
        <v>1</v>
      </c>
      <c r="H21" s="29"/>
      <c r="I21" s="29"/>
      <c r="J21" s="29"/>
      <c r="K21" s="29"/>
      <c r="L21" s="29"/>
    </row>
  </sheetData>
  <mergeCells count="2">
    <mergeCell ref="A1:L1"/>
    <mergeCell ref="A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68CA-CEAB-4114-89DC-963B102B3C5C}">
  <dimension ref="A1:G38"/>
  <sheetViews>
    <sheetView topLeftCell="A22" workbookViewId="0">
      <selection sqref="A1:G1"/>
    </sheetView>
  </sheetViews>
  <sheetFormatPr baseColWidth="10" defaultRowHeight="15" x14ac:dyDescent="0.25"/>
  <cols>
    <col min="1" max="1" width="28.7109375" customWidth="1"/>
    <col min="2" max="7" width="16.7109375" customWidth="1"/>
  </cols>
  <sheetData>
    <row r="1" spans="1:7" ht="18.75" x14ac:dyDescent="0.3">
      <c r="A1" s="110" t="s">
        <v>153</v>
      </c>
      <c r="B1" s="110"/>
      <c r="C1" s="110"/>
      <c r="D1" s="110"/>
      <c r="E1" s="110"/>
      <c r="F1" s="110"/>
      <c r="G1" s="110"/>
    </row>
    <row r="2" spans="1:7" x14ac:dyDescent="0.25">
      <c r="A2" s="111" t="s">
        <v>154</v>
      </c>
      <c r="B2" s="112"/>
      <c r="C2" s="112"/>
      <c r="D2" s="112"/>
      <c r="E2" s="112"/>
      <c r="F2" s="112"/>
      <c r="G2" s="112"/>
    </row>
    <row r="4" spans="1:7" x14ac:dyDescent="0.25">
      <c r="A4" s="5" t="s">
        <v>155</v>
      </c>
      <c r="B4" s="5" t="s">
        <v>156</v>
      </c>
      <c r="C4" s="5" t="s">
        <v>157</v>
      </c>
      <c r="D4" s="5" t="s">
        <v>158</v>
      </c>
      <c r="E4" s="5" t="s">
        <v>159</v>
      </c>
      <c r="F4" s="5" t="s">
        <v>160</v>
      </c>
      <c r="G4" s="5" t="s">
        <v>161</v>
      </c>
    </row>
    <row r="5" spans="1:7" x14ac:dyDescent="0.25">
      <c r="A5" s="1" t="s">
        <v>162</v>
      </c>
      <c r="B5" s="48">
        <v>8947528</v>
      </c>
      <c r="C5" s="48">
        <v>10753792</v>
      </c>
      <c r="D5" s="9">
        <v>3636326</v>
      </c>
      <c r="E5" s="9">
        <v>5925693</v>
      </c>
      <c r="F5" s="9">
        <v>2821035</v>
      </c>
      <c r="G5" s="9">
        <v>3333450</v>
      </c>
    </row>
    <row r="6" spans="1:7" x14ac:dyDescent="0.25">
      <c r="A6" s="1" t="s">
        <v>163</v>
      </c>
      <c r="B6" s="48">
        <v>15146276</v>
      </c>
      <c r="C6" s="48">
        <v>21019346</v>
      </c>
      <c r="D6" s="9">
        <v>6523532</v>
      </c>
      <c r="E6" s="9">
        <v>11846554</v>
      </c>
      <c r="F6" s="9">
        <v>5075280</v>
      </c>
      <c r="G6" s="9">
        <v>6701436</v>
      </c>
    </row>
    <row r="7" spans="1:7" x14ac:dyDescent="0.25">
      <c r="A7" s="1" t="s">
        <v>164</v>
      </c>
      <c r="B7" s="49">
        <v>146</v>
      </c>
      <c r="C7" s="49">
        <v>185</v>
      </c>
      <c r="D7" s="6">
        <v>61</v>
      </c>
      <c r="E7" s="6">
        <v>80</v>
      </c>
      <c r="F7" s="6">
        <v>34</v>
      </c>
      <c r="G7" s="6">
        <v>50</v>
      </c>
    </row>
    <row r="8" spans="1:7" x14ac:dyDescent="0.25">
      <c r="A8" s="1" t="s">
        <v>165</v>
      </c>
      <c r="B8" s="60">
        <v>688</v>
      </c>
      <c r="C8" s="60">
        <v>599</v>
      </c>
      <c r="D8" s="59">
        <v>651</v>
      </c>
      <c r="E8" s="59">
        <v>585</v>
      </c>
      <c r="F8" s="59">
        <v>67</v>
      </c>
      <c r="G8" s="59">
        <v>599</v>
      </c>
    </row>
    <row r="9" spans="1:7" x14ac:dyDescent="0.25">
      <c r="A9" s="1" t="s">
        <v>166</v>
      </c>
      <c r="B9" s="48">
        <v>103742</v>
      </c>
      <c r="C9" s="48">
        <v>113618</v>
      </c>
      <c r="D9" s="9">
        <v>106943</v>
      </c>
      <c r="E9" s="9">
        <v>148082</v>
      </c>
      <c r="F9" s="9">
        <v>149273</v>
      </c>
      <c r="G9" s="9">
        <v>134029</v>
      </c>
    </row>
    <row r="10" spans="1:7" x14ac:dyDescent="0.25">
      <c r="A10" s="1" t="s">
        <v>167</v>
      </c>
      <c r="B10" s="4" t="s">
        <v>170</v>
      </c>
      <c r="C10" s="4" t="s">
        <v>171</v>
      </c>
      <c r="D10" t="s">
        <v>172</v>
      </c>
      <c r="E10" t="s">
        <v>173</v>
      </c>
      <c r="F10" t="s">
        <v>174</v>
      </c>
      <c r="G10" t="s">
        <v>175</v>
      </c>
    </row>
    <row r="11" spans="1:7" x14ac:dyDescent="0.25">
      <c r="A11" s="1" t="s">
        <v>168</v>
      </c>
      <c r="B11" s="4"/>
      <c r="C11" s="4"/>
    </row>
    <row r="12" spans="1:7" x14ac:dyDescent="0.25">
      <c r="A12" s="1" t="s">
        <v>169</v>
      </c>
      <c r="B12" s="4"/>
      <c r="C12" s="4"/>
    </row>
    <row r="15" spans="1:7" ht="15.75" x14ac:dyDescent="0.25">
      <c r="A15" s="37" t="s">
        <v>176</v>
      </c>
    </row>
    <row r="16" spans="1:7" x14ac:dyDescent="0.25">
      <c r="A16" s="116" t="s">
        <v>177</v>
      </c>
      <c r="B16" s="116"/>
      <c r="C16" s="116"/>
      <c r="D16" s="116"/>
      <c r="E16" s="116"/>
      <c r="F16" s="116"/>
      <c r="G16" s="116"/>
    </row>
    <row r="17" spans="1:7" x14ac:dyDescent="0.25">
      <c r="A17" s="116" t="s">
        <v>178</v>
      </c>
      <c r="B17" s="116"/>
      <c r="C17" s="116"/>
      <c r="D17" s="116"/>
      <c r="E17" s="116"/>
      <c r="F17" s="116"/>
      <c r="G17" s="116"/>
    </row>
    <row r="18" spans="1:7" x14ac:dyDescent="0.25">
      <c r="A18" s="116" t="s">
        <v>179</v>
      </c>
      <c r="B18" s="116"/>
      <c r="C18" s="116"/>
      <c r="D18" s="116"/>
      <c r="E18" s="116"/>
      <c r="F18" s="116"/>
      <c r="G18" s="116"/>
    </row>
    <row r="19" spans="1:7" x14ac:dyDescent="0.25">
      <c r="A19" s="116" t="s">
        <v>180</v>
      </c>
      <c r="B19" s="116"/>
      <c r="C19" s="116"/>
      <c r="D19" s="116"/>
      <c r="E19" s="116"/>
      <c r="F19" s="116"/>
      <c r="G19" s="116"/>
    </row>
    <row r="20" spans="1:7" x14ac:dyDescent="0.25">
      <c r="A20" s="116" t="s">
        <v>181</v>
      </c>
      <c r="B20" s="116"/>
      <c r="C20" s="116"/>
      <c r="D20" s="116"/>
      <c r="E20" s="116"/>
      <c r="F20" s="116"/>
      <c r="G20" s="116"/>
    </row>
    <row r="21" spans="1:7" x14ac:dyDescent="0.25">
      <c r="A21" s="116" t="s">
        <v>182</v>
      </c>
      <c r="B21" s="116"/>
      <c r="C21" s="116"/>
      <c r="D21" s="116"/>
      <c r="E21" s="116"/>
      <c r="F21" s="116"/>
      <c r="G21" s="116"/>
    </row>
    <row r="22" spans="1:7" x14ac:dyDescent="0.25">
      <c r="A22" s="116" t="s">
        <v>183</v>
      </c>
      <c r="B22" s="116"/>
      <c r="C22" s="116"/>
      <c r="D22" s="116"/>
      <c r="E22" s="116"/>
      <c r="F22" s="116"/>
      <c r="G22" s="116"/>
    </row>
    <row r="25" spans="1:7" ht="15.75" x14ac:dyDescent="0.25">
      <c r="A25" s="37" t="s">
        <v>184</v>
      </c>
    </row>
    <row r="26" spans="1:7" x14ac:dyDescent="0.25">
      <c r="A26" s="1" t="s">
        <v>43</v>
      </c>
      <c r="B26" s="1" t="s">
        <v>119</v>
      </c>
      <c r="C26" s="1" t="s">
        <v>120</v>
      </c>
      <c r="D26" s="1" t="s">
        <v>121</v>
      </c>
    </row>
    <row r="27" spans="1:7" x14ac:dyDescent="0.25">
      <c r="A27" t="s">
        <v>53</v>
      </c>
      <c r="B27" s="6">
        <v>11</v>
      </c>
      <c r="C27" s="6">
        <v>7</v>
      </c>
      <c r="D27" s="6">
        <v>3</v>
      </c>
    </row>
    <row r="28" spans="1:7" x14ac:dyDescent="0.25">
      <c r="A28" t="s">
        <v>56</v>
      </c>
      <c r="B28" s="6">
        <v>12</v>
      </c>
      <c r="C28" s="6">
        <v>9</v>
      </c>
      <c r="D28" s="6">
        <v>3</v>
      </c>
    </row>
    <row r="29" spans="1:7" x14ac:dyDescent="0.25">
      <c r="A29" t="s">
        <v>58</v>
      </c>
      <c r="B29" s="6">
        <v>17</v>
      </c>
      <c r="C29" s="6">
        <v>6</v>
      </c>
      <c r="D29" s="6">
        <v>3</v>
      </c>
    </row>
    <row r="30" spans="1:7" x14ac:dyDescent="0.25">
      <c r="A30" t="s">
        <v>59</v>
      </c>
      <c r="B30" s="6">
        <v>16</v>
      </c>
      <c r="C30" s="6">
        <v>7</v>
      </c>
      <c r="D30" s="6">
        <v>5</v>
      </c>
    </row>
    <row r="31" spans="1:7" x14ac:dyDescent="0.25">
      <c r="A31" t="s">
        <v>61</v>
      </c>
      <c r="B31" s="6">
        <v>13</v>
      </c>
      <c r="C31" s="6">
        <v>5</v>
      </c>
      <c r="D31" s="6">
        <v>4</v>
      </c>
    </row>
    <row r="32" spans="1:7" x14ac:dyDescent="0.25">
      <c r="A32" t="s">
        <v>64</v>
      </c>
      <c r="B32" s="6">
        <v>18</v>
      </c>
      <c r="C32" s="6">
        <v>2</v>
      </c>
      <c r="D32" s="6">
        <v>4</v>
      </c>
    </row>
    <row r="33" spans="1:4" x14ac:dyDescent="0.25">
      <c r="A33" t="s">
        <v>66</v>
      </c>
      <c r="B33" s="6">
        <v>12</v>
      </c>
      <c r="C33" s="6">
        <v>7</v>
      </c>
      <c r="D33" s="6">
        <v>4</v>
      </c>
    </row>
    <row r="34" spans="1:4" x14ac:dyDescent="0.25">
      <c r="A34" t="s">
        <v>68</v>
      </c>
      <c r="B34" s="6">
        <v>10</v>
      </c>
      <c r="C34" s="6">
        <v>5</v>
      </c>
      <c r="D34" s="6">
        <v>3</v>
      </c>
    </row>
    <row r="35" spans="1:4" x14ac:dyDescent="0.25">
      <c r="A35" t="s">
        <v>71</v>
      </c>
      <c r="B35" s="6">
        <v>22</v>
      </c>
      <c r="C35" s="6">
        <v>6</v>
      </c>
      <c r="D35" s="6">
        <v>7</v>
      </c>
    </row>
    <row r="36" spans="1:4" x14ac:dyDescent="0.25">
      <c r="A36" t="s">
        <v>74</v>
      </c>
      <c r="B36" s="6">
        <v>19</v>
      </c>
      <c r="C36" s="6">
        <v>10</v>
      </c>
      <c r="D36" s="6">
        <v>7</v>
      </c>
    </row>
    <row r="37" spans="1:4" x14ac:dyDescent="0.25">
      <c r="A37" t="s">
        <v>76</v>
      </c>
      <c r="B37" s="6">
        <v>18</v>
      </c>
      <c r="C37" s="6">
        <v>7</v>
      </c>
      <c r="D37" s="6">
        <v>4</v>
      </c>
    </row>
    <row r="38" spans="1:4" x14ac:dyDescent="0.25">
      <c r="A38" t="s">
        <v>78</v>
      </c>
      <c r="B38" s="6">
        <v>17</v>
      </c>
      <c r="C38" s="6">
        <v>9</v>
      </c>
      <c r="D38" s="6">
        <v>3</v>
      </c>
    </row>
  </sheetData>
  <mergeCells count="9">
    <mergeCell ref="A20:G20"/>
    <mergeCell ref="A21:G21"/>
    <mergeCell ref="A22:G22"/>
    <mergeCell ref="A1:G1"/>
    <mergeCell ref="A2:G2"/>
    <mergeCell ref="A16:G16"/>
    <mergeCell ref="A17:G17"/>
    <mergeCell ref="A18:G18"/>
    <mergeCell ref="A19:G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1517-3159-4D87-82A7-4AE9CAEC45CF}">
  <dimension ref="A1:K70"/>
  <sheetViews>
    <sheetView topLeftCell="A61" workbookViewId="0">
      <selection sqref="A1:K1"/>
    </sheetView>
  </sheetViews>
  <sheetFormatPr baseColWidth="10" defaultRowHeight="15" x14ac:dyDescent="0.25"/>
  <cols>
    <col min="1" max="1" width="4.7109375" customWidth="1"/>
    <col min="2" max="2" width="32.7109375" customWidth="1"/>
    <col min="3" max="3" width="14.7109375" customWidth="1"/>
    <col min="4" max="4" width="10.7109375" customWidth="1"/>
    <col min="5" max="5" width="14.7109375" customWidth="1"/>
    <col min="6" max="6" width="14.140625" customWidth="1"/>
    <col min="7" max="7" width="15.7109375" customWidth="1"/>
    <col min="8" max="8" width="10.7109375" customWidth="1"/>
    <col min="9" max="10" width="12.7109375" customWidth="1"/>
    <col min="11" max="11" width="24.7109375" customWidth="1"/>
  </cols>
  <sheetData>
    <row r="1" spans="1:11" ht="18.75" x14ac:dyDescent="0.3">
      <c r="A1" s="110" t="s">
        <v>202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11" x14ac:dyDescent="0.25">
      <c r="A2" s="111" t="s">
        <v>203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4" spans="1:11" ht="15.75" x14ac:dyDescent="0.25">
      <c r="A4" s="37" t="s">
        <v>204</v>
      </c>
    </row>
    <row r="5" spans="1:11" x14ac:dyDescent="0.25">
      <c r="A5" s="5" t="s">
        <v>205</v>
      </c>
      <c r="B5" s="5" t="s">
        <v>129</v>
      </c>
      <c r="C5" s="5" t="s">
        <v>130</v>
      </c>
      <c r="D5" s="5" t="s">
        <v>131</v>
      </c>
      <c r="E5" s="5" t="s">
        <v>206</v>
      </c>
      <c r="F5" s="5" t="s">
        <v>207</v>
      </c>
      <c r="G5" s="5" t="s">
        <v>208</v>
      </c>
    </row>
    <row r="6" spans="1:11" x14ac:dyDescent="0.25">
      <c r="A6" t="s">
        <v>209</v>
      </c>
      <c r="B6" s="9">
        <v>16398945</v>
      </c>
      <c r="C6" s="9">
        <v>21442987</v>
      </c>
      <c r="D6" s="9">
        <v>5653539</v>
      </c>
      <c r="E6" s="63">
        <v>0.30758332319548604</v>
      </c>
      <c r="F6" s="9">
        <v>13568493.6</v>
      </c>
      <c r="G6" s="64">
        <v>-0.3672293137145492</v>
      </c>
    </row>
    <row r="7" spans="1:11" x14ac:dyDescent="0.25">
      <c r="A7" t="s">
        <v>210</v>
      </c>
      <c r="B7" s="9">
        <v>8266327</v>
      </c>
      <c r="C7" s="9">
        <v>2252688</v>
      </c>
      <c r="D7" s="9">
        <v>1034187</v>
      </c>
      <c r="E7" s="64">
        <v>-0.72748622211533609</v>
      </c>
      <c r="F7" s="9">
        <v>2482048.7999999998</v>
      </c>
      <c r="G7" s="63">
        <v>0.1018164965587777</v>
      </c>
    </row>
    <row r="8" spans="1:11" x14ac:dyDescent="0.25">
      <c r="A8" t="s">
        <v>211</v>
      </c>
      <c r="B8" s="9">
        <v>728129</v>
      </c>
      <c r="C8" s="9">
        <v>1355238</v>
      </c>
      <c r="D8" s="9">
        <v>1116996</v>
      </c>
      <c r="E8" s="63">
        <v>0.86126084800907532</v>
      </c>
      <c r="F8" s="9">
        <v>2680790.4</v>
      </c>
      <c r="G8" s="63">
        <v>0.97809565552323641</v>
      </c>
    </row>
    <row r="11" spans="1:11" ht="15.75" x14ac:dyDescent="0.25">
      <c r="A11" s="37" t="s">
        <v>212</v>
      </c>
    </row>
    <row r="12" spans="1:11" x14ac:dyDescent="0.25">
      <c r="A12" s="5" t="s">
        <v>205</v>
      </c>
      <c r="B12" s="39">
        <v>20.239999999999998</v>
      </c>
      <c r="C12" s="39">
        <v>20.25</v>
      </c>
      <c r="D12" s="5" t="s">
        <v>213</v>
      </c>
      <c r="E12" s="5" t="s">
        <v>214</v>
      </c>
    </row>
    <row r="13" spans="1:11" x14ac:dyDescent="0.25">
      <c r="A13" s="4" t="s">
        <v>209</v>
      </c>
      <c r="B13" s="65">
        <v>0.54561607469260975</v>
      </c>
      <c r="C13" s="65">
        <v>0.50150625003876559</v>
      </c>
      <c r="D13" s="65">
        <v>0.53360434941724111</v>
      </c>
      <c r="E13" s="4" t="s">
        <v>215</v>
      </c>
    </row>
    <row r="14" spans="1:11" x14ac:dyDescent="0.25">
      <c r="A14" s="4" t="s">
        <v>210</v>
      </c>
      <c r="B14" s="65">
        <v>0.43867983930468757</v>
      </c>
      <c r="C14" s="65">
        <v>0.43146099237888247</v>
      </c>
      <c r="D14" s="65">
        <v>0.42985552902908275</v>
      </c>
      <c r="E14" s="4" t="s">
        <v>216</v>
      </c>
    </row>
    <row r="15" spans="1:11" x14ac:dyDescent="0.25">
      <c r="A15" s="4" t="s">
        <v>211</v>
      </c>
      <c r="B15" s="65">
        <v>0.58892586341156583</v>
      </c>
      <c r="C15" s="65">
        <v>0.70010359803960631</v>
      </c>
      <c r="D15" s="65">
        <v>0.4656184981862066</v>
      </c>
      <c r="E15" s="4" t="s">
        <v>217</v>
      </c>
    </row>
    <row r="18" spans="1:11" ht="15.75" x14ac:dyDescent="0.25">
      <c r="A18" s="37" t="s">
        <v>218</v>
      </c>
    </row>
    <row r="19" spans="1:11" x14ac:dyDescent="0.25">
      <c r="A19" s="5" t="s">
        <v>219</v>
      </c>
      <c r="B19" s="5" t="s">
        <v>118</v>
      </c>
      <c r="C19" s="5" t="s">
        <v>129</v>
      </c>
      <c r="D19" s="39">
        <v>20.239999999999998</v>
      </c>
      <c r="E19" s="5" t="s">
        <v>130</v>
      </c>
      <c r="F19" s="39">
        <v>20.25</v>
      </c>
      <c r="G19" s="5" t="s">
        <v>131</v>
      </c>
      <c r="H19" s="39">
        <v>20.260000000000002</v>
      </c>
      <c r="I19" s="5" t="s">
        <v>132</v>
      </c>
      <c r="J19" s="5" t="s">
        <v>133</v>
      </c>
      <c r="K19" s="5" t="s">
        <v>136</v>
      </c>
    </row>
    <row r="20" spans="1:11" x14ac:dyDescent="0.25">
      <c r="A20" s="43">
        <v>1</v>
      </c>
      <c r="B20" s="43" t="s">
        <v>119</v>
      </c>
      <c r="C20" s="44">
        <v>8947528</v>
      </c>
      <c r="D20" s="45">
        <v>0.54561607469260975</v>
      </c>
      <c r="E20" s="44">
        <v>10753792</v>
      </c>
      <c r="F20" s="45">
        <v>0.50150625003876559</v>
      </c>
      <c r="G20" s="44">
        <v>3016753</v>
      </c>
      <c r="H20" s="45">
        <v>0.53360434941724111</v>
      </c>
      <c r="I20" s="50">
        <v>-4.4109824653844161</v>
      </c>
      <c r="J20" s="46">
        <v>3.209809937847552</v>
      </c>
      <c r="K20" s="43"/>
    </row>
    <row r="21" spans="1:11" x14ac:dyDescent="0.25">
      <c r="A21" s="52">
        <v>2</v>
      </c>
      <c r="B21" s="52" t="s">
        <v>120</v>
      </c>
      <c r="C21" s="53">
        <v>3636326</v>
      </c>
      <c r="D21" s="54">
        <v>0.22174145958779665</v>
      </c>
      <c r="E21" s="53">
        <v>5925693</v>
      </c>
      <c r="F21" s="54">
        <v>0.27634643438435141</v>
      </c>
      <c r="G21" s="53">
        <v>1258395</v>
      </c>
      <c r="H21" s="54">
        <v>0.22258535759636575</v>
      </c>
      <c r="I21" s="55">
        <v>5.4604974796554764</v>
      </c>
      <c r="J21" s="56">
        <v>-5.3761076787985669</v>
      </c>
      <c r="K21" s="52"/>
    </row>
    <row r="22" spans="1:11" x14ac:dyDescent="0.25">
      <c r="A22" s="52">
        <v>3</v>
      </c>
      <c r="B22" s="52" t="s">
        <v>121</v>
      </c>
      <c r="C22" s="53">
        <v>2821035</v>
      </c>
      <c r="D22" s="54">
        <v>0.17202539553611529</v>
      </c>
      <c r="E22" s="53">
        <v>3333450</v>
      </c>
      <c r="F22" s="54">
        <v>0.15545642032054582</v>
      </c>
      <c r="G22" s="53">
        <v>1073125</v>
      </c>
      <c r="H22" s="54">
        <v>0.18981473374465091</v>
      </c>
      <c r="I22" s="56">
        <v>-1.6568975215569464</v>
      </c>
      <c r="J22" s="55">
        <v>3.4358313424105087</v>
      </c>
      <c r="K22" s="52"/>
    </row>
    <row r="23" spans="1:11" x14ac:dyDescent="0.25">
      <c r="A23">
        <v>4</v>
      </c>
      <c r="B23" t="s">
        <v>122</v>
      </c>
      <c r="C23" s="9">
        <v>15028</v>
      </c>
      <c r="D23" s="40">
        <v>9.1640041478278022E-4</v>
      </c>
      <c r="E23" s="9">
        <v>468120</v>
      </c>
      <c r="F23" s="40">
        <v>2.18309137621545E-2</v>
      </c>
      <c r="G23" s="9">
        <v>92252</v>
      </c>
      <c r="H23" s="40">
        <v>1.6317566748898345E-2</v>
      </c>
      <c r="I23" s="42">
        <v>2.0914513347371719</v>
      </c>
      <c r="J23" s="47">
        <v>-0.55133470132561546</v>
      </c>
    </row>
    <row r="24" spans="1:11" x14ac:dyDescent="0.25">
      <c r="A24">
        <v>5</v>
      </c>
      <c r="B24" t="s">
        <v>123</v>
      </c>
      <c r="C24" s="9">
        <v>189571</v>
      </c>
      <c r="D24" s="40">
        <v>1.1559950960259944E-2</v>
      </c>
      <c r="E24" s="9">
        <v>438402</v>
      </c>
      <c r="F24" s="40">
        <v>2.0445006099196909E-2</v>
      </c>
      <c r="G24" s="9">
        <v>114425</v>
      </c>
      <c r="H24" s="40">
        <v>2.0239534917862952E-2</v>
      </c>
      <c r="I24" s="42">
        <v>0.88850551389369659</v>
      </c>
      <c r="J24" s="41">
        <v>-2.05471181333957E-2</v>
      </c>
    </row>
    <row r="25" spans="1:11" x14ac:dyDescent="0.25">
      <c r="A25">
        <v>6</v>
      </c>
      <c r="B25" t="s">
        <v>124</v>
      </c>
      <c r="C25" t="s">
        <v>139</v>
      </c>
      <c r="D25" t="s">
        <v>139</v>
      </c>
      <c r="E25" s="9">
        <v>182962</v>
      </c>
      <c r="F25" s="40">
        <v>8.5324866353740734E-3</v>
      </c>
      <c r="G25" s="9">
        <v>37440</v>
      </c>
      <c r="H25" s="40">
        <v>6.6224005883748216E-3</v>
      </c>
      <c r="I25" t="s">
        <v>139</v>
      </c>
      <c r="J25" s="41">
        <v>-0.19100860469992517</v>
      </c>
      <c r="K25" t="s">
        <v>220</v>
      </c>
    </row>
    <row r="26" spans="1:11" x14ac:dyDescent="0.25">
      <c r="A26">
        <v>7</v>
      </c>
      <c r="B26" t="s">
        <v>125</v>
      </c>
      <c r="C26" s="9">
        <v>157192</v>
      </c>
      <c r="D26" s="40">
        <v>9.5854946766392602E-3</v>
      </c>
      <c r="E26" s="9">
        <v>179256</v>
      </c>
      <c r="F26" s="40">
        <v>8.359656236325657E-3</v>
      </c>
      <c r="G26" s="9">
        <v>11042</v>
      </c>
      <c r="H26" s="40">
        <v>1.953112908569305E-3</v>
      </c>
      <c r="I26" s="41">
        <v>-0.12258384403136033</v>
      </c>
      <c r="J26" s="47">
        <v>-0.64065433277563522</v>
      </c>
    </row>
    <row r="27" spans="1:11" x14ac:dyDescent="0.25">
      <c r="A27">
        <v>8</v>
      </c>
      <c r="B27" t="s">
        <v>142</v>
      </c>
      <c r="C27" s="9">
        <v>109732</v>
      </c>
      <c r="D27" s="40">
        <v>6.6914060630119806E-3</v>
      </c>
      <c r="E27" s="9">
        <v>114001</v>
      </c>
      <c r="F27" s="40">
        <v>5.3164701354340236E-3</v>
      </c>
      <c r="G27" t="s">
        <v>139</v>
      </c>
      <c r="H27" t="s">
        <v>139</v>
      </c>
      <c r="I27" s="41">
        <v>-0.13749359275779571</v>
      </c>
      <c r="J27" t="s">
        <v>139</v>
      </c>
      <c r="K27" t="s">
        <v>143</v>
      </c>
    </row>
    <row r="30" spans="1:11" ht="15.75" x14ac:dyDescent="0.25">
      <c r="A30" s="37" t="s">
        <v>221</v>
      </c>
    </row>
    <row r="31" spans="1:11" x14ac:dyDescent="0.25">
      <c r="A31" s="5" t="s">
        <v>219</v>
      </c>
      <c r="B31" s="5" t="s">
        <v>118</v>
      </c>
      <c r="C31" s="5" t="s">
        <v>129</v>
      </c>
      <c r="D31" s="39">
        <v>20.239999999999998</v>
      </c>
      <c r="E31" s="5" t="s">
        <v>130</v>
      </c>
      <c r="F31" s="39">
        <v>20.25</v>
      </c>
      <c r="G31" s="5" t="s">
        <v>131</v>
      </c>
      <c r="H31" s="39">
        <v>20.260000000000002</v>
      </c>
      <c r="I31" s="5" t="s">
        <v>132</v>
      </c>
      <c r="J31" s="5" t="s">
        <v>133</v>
      </c>
      <c r="K31" s="5" t="s">
        <v>136</v>
      </c>
    </row>
    <row r="32" spans="1:11" x14ac:dyDescent="0.25">
      <c r="A32" s="43">
        <v>1</v>
      </c>
      <c r="B32" s="43" t="s">
        <v>119</v>
      </c>
      <c r="C32" s="44">
        <v>3626271</v>
      </c>
      <c r="D32" s="45">
        <v>0.43867983930468757</v>
      </c>
      <c r="E32" s="44">
        <v>971947</v>
      </c>
      <c r="F32" s="45">
        <v>0.43146099237888247</v>
      </c>
      <c r="G32" s="44">
        <v>444551</v>
      </c>
      <c r="H32" s="45">
        <v>0.42985552902908275</v>
      </c>
      <c r="I32" s="50">
        <v>-0.72188469258051002</v>
      </c>
      <c r="J32" s="66">
        <v>-0.16054633497997184</v>
      </c>
      <c r="K32" s="43"/>
    </row>
    <row r="33" spans="1:11" x14ac:dyDescent="0.25">
      <c r="A33" s="52">
        <v>2</v>
      </c>
      <c r="B33" s="52" t="s">
        <v>120</v>
      </c>
      <c r="C33" s="53">
        <v>1007425</v>
      </c>
      <c r="D33" s="54">
        <v>0.12187093493881866</v>
      </c>
      <c r="E33" s="53">
        <v>682161</v>
      </c>
      <c r="F33" s="54">
        <v>0.30282089663548611</v>
      </c>
      <c r="G33" s="53">
        <v>376052</v>
      </c>
      <c r="H33" s="54">
        <v>0.36362089254651236</v>
      </c>
      <c r="I33" s="55">
        <v>18.094996169666743</v>
      </c>
      <c r="J33" s="55">
        <v>6.0799995911026254</v>
      </c>
      <c r="K33" s="52"/>
    </row>
    <row r="34" spans="1:11" x14ac:dyDescent="0.25">
      <c r="A34">
        <v>3</v>
      </c>
      <c r="B34" t="s">
        <v>122</v>
      </c>
      <c r="C34" s="9">
        <v>668918</v>
      </c>
      <c r="D34" s="40">
        <v>8.0920824932282504E-2</v>
      </c>
      <c r="E34" s="9">
        <v>204378</v>
      </c>
      <c r="F34" s="40">
        <v>9.072627900534827E-2</v>
      </c>
      <c r="G34" s="9">
        <v>57658</v>
      </c>
      <c r="H34" s="40">
        <v>5.5752006165229309E-2</v>
      </c>
      <c r="I34" s="42">
        <v>0.98054540730657669</v>
      </c>
      <c r="J34" s="47">
        <v>-3.4974272840118963</v>
      </c>
    </row>
    <row r="35" spans="1:11" x14ac:dyDescent="0.25">
      <c r="A35">
        <v>4</v>
      </c>
      <c r="B35" t="s">
        <v>123</v>
      </c>
      <c r="C35" s="9">
        <v>624487</v>
      </c>
      <c r="D35" s="40">
        <v>7.5545886341055704E-2</v>
      </c>
      <c r="E35" s="9">
        <v>133782</v>
      </c>
      <c r="F35" s="40">
        <v>5.9387718139396133E-2</v>
      </c>
      <c r="G35" s="9">
        <v>88059</v>
      </c>
      <c r="H35" s="40">
        <v>8.5148043825729783E-2</v>
      </c>
      <c r="I35" s="47">
        <v>-1.6158168201659571</v>
      </c>
      <c r="J35" s="42">
        <v>2.5760325686333649</v>
      </c>
    </row>
    <row r="36" spans="1:11" x14ac:dyDescent="0.25">
      <c r="A36" s="52">
        <v>5</v>
      </c>
      <c r="B36" s="52" t="s">
        <v>121</v>
      </c>
      <c r="C36" s="53">
        <v>795818</v>
      </c>
      <c r="D36" s="54">
        <v>9.627226215464256E-2</v>
      </c>
      <c r="E36" s="53">
        <v>83627</v>
      </c>
      <c r="F36" s="54">
        <v>3.7123205699146976E-2</v>
      </c>
      <c r="G36" s="52" t="s">
        <v>139</v>
      </c>
      <c r="H36" s="52" t="s">
        <v>139</v>
      </c>
      <c r="I36" s="56">
        <v>-5.9149056455495588</v>
      </c>
      <c r="J36" s="52" t="s">
        <v>139</v>
      </c>
      <c r="K36" s="52" t="s">
        <v>143</v>
      </c>
    </row>
    <row r="37" spans="1:11" x14ac:dyDescent="0.25">
      <c r="A37">
        <v>6</v>
      </c>
      <c r="B37" t="s">
        <v>125</v>
      </c>
      <c r="C37" s="9">
        <v>378693</v>
      </c>
      <c r="D37" s="40">
        <v>4.5811519432996058E-2</v>
      </c>
      <c r="E37" s="9">
        <v>70671</v>
      </c>
      <c r="F37" s="40">
        <v>3.1371854424580771E-2</v>
      </c>
      <c r="G37" s="9">
        <v>34412</v>
      </c>
      <c r="H37" s="40">
        <v>3.3274446497586992E-2</v>
      </c>
      <c r="I37" s="47">
        <v>-1.4439665008415288</v>
      </c>
      <c r="J37" s="41">
        <v>0.19025920730062207</v>
      </c>
    </row>
    <row r="38" spans="1:11" x14ac:dyDescent="0.25">
      <c r="A38">
        <v>7</v>
      </c>
      <c r="B38" t="s">
        <v>142</v>
      </c>
      <c r="C38" s="9">
        <v>86432</v>
      </c>
      <c r="D38" s="40">
        <v>1.0455913490961585E-2</v>
      </c>
      <c r="E38" s="9">
        <v>48686</v>
      </c>
      <c r="F38" s="40">
        <v>2.1612402605243157E-2</v>
      </c>
      <c r="G38" t="s">
        <v>139</v>
      </c>
      <c r="H38" t="s">
        <v>139</v>
      </c>
      <c r="I38" s="42">
        <v>1.1156489114281571</v>
      </c>
      <c r="J38" t="s">
        <v>139</v>
      </c>
      <c r="K38" t="s">
        <v>143</v>
      </c>
    </row>
    <row r="39" spans="1:11" x14ac:dyDescent="0.25">
      <c r="A39">
        <v>8</v>
      </c>
      <c r="B39" t="s">
        <v>124</v>
      </c>
      <c r="C39" s="9">
        <v>297976</v>
      </c>
      <c r="D39" s="40">
        <v>3.6046964994247144E-2</v>
      </c>
      <c r="E39" s="9">
        <v>45904</v>
      </c>
      <c r="F39" s="40">
        <v>2.0377433537178694E-2</v>
      </c>
      <c r="G39" s="9">
        <v>11440</v>
      </c>
      <c r="H39" s="40">
        <v>1.1061829243647426E-2</v>
      </c>
      <c r="I39" s="47">
        <v>-1.5669531457068449</v>
      </c>
      <c r="J39" s="47">
        <v>-0.93156042935312688</v>
      </c>
    </row>
    <row r="42" spans="1:11" ht="15.75" x14ac:dyDescent="0.25">
      <c r="A42" s="37" t="s">
        <v>222</v>
      </c>
    </row>
    <row r="43" spans="1:11" x14ac:dyDescent="0.25">
      <c r="A43" s="5" t="s">
        <v>219</v>
      </c>
      <c r="B43" s="5" t="s">
        <v>118</v>
      </c>
      <c r="C43" s="5" t="s">
        <v>129</v>
      </c>
      <c r="D43" s="39">
        <v>20.239999999999998</v>
      </c>
      <c r="E43" s="5" t="s">
        <v>130</v>
      </c>
      <c r="F43" s="39">
        <v>20.25</v>
      </c>
      <c r="G43" s="5" t="s">
        <v>131</v>
      </c>
      <c r="H43" s="39">
        <v>20.260000000000002</v>
      </c>
      <c r="I43" s="5" t="s">
        <v>132</v>
      </c>
      <c r="J43" s="5" t="s">
        <v>133</v>
      </c>
      <c r="K43" s="5" t="s">
        <v>136</v>
      </c>
    </row>
    <row r="44" spans="1:11" x14ac:dyDescent="0.25">
      <c r="A44" s="43">
        <v>1</v>
      </c>
      <c r="B44" s="43" t="s">
        <v>119</v>
      </c>
      <c r="C44" s="44">
        <v>428814</v>
      </c>
      <c r="D44" s="45">
        <v>0.58892586341156583</v>
      </c>
      <c r="E44" s="44">
        <v>948807</v>
      </c>
      <c r="F44" s="45">
        <v>0.70010359803960631</v>
      </c>
      <c r="G44" s="44">
        <v>520094</v>
      </c>
      <c r="H44" s="45">
        <v>0.4656184981862066</v>
      </c>
      <c r="I44" s="46">
        <v>11.117773462804049</v>
      </c>
      <c r="J44" s="50">
        <v>-23.448509985339971</v>
      </c>
      <c r="K44" s="43"/>
    </row>
    <row r="45" spans="1:11" x14ac:dyDescent="0.25">
      <c r="A45" s="52">
        <v>2</v>
      </c>
      <c r="B45" s="52" t="s">
        <v>120</v>
      </c>
      <c r="C45" s="52" t="s">
        <v>139</v>
      </c>
      <c r="D45" s="52" t="s">
        <v>139</v>
      </c>
      <c r="E45" s="53">
        <v>306301</v>
      </c>
      <c r="F45" s="54">
        <v>0.22601270035226284</v>
      </c>
      <c r="G45" s="53">
        <v>526200</v>
      </c>
      <c r="H45" s="54">
        <v>0.47108494569362824</v>
      </c>
      <c r="I45" s="52" t="s">
        <v>139</v>
      </c>
      <c r="J45" s="55">
        <v>24.50722453413654</v>
      </c>
      <c r="K45" s="52" t="s">
        <v>220</v>
      </c>
    </row>
    <row r="46" spans="1:11" x14ac:dyDescent="0.25">
      <c r="A46">
        <v>3</v>
      </c>
      <c r="B46" t="s">
        <v>126</v>
      </c>
      <c r="C46" s="9">
        <v>14490</v>
      </c>
      <c r="D46" s="40">
        <v>1.9900319860903768E-2</v>
      </c>
      <c r="E46" s="9">
        <v>71190</v>
      </c>
      <c r="F46" s="40">
        <v>5.252951880038783E-2</v>
      </c>
      <c r="G46" s="9">
        <v>70702</v>
      </c>
      <c r="H46" s="40">
        <v>6.3296556120165159E-2</v>
      </c>
      <c r="I46" s="42">
        <v>3.2629198939484056</v>
      </c>
      <c r="J46" s="42">
        <v>1.0767037319777331</v>
      </c>
    </row>
    <row r="47" spans="1:11" x14ac:dyDescent="0.25">
      <c r="A47">
        <v>4</v>
      </c>
      <c r="B47" t="s">
        <v>142</v>
      </c>
      <c r="C47" s="9">
        <v>33625</v>
      </c>
      <c r="D47" s="40">
        <v>4.6180003818004779E-2</v>
      </c>
      <c r="E47" s="9">
        <v>28940</v>
      </c>
      <c r="F47" s="40">
        <v>2.1354182807742993E-2</v>
      </c>
      <c r="G47" t="s">
        <v>139</v>
      </c>
      <c r="H47" t="s">
        <v>139</v>
      </c>
      <c r="I47" s="47">
        <v>-2.4825821010261784</v>
      </c>
      <c r="J47" t="s">
        <v>139</v>
      </c>
      <c r="K47" t="s">
        <v>143</v>
      </c>
    </row>
    <row r="48" spans="1:11" x14ac:dyDescent="0.25">
      <c r="A48">
        <v>5</v>
      </c>
      <c r="B48" t="s">
        <v>125</v>
      </c>
      <c r="C48" s="9">
        <v>25990</v>
      </c>
      <c r="D48" s="40">
        <v>3.5694224512414698E-2</v>
      </c>
      <c r="E48" t="s">
        <v>139</v>
      </c>
      <c r="F48" t="s">
        <v>139</v>
      </c>
      <c r="G48" t="s">
        <v>139</v>
      </c>
      <c r="H48" t="s">
        <v>139</v>
      </c>
      <c r="I48" t="s">
        <v>139</v>
      </c>
      <c r="J48" t="s">
        <v>139</v>
      </c>
      <c r="K48" t="s">
        <v>148</v>
      </c>
    </row>
    <row r="49" spans="1:11" x14ac:dyDescent="0.25">
      <c r="A49">
        <v>6</v>
      </c>
      <c r="B49" t="s">
        <v>149</v>
      </c>
      <c r="C49" s="9">
        <v>31000</v>
      </c>
      <c r="D49" s="40">
        <v>4.2574873408420762E-2</v>
      </c>
      <c r="E49" t="s">
        <v>139</v>
      </c>
      <c r="F49" t="s">
        <v>139</v>
      </c>
      <c r="G49" t="s">
        <v>139</v>
      </c>
      <c r="H49" t="s">
        <v>139</v>
      </c>
      <c r="I49" t="s">
        <v>139</v>
      </c>
      <c r="J49" t="s">
        <v>139</v>
      </c>
      <c r="K49" t="s">
        <v>148</v>
      </c>
    </row>
    <row r="50" spans="1:11" x14ac:dyDescent="0.25">
      <c r="A50">
        <v>7</v>
      </c>
      <c r="B50" t="s">
        <v>223</v>
      </c>
      <c r="C50" s="9">
        <v>52500</v>
      </c>
      <c r="D50" s="40">
        <v>7.2102608191680323E-2</v>
      </c>
      <c r="E50" t="s">
        <v>139</v>
      </c>
      <c r="F50" t="s">
        <v>139</v>
      </c>
      <c r="G50" t="s">
        <v>139</v>
      </c>
      <c r="H50" t="s">
        <v>139</v>
      </c>
      <c r="I50" t="s">
        <v>139</v>
      </c>
      <c r="J50" t="s">
        <v>139</v>
      </c>
      <c r="K50" t="s">
        <v>148</v>
      </c>
    </row>
    <row r="51" spans="1:11" x14ac:dyDescent="0.25">
      <c r="A51">
        <v>8</v>
      </c>
      <c r="B51" t="s">
        <v>151</v>
      </c>
      <c r="C51" s="9">
        <v>141710</v>
      </c>
      <c r="D51" s="40">
        <v>0.19462210679700986</v>
      </c>
      <c r="E51" t="s">
        <v>139</v>
      </c>
      <c r="F51" t="s">
        <v>139</v>
      </c>
      <c r="G51" t="s">
        <v>139</v>
      </c>
      <c r="H51" t="s">
        <v>139</v>
      </c>
      <c r="I51" t="s">
        <v>139</v>
      </c>
      <c r="J51" t="s">
        <v>139</v>
      </c>
      <c r="K51" t="s">
        <v>148</v>
      </c>
    </row>
    <row r="54" spans="1:11" ht="15.75" x14ac:dyDescent="0.25">
      <c r="A54" s="37" t="s">
        <v>224</v>
      </c>
    </row>
    <row r="55" spans="1:11" x14ac:dyDescent="0.25">
      <c r="A55" s="5" t="s">
        <v>225</v>
      </c>
      <c r="B55" s="5" t="s">
        <v>205</v>
      </c>
      <c r="C55" s="5" t="s">
        <v>129</v>
      </c>
      <c r="D55" s="5" t="s">
        <v>130</v>
      </c>
      <c r="E55" s="5" t="s">
        <v>131</v>
      </c>
      <c r="F55" s="5" t="s">
        <v>226</v>
      </c>
    </row>
    <row r="56" spans="1:11" x14ac:dyDescent="0.25">
      <c r="A56" t="s">
        <v>120</v>
      </c>
      <c r="B56" t="s">
        <v>209</v>
      </c>
      <c r="C56" s="9">
        <v>3636326</v>
      </c>
      <c r="D56" s="9">
        <v>5925693</v>
      </c>
      <c r="E56" s="9">
        <v>1258395</v>
      </c>
      <c r="F56" t="s">
        <v>227</v>
      </c>
    </row>
    <row r="57" spans="1:11" x14ac:dyDescent="0.25">
      <c r="A57" t="s">
        <v>120</v>
      </c>
      <c r="B57" t="s">
        <v>210</v>
      </c>
      <c r="C57" s="9">
        <v>1007425</v>
      </c>
      <c r="D57" s="9">
        <v>682161</v>
      </c>
      <c r="E57" s="9">
        <v>376052</v>
      </c>
      <c r="F57" t="s">
        <v>228</v>
      </c>
    </row>
    <row r="58" spans="1:11" x14ac:dyDescent="0.25">
      <c r="A58" s="23" t="s">
        <v>120</v>
      </c>
      <c r="B58" s="23" t="s">
        <v>211</v>
      </c>
      <c r="C58" s="27">
        <v>0</v>
      </c>
      <c r="D58" s="27">
        <v>306301</v>
      </c>
      <c r="E58" s="27">
        <v>526200</v>
      </c>
      <c r="F58" s="67" t="s">
        <v>229</v>
      </c>
    </row>
    <row r="59" spans="1:11" x14ac:dyDescent="0.25">
      <c r="A59" t="s">
        <v>121</v>
      </c>
      <c r="B59" t="s">
        <v>209</v>
      </c>
      <c r="C59" s="9">
        <v>2821035</v>
      </c>
      <c r="D59" s="9">
        <v>3333450</v>
      </c>
      <c r="E59" s="9">
        <v>1073125</v>
      </c>
      <c r="F59" t="s">
        <v>230</v>
      </c>
    </row>
    <row r="60" spans="1:11" x14ac:dyDescent="0.25">
      <c r="A60" t="s">
        <v>121</v>
      </c>
      <c r="B60" t="s">
        <v>210</v>
      </c>
      <c r="C60" s="9">
        <v>795818</v>
      </c>
      <c r="D60" s="9">
        <v>83627</v>
      </c>
      <c r="E60" s="9">
        <v>0</v>
      </c>
      <c r="F60" t="s">
        <v>231</v>
      </c>
    </row>
    <row r="61" spans="1:11" x14ac:dyDescent="0.25">
      <c r="A61" t="s">
        <v>121</v>
      </c>
      <c r="B61" t="s">
        <v>211</v>
      </c>
      <c r="C61" s="9">
        <v>0</v>
      </c>
      <c r="D61" s="9">
        <v>0</v>
      </c>
      <c r="E61" s="9">
        <v>0</v>
      </c>
      <c r="F61" t="s">
        <v>232</v>
      </c>
    </row>
    <row r="64" spans="1:11" ht="15.75" x14ac:dyDescent="0.25">
      <c r="A64" s="37" t="s">
        <v>233</v>
      </c>
    </row>
    <row r="65" spans="1:11" ht="30" customHeight="1" x14ac:dyDescent="0.25">
      <c r="A65" s="117" t="s">
        <v>234</v>
      </c>
      <c r="B65" s="113"/>
      <c r="C65" s="113"/>
      <c r="D65" s="113"/>
      <c r="E65" s="113"/>
      <c r="F65" s="113"/>
      <c r="G65" s="113"/>
      <c r="H65" s="113"/>
      <c r="I65" s="113"/>
      <c r="J65" s="113"/>
      <c r="K65" s="113"/>
    </row>
    <row r="66" spans="1:11" ht="30" customHeight="1" x14ac:dyDescent="0.25">
      <c r="A66" s="113" t="s">
        <v>235</v>
      </c>
      <c r="B66" s="113"/>
      <c r="C66" s="113"/>
      <c r="D66" s="113"/>
      <c r="E66" s="113"/>
      <c r="F66" s="113"/>
      <c r="G66" s="113"/>
      <c r="H66" s="113"/>
      <c r="I66" s="113"/>
      <c r="J66" s="113"/>
      <c r="K66" s="113"/>
    </row>
    <row r="67" spans="1:11" ht="30" customHeight="1" x14ac:dyDescent="0.25">
      <c r="A67" s="113" t="s">
        <v>236</v>
      </c>
      <c r="B67" s="113"/>
      <c r="C67" s="113"/>
      <c r="D67" s="113"/>
      <c r="E67" s="113"/>
      <c r="F67" s="113"/>
      <c r="G67" s="113"/>
      <c r="H67" s="113"/>
      <c r="I67" s="113"/>
      <c r="J67" s="113"/>
      <c r="K67" s="113"/>
    </row>
    <row r="68" spans="1:11" ht="30" customHeight="1" x14ac:dyDescent="0.25">
      <c r="A68" s="113" t="s">
        <v>237</v>
      </c>
      <c r="B68" s="113"/>
      <c r="C68" s="113"/>
      <c r="D68" s="113"/>
      <c r="E68" s="113"/>
      <c r="F68" s="113"/>
      <c r="G68" s="113"/>
      <c r="H68" s="113"/>
      <c r="I68" s="113"/>
      <c r="J68" s="113"/>
      <c r="K68" s="113"/>
    </row>
    <row r="69" spans="1:11" ht="30" customHeight="1" x14ac:dyDescent="0.25">
      <c r="A69" s="113" t="s">
        <v>238</v>
      </c>
      <c r="B69" s="113"/>
      <c r="C69" s="113"/>
      <c r="D69" s="113"/>
      <c r="E69" s="113"/>
      <c r="F69" s="113"/>
      <c r="G69" s="113"/>
      <c r="H69" s="113"/>
      <c r="I69" s="113"/>
      <c r="J69" s="113"/>
      <c r="K69" s="113"/>
    </row>
    <row r="70" spans="1:11" ht="30" customHeight="1" x14ac:dyDescent="0.25">
      <c r="A70" s="113" t="s">
        <v>239</v>
      </c>
      <c r="B70" s="113"/>
      <c r="C70" s="113"/>
      <c r="D70" s="113"/>
      <c r="E70" s="113"/>
      <c r="F70" s="113"/>
      <c r="G70" s="113"/>
      <c r="H70" s="113"/>
      <c r="I70" s="113"/>
      <c r="J70" s="113"/>
      <c r="K70" s="113"/>
    </row>
  </sheetData>
  <mergeCells count="8">
    <mergeCell ref="A69:K69"/>
    <mergeCell ref="A70:K70"/>
    <mergeCell ref="A1:K1"/>
    <mergeCell ref="A2:K2"/>
    <mergeCell ref="A65:K65"/>
    <mergeCell ref="A66:K66"/>
    <mergeCell ref="A67:K67"/>
    <mergeCell ref="A68:K6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B1F5-F9B1-46DD-AA9B-4559037E2C2D}">
  <dimension ref="A1:H33"/>
  <sheetViews>
    <sheetView workbookViewId="0">
      <selection sqref="A1:H1"/>
    </sheetView>
  </sheetViews>
  <sheetFormatPr baseColWidth="10" defaultRowHeight="15" x14ac:dyDescent="0.25"/>
  <cols>
    <col min="1" max="1" width="16.7109375" customWidth="1"/>
    <col min="2" max="2" width="18.7109375" customWidth="1"/>
    <col min="3" max="3" width="14.7109375" customWidth="1"/>
    <col min="4" max="4" width="22.7109375" customWidth="1"/>
    <col min="5" max="5" width="18.7109375" customWidth="1"/>
    <col min="6" max="7" width="22.7109375" customWidth="1"/>
    <col min="8" max="8" width="50.7109375" customWidth="1"/>
  </cols>
  <sheetData>
    <row r="1" spans="1:8" ht="18.75" x14ac:dyDescent="0.3">
      <c r="A1" s="110" t="s">
        <v>240</v>
      </c>
      <c r="B1" s="110"/>
      <c r="C1" s="110"/>
      <c r="D1" s="110"/>
      <c r="E1" s="110"/>
      <c r="F1" s="110"/>
      <c r="G1" s="110"/>
      <c r="H1" s="110"/>
    </row>
    <row r="2" spans="1:8" x14ac:dyDescent="0.25">
      <c r="A2" s="111" t="s">
        <v>241</v>
      </c>
      <c r="B2" s="112"/>
      <c r="C2" s="112"/>
      <c r="D2" s="112"/>
      <c r="E2" s="112"/>
      <c r="F2" s="112"/>
      <c r="G2" s="112"/>
      <c r="H2" s="112"/>
    </row>
    <row r="4" spans="1:8" ht="15.75" x14ac:dyDescent="0.25">
      <c r="A4" s="37" t="s">
        <v>242</v>
      </c>
    </row>
    <row r="5" spans="1:8" x14ac:dyDescent="0.25">
      <c r="A5" s="111" t="s">
        <v>243</v>
      </c>
      <c r="B5" s="112"/>
      <c r="C5" s="112"/>
      <c r="D5" s="112"/>
      <c r="E5" s="112"/>
      <c r="F5" s="112"/>
      <c r="G5" s="112"/>
      <c r="H5" s="112"/>
    </row>
    <row r="7" spans="1:8" x14ac:dyDescent="0.25">
      <c r="A7" s="5" t="s">
        <v>205</v>
      </c>
      <c r="B7" s="5" t="s">
        <v>244</v>
      </c>
      <c r="C7" s="5" t="s">
        <v>245</v>
      </c>
      <c r="D7" s="5" t="s">
        <v>246</v>
      </c>
      <c r="E7" s="5" t="s">
        <v>247</v>
      </c>
      <c r="F7" s="5" t="s">
        <v>248</v>
      </c>
      <c r="G7" s="5" t="s">
        <v>226</v>
      </c>
    </row>
    <row r="8" spans="1:8" x14ac:dyDescent="0.25">
      <c r="A8" t="s">
        <v>249</v>
      </c>
      <c r="B8" t="s">
        <v>250</v>
      </c>
      <c r="C8" s="68">
        <v>0.30759999999999998</v>
      </c>
      <c r="D8" s="68">
        <v>0.20180000000000001</v>
      </c>
      <c r="E8" s="69">
        <v>-4.41</v>
      </c>
      <c r="F8" s="70" t="s">
        <v>251</v>
      </c>
      <c r="G8" t="s">
        <v>252</v>
      </c>
    </row>
    <row r="9" spans="1:8" x14ac:dyDescent="0.25">
      <c r="A9" t="s">
        <v>249</v>
      </c>
      <c r="B9" t="s">
        <v>253</v>
      </c>
      <c r="C9" s="68">
        <v>-0.36730000000000002</v>
      </c>
      <c r="D9" s="68">
        <v>-0.32669999999999999</v>
      </c>
      <c r="E9" s="71">
        <v>3.21</v>
      </c>
      <c r="F9" s="72" t="s">
        <v>254</v>
      </c>
      <c r="G9" t="s">
        <v>255</v>
      </c>
    </row>
    <row r="10" spans="1:8" x14ac:dyDescent="0.25">
      <c r="A10" t="s">
        <v>256</v>
      </c>
      <c r="B10" t="s">
        <v>250</v>
      </c>
      <c r="C10" s="68">
        <v>-0.72750000000000004</v>
      </c>
      <c r="D10" s="68">
        <v>-0.73199999999999998</v>
      </c>
      <c r="E10" s="41">
        <v>-0.72</v>
      </c>
      <c r="F10" t="s">
        <v>257</v>
      </c>
      <c r="G10" t="s">
        <v>258</v>
      </c>
    </row>
    <row r="11" spans="1:8" x14ac:dyDescent="0.25">
      <c r="A11" t="s">
        <v>256</v>
      </c>
      <c r="B11" t="s">
        <v>253</v>
      </c>
      <c r="C11" s="68">
        <v>0.1017</v>
      </c>
      <c r="D11" s="68">
        <v>9.8000000000000004E-2</v>
      </c>
      <c r="E11" s="41">
        <v>-0.16</v>
      </c>
      <c r="F11" t="s">
        <v>257</v>
      </c>
      <c r="G11" t="s">
        <v>259</v>
      </c>
    </row>
    <row r="12" spans="1:8" x14ac:dyDescent="0.25">
      <c r="A12" t="s">
        <v>260</v>
      </c>
      <c r="B12" t="s">
        <v>250</v>
      </c>
      <c r="C12" s="68">
        <v>0.86119999999999997</v>
      </c>
      <c r="D12" s="68">
        <v>1.2126999999999999</v>
      </c>
      <c r="E12" s="71">
        <v>11.12</v>
      </c>
      <c r="F12" s="72" t="s">
        <v>254</v>
      </c>
      <c r="G12" t="s">
        <v>261</v>
      </c>
    </row>
    <row r="13" spans="1:8" x14ac:dyDescent="0.25">
      <c r="A13" t="s">
        <v>260</v>
      </c>
      <c r="B13" t="s">
        <v>253</v>
      </c>
      <c r="C13" s="68">
        <v>0.97829999999999995</v>
      </c>
      <c r="D13" s="68">
        <v>0.316</v>
      </c>
      <c r="E13" s="69">
        <v>-23.45</v>
      </c>
      <c r="F13" s="70" t="s">
        <v>251</v>
      </c>
      <c r="G13" t="s">
        <v>262</v>
      </c>
    </row>
    <row r="14" spans="1:8" x14ac:dyDescent="0.25">
      <c r="A14" t="s">
        <v>421</v>
      </c>
      <c r="B14" t="s">
        <v>250</v>
      </c>
      <c r="C14" s="68">
        <v>9.0899999999999995E-2</v>
      </c>
      <c r="D14" s="68">
        <v>0.21479999999999999</v>
      </c>
      <c r="E14" s="71">
        <v>4.4800000000000004</v>
      </c>
      <c r="F14" s="72" t="s">
        <v>254</v>
      </c>
      <c r="G14" t="s">
        <v>422</v>
      </c>
    </row>
    <row r="15" spans="1:8" x14ac:dyDescent="0.25">
      <c r="A15" t="s">
        <v>421</v>
      </c>
      <c r="B15" t="s">
        <v>253</v>
      </c>
      <c r="C15" s="68">
        <v>4.8599999999999997E-2</v>
      </c>
      <c r="D15" s="68">
        <v>0.1462</v>
      </c>
      <c r="E15" s="71">
        <v>4.1100000000000003</v>
      </c>
      <c r="F15" s="72" t="s">
        <v>254</v>
      </c>
      <c r="G15" t="s">
        <v>423</v>
      </c>
    </row>
    <row r="18" spans="1:8" ht="15.75" x14ac:dyDescent="0.25">
      <c r="A18" s="37" t="s">
        <v>263</v>
      </c>
    </row>
    <row r="19" spans="1:8" x14ac:dyDescent="0.25">
      <c r="A19" s="111" t="s">
        <v>264</v>
      </c>
      <c r="B19" s="112"/>
      <c r="C19" s="112"/>
      <c r="D19" s="112"/>
      <c r="E19" s="112"/>
      <c r="F19" s="112"/>
      <c r="G19" s="112"/>
      <c r="H19" s="112"/>
    </row>
    <row r="21" spans="1:8" x14ac:dyDescent="0.25">
      <c r="A21" s="5" t="s">
        <v>205</v>
      </c>
      <c r="B21" s="5" t="s">
        <v>265</v>
      </c>
      <c r="C21" s="5" t="s">
        <v>266</v>
      </c>
      <c r="D21" s="5" t="s">
        <v>267</v>
      </c>
      <c r="E21" s="5" t="s">
        <v>206</v>
      </c>
      <c r="F21" s="5" t="s">
        <v>268</v>
      </c>
      <c r="G21" s="5" t="s">
        <v>269</v>
      </c>
      <c r="H21" s="5" t="s">
        <v>226</v>
      </c>
    </row>
    <row r="22" spans="1:8" x14ac:dyDescent="0.25">
      <c r="A22" t="s">
        <v>249</v>
      </c>
      <c r="B22" s="49">
        <v>3776</v>
      </c>
      <c r="C22" s="49">
        <v>3530</v>
      </c>
      <c r="D22" s="49">
        <v>3711</v>
      </c>
      <c r="E22" s="73">
        <v>-246</v>
      </c>
      <c r="F22" s="73">
        <v>181</v>
      </c>
      <c r="G22" t="s">
        <v>270</v>
      </c>
      <c r="H22" t="s">
        <v>271</v>
      </c>
    </row>
    <row r="23" spans="1:8" x14ac:dyDescent="0.25">
      <c r="A23" t="s">
        <v>256</v>
      </c>
      <c r="B23" s="74">
        <v>2387</v>
      </c>
      <c r="C23" s="49">
        <v>2924</v>
      </c>
      <c r="D23" s="49">
        <v>3287</v>
      </c>
      <c r="E23" s="73">
        <v>537</v>
      </c>
      <c r="F23" s="73">
        <v>363</v>
      </c>
      <c r="G23" t="s">
        <v>272</v>
      </c>
      <c r="H23" t="s">
        <v>273</v>
      </c>
    </row>
    <row r="24" spans="1:8" x14ac:dyDescent="0.25">
      <c r="A24" t="s">
        <v>260</v>
      </c>
      <c r="B24" s="49">
        <v>3955</v>
      </c>
      <c r="C24" s="75">
        <v>5444</v>
      </c>
      <c r="D24" s="49">
        <v>4427</v>
      </c>
      <c r="E24" s="73">
        <v>1489</v>
      </c>
      <c r="F24" s="73">
        <v>-1017</v>
      </c>
      <c r="G24" t="s">
        <v>274</v>
      </c>
      <c r="H24" t="s">
        <v>275</v>
      </c>
    </row>
    <row r="27" spans="1:8" ht="15.75" x14ac:dyDescent="0.25">
      <c r="A27" s="37" t="s">
        <v>276</v>
      </c>
    </row>
    <row r="28" spans="1:8" x14ac:dyDescent="0.25">
      <c r="A28" s="5" t="s">
        <v>205</v>
      </c>
      <c r="B28" s="5" t="s">
        <v>277</v>
      </c>
      <c r="C28" s="5" t="s">
        <v>278</v>
      </c>
      <c r="D28" s="5" t="s">
        <v>279</v>
      </c>
      <c r="E28" s="5" t="s">
        <v>280</v>
      </c>
    </row>
    <row r="29" spans="1:8" x14ac:dyDescent="0.25">
      <c r="A29" s="11" t="s">
        <v>249</v>
      </c>
      <c r="B29" s="11" t="s">
        <v>281</v>
      </c>
      <c r="C29" s="12">
        <v>3711</v>
      </c>
      <c r="D29" s="11" t="s">
        <v>282</v>
      </c>
      <c r="E29" s="11" t="s">
        <v>283</v>
      </c>
    </row>
    <row r="30" spans="1:8" x14ac:dyDescent="0.25">
      <c r="A30" s="76" t="s">
        <v>256</v>
      </c>
      <c r="B30" s="76" t="s">
        <v>284</v>
      </c>
      <c r="C30" s="74">
        <v>3287</v>
      </c>
      <c r="D30" s="76" t="s">
        <v>285</v>
      </c>
      <c r="E30" s="76" t="s">
        <v>286</v>
      </c>
    </row>
    <row r="31" spans="1:8" x14ac:dyDescent="0.25">
      <c r="A31" s="67" t="s">
        <v>260</v>
      </c>
      <c r="B31" s="67" t="s">
        <v>287</v>
      </c>
      <c r="C31" s="75">
        <v>4427</v>
      </c>
      <c r="D31" s="67" t="s">
        <v>288</v>
      </c>
      <c r="E31" s="67" t="s">
        <v>289</v>
      </c>
    </row>
    <row r="32" spans="1:8" x14ac:dyDescent="0.25">
      <c r="A32" s="103" t="s">
        <v>421</v>
      </c>
      <c r="B32" s="103" t="s">
        <v>426</v>
      </c>
      <c r="C32" s="104">
        <v>3141</v>
      </c>
      <c r="D32" s="103" t="s">
        <v>427</v>
      </c>
      <c r="E32" s="103" t="s">
        <v>428</v>
      </c>
    </row>
    <row r="33" spans="1:8" x14ac:dyDescent="0.25">
      <c r="A33" s="67" t="s">
        <v>421</v>
      </c>
      <c r="B33" s="51">
        <v>2988</v>
      </c>
      <c r="C33" s="51">
        <v>3082</v>
      </c>
      <c r="D33" s="51">
        <v>3141</v>
      </c>
      <c r="E33" s="102">
        <v>94</v>
      </c>
      <c r="F33" s="73">
        <v>59</v>
      </c>
      <c r="G33" t="s">
        <v>424</v>
      </c>
      <c r="H33" t="s">
        <v>425</v>
      </c>
    </row>
  </sheetData>
  <mergeCells count="4">
    <mergeCell ref="A1:H1"/>
    <mergeCell ref="A2:H2"/>
    <mergeCell ref="A5:H5"/>
    <mergeCell ref="A19:H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DA6F-2150-43C1-83BF-BA0A33780EBF}">
  <dimension ref="A1:H39"/>
  <sheetViews>
    <sheetView workbookViewId="0">
      <selection sqref="A1:G1"/>
    </sheetView>
  </sheetViews>
  <sheetFormatPr baseColWidth="10" defaultRowHeight="15" x14ac:dyDescent="0.25"/>
  <cols>
    <col min="1" max="1" width="4.7109375" customWidth="1"/>
    <col min="2" max="2" width="22.7109375" customWidth="1"/>
    <col min="3" max="3" width="14.7109375" customWidth="1"/>
    <col min="4" max="4" width="11.7109375" customWidth="1"/>
    <col min="5" max="5" width="14.7109375" customWidth="1"/>
    <col min="6" max="6" width="11.7109375" customWidth="1"/>
    <col min="7" max="7" width="10.7109375" customWidth="1"/>
    <col min="8" max="8" width="12.7109375" customWidth="1"/>
  </cols>
  <sheetData>
    <row r="1" spans="1:8" ht="18.75" x14ac:dyDescent="0.3">
      <c r="A1" s="110" t="s">
        <v>290</v>
      </c>
      <c r="B1" s="110"/>
      <c r="C1" s="110"/>
      <c r="D1" s="110"/>
      <c r="E1" s="110"/>
      <c r="F1" s="110"/>
      <c r="G1" s="110"/>
    </row>
    <row r="2" spans="1:8" x14ac:dyDescent="0.25">
      <c r="A2" s="111" t="s">
        <v>291</v>
      </c>
      <c r="B2" s="112"/>
      <c r="C2" s="112"/>
      <c r="D2" s="112"/>
      <c r="E2" s="112"/>
      <c r="F2" s="112"/>
      <c r="G2" s="112"/>
    </row>
    <row r="4" spans="1:8" ht="15.75" x14ac:dyDescent="0.25">
      <c r="A4" s="37" t="s">
        <v>292</v>
      </c>
    </row>
    <row r="5" spans="1:8" ht="17.25" x14ac:dyDescent="0.3">
      <c r="A5" s="1">
        <v>2024</v>
      </c>
      <c r="B5" s="77">
        <v>1337</v>
      </c>
      <c r="C5" t="s">
        <v>293</v>
      </c>
    </row>
    <row r="6" spans="1:8" ht="17.25" x14ac:dyDescent="0.3">
      <c r="A6" s="1">
        <v>2025</v>
      </c>
      <c r="B6" s="77">
        <v>1298</v>
      </c>
      <c r="C6" t="s">
        <v>293</v>
      </c>
    </row>
    <row r="7" spans="1:8" x14ac:dyDescent="0.25">
      <c r="A7" s="1" t="s">
        <v>294</v>
      </c>
      <c r="B7" s="78">
        <v>-39</v>
      </c>
      <c r="C7" t="s">
        <v>295</v>
      </c>
    </row>
    <row r="9" spans="1:8" ht="15.75" x14ac:dyDescent="0.25">
      <c r="A9" s="37" t="s">
        <v>296</v>
      </c>
    </row>
    <row r="10" spans="1:8" x14ac:dyDescent="0.25">
      <c r="A10" s="5" t="s">
        <v>219</v>
      </c>
      <c r="B10" s="5" t="s">
        <v>297</v>
      </c>
      <c r="C10" s="5" t="s">
        <v>298</v>
      </c>
      <c r="D10" s="5" t="s">
        <v>5</v>
      </c>
      <c r="E10" s="5" t="s">
        <v>299</v>
      </c>
      <c r="F10" s="5" t="s">
        <v>300</v>
      </c>
      <c r="G10" s="5" t="s">
        <v>301</v>
      </c>
      <c r="H10" s="5" t="s">
        <v>302</v>
      </c>
    </row>
    <row r="11" spans="1:8" x14ac:dyDescent="0.25">
      <c r="A11" s="67">
        <v>1</v>
      </c>
      <c r="B11" s="67" t="s">
        <v>303</v>
      </c>
      <c r="C11" s="82">
        <v>169.3</v>
      </c>
      <c r="D11" s="83">
        <v>0.21051977120119372</v>
      </c>
      <c r="E11" s="75">
        <v>17</v>
      </c>
      <c r="F11" s="83">
        <v>3.5714285714285712E-2</v>
      </c>
      <c r="G11" s="84">
        <v>17.480548548690798</v>
      </c>
      <c r="H11" s="67" t="s">
        <v>304</v>
      </c>
    </row>
    <row r="12" spans="1:8" x14ac:dyDescent="0.25">
      <c r="A12" s="67">
        <v>2</v>
      </c>
      <c r="B12" s="67" t="s">
        <v>305</v>
      </c>
      <c r="C12" s="82">
        <v>131.5</v>
      </c>
      <c r="D12" s="83">
        <v>0.16351653817458342</v>
      </c>
      <c r="E12" s="75">
        <v>84</v>
      </c>
      <c r="F12" s="83">
        <v>0.17647058823529413</v>
      </c>
      <c r="G12" s="86">
        <v>-1.2954050060710709</v>
      </c>
      <c r="H12" s="67" t="s">
        <v>304</v>
      </c>
    </row>
    <row r="13" spans="1:8" x14ac:dyDescent="0.25">
      <c r="A13" s="67">
        <v>3</v>
      </c>
      <c r="B13" s="67" t="s">
        <v>306</v>
      </c>
      <c r="C13" s="82">
        <v>124.5</v>
      </c>
      <c r="D13" s="83">
        <v>0.1548122357622482</v>
      </c>
      <c r="E13" s="75">
        <v>67</v>
      </c>
      <c r="F13" s="83">
        <v>0.1407563025210084</v>
      </c>
      <c r="G13" s="84">
        <v>1.4055933241239797</v>
      </c>
      <c r="H13" s="67" t="s">
        <v>304</v>
      </c>
    </row>
    <row r="14" spans="1:8" x14ac:dyDescent="0.25">
      <c r="A14">
        <v>4</v>
      </c>
      <c r="B14" t="s">
        <v>307</v>
      </c>
      <c r="C14" s="79">
        <v>87</v>
      </c>
      <c r="D14" s="10">
        <v>0.10818204426759512</v>
      </c>
      <c r="E14" s="6">
        <v>15</v>
      </c>
      <c r="F14" s="10">
        <v>3.1512605042016806E-2</v>
      </c>
      <c r="G14" s="81">
        <v>7.6669439225578309</v>
      </c>
      <c r="H14" t="s">
        <v>308</v>
      </c>
    </row>
    <row r="15" spans="1:8" x14ac:dyDescent="0.25">
      <c r="A15">
        <v>5</v>
      </c>
      <c r="B15" t="s">
        <v>309</v>
      </c>
      <c r="C15" s="79">
        <v>75.5</v>
      </c>
      <c r="D15" s="10">
        <v>9.3882118875901518E-2</v>
      </c>
      <c r="E15" s="6">
        <v>43</v>
      </c>
      <c r="F15" s="10">
        <v>9.0336134453781511E-2</v>
      </c>
      <c r="G15" s="80">
        <v>0.35459844221200076</v>
      </c>
      <c r="H15" t="s">
        <v>308</v>
      </c>
    </row>
    <row r="16" spans="1:8" x14ac:dyDescent="0.25">
      <c r="A16">
        <v>6</v>
      </c>
      <c r="B16" t="s">
        <v>310</v>
      </c>
      <c r="C16" s="79">
        <v>74</v>
      </c>
      <c r="D16" s="10">
        <v>9.2016911216115382E-2</v>
      </c>
      <c r="E16" s="6">
        <v>47</v>
      </c>
      <c r="F16" s="10">
        <v>9.8739495798319324E-2</v>
      </c>
      <c r="G16" s="80">
        <v>-0.6722584582203941</v>
      </c>
      <c r="H16" t="s">
        <v>308</v>
      </c>
    </row>
    <row r="17" spans="1:8" x14ac:dyDescent="0.25">
      <c r="A17">
        <v>7</v>
      </c>
      <c r="B17" t="s">
        <v>311</v>
      </c>
      <c r="C17" s="79">
        <v>39</v>
      </c>
      <c r="D17" s="10">
        <v>4.8495399154439192E-2</v>
      </c>
      <c r="E17" t="s">
        <v>312</v>
      </c>
      <c r="F17" t="s">
        <v>139</v>
      </c>
      <c r="G17" t="s">
        <v>139</v>
      </c>
      <c r="H17" t="s">
        <v>313</v>
      </c>
    </row>
    <row r="18" spans="1:8" x14ac:dyDescent="0.25">
      <c r="A18">
        <v>8</v>
      </c>
      <c r="B18" t="s">
        <v>314</v>
      </c>
      <c r="C18" s="79">
        <v>35</v>
      </c>
      <c r="D18" s="10">
        <v>4.3521512061676197E-2</v>
      </c>
      <c r="E18" s="6">
        <v>81</v>
      </c>
      <c r="F18" s="10">
        <v>0.17016806722689076</v>
      </c>
      <c r="G18" s="85">
        <v>-12.664655516521456</v>
      </c>
      <c r="H18" t="s">
        <v>313</v>
      </c>
    </row>
    <row r="19" spans="1:8" x14ac:dyDescent="0.25">
      <c r="A19">
        <v>9</v>
      </c>
      <c r="B19" t="s">
        <v>315</v>
      </c>
      <c r="C19" s="79">
        <v>23</v>
      </c>
      <c r="D19" s="10">
        <v>2.8599850783387216E-2</v>
      </c>
      <c r="E19" s="6">
        <v>52</v>
      </c>
      <c r="F19" s="10">
        <v>0.1092436974789916</v>
      </c>
      <c r="G19" s="85">
        <v>-8.0643846695604378</v>
      </c>
      <c r="H19" t="s">
        <v>313</v>
      </c>
    </row>
    <row r="20" spans="1:8" x14ac:dyDescent="0.25">
      <c r="A20">
        <v>10</v>
      </c>
      <c r="B20" t="s">
        <v>316</v>
      </c>
      <c r="C20" s="79">
        <v>13.5</v>
      </c>
      <c r="D20" s="10">
        <v>1.6786868938075104E-2</v>
      </c>
      <c r="E20" t="s">
        <v>312</v>
      </c>
      <c r="F20" t="s">
        <v>139</v>
      </c>
      <c r="G20" t="s">
        <v>139</v>
      </c>
      <c r="H20" t="s">
        <v>313</v>
      </c>
    </row>
    <row r="21" spans="1:8" x14ac:dyDescent="0.25">
      <c r="A21">
        <v>11</v>
      </c>
      <c r="B21" t="s">
        <v>317</v>
      </c>
      <c r="C21" s="79">
        <v>11.9</v>
      </c>
      <c r="D21" s="10">
        <v>1.4797314100969908E-2</v>
      </c>
      <c r="E21" t="s">
        <v>312</v>
      </c>
      <c r="F21" t="s">
        <v>139</v>
      </c>
      <c r="G21" t="s">
        <v>139</v>
      </c>
      <c r="H21" t="s">
        <v>313</v>
      </c>
    </row>
    <row r="22" spans="1:8" x14ac:dyDescent="0.25">
      <c r="A22">
        <v>12</v>
      </c>
      <c r="B22" t="s">
        <v>318</v>
      </c>
      <c r="C22" s="79">
        <v>9</v>
      </c>
      <c r="D22" s="10">
        <v>1.1191245958716737E-2</v>
      </c>
      <c r="E22" s="6">
        <v>70</v>
      </c>
      <c r="F22" s="10">
        <v>0.14705882352941177</v>
      </c>
      <c r="G22" s="85">
        <v>-13.586757757069504</v>
      </c>
      <c r="H22" t="s">
        <v>313</v>
      </c>
    </row>
    <row r="23" spans="1:8" x14ac:dyDescent="0.25">
      <c r="A23">
        <v>13</v>
      </c>
      <c r="B23" t="s">
        <v>319</v>
      </c>
      <c r="C23" s="79">
        <v>6</v>
      </c>
      <c r="D23" s="10">
        <v>7.4608306391444907E-3</v>
      </c>
      <c r="E23" t="s">
        <v>312</v>
      </c>
      <c r="F23" t="s">
        <v>139</v>
      </c>
      <c r="G23" t="s">
        <v>139</v>
      </c>
      <c r="H23" t="s">
        <v>313</v>
      </c>
    </row>
    <row r="24" spans="1:8" x14ac:dyDescent="0.25">
      <c r="A24">
        <v>14</v>
      </c>
      <c r="B24" t="s">
        <v>320</v>
      </c>
      <c r="C24" s="79">
        <v>3</v>
      </c>
      <c r="D24" s="10">
        <v>3.7304153195722453E-3</v>
      </c>
      <c r="E24" t="s">
        <v>312</v>
      </c>
      <c r="F24" t="s">
        <v>139</v>
      </c>
      <c r="G24" t="s">
        <v>139</v>
      </c>
      <c r="H24" t="s">
        <v>313</v>
      </c>
    </row>
    <row r="25" spans="1:8" x14ac:dyDescent="0.25">
      <c r="A25">
        <v>15</v>
      </c>
      <c r="B25" t="s">
        <v>321</v>
      </c>
      <c r="C25" s="79">
        <v>1</v>
      </c>
      <c r="D25" s="10">
        <v>1.2434717731907485E-3</v>
      </c>
      <c r="E25" t="s">
        <v>312</v>
      </c>
      <c r="F25" t="s">
        <v>139</v>
      </c>
      <c r="G25" t="s">
        <v>139</v>
      </c>
      <c r="H25" t="s">
        <v>313</v>
      </c>
    </row>
    <row r="26" spans="1:8" x14ac:dyDescent="0.25">
      <c r="A26">
        <v>16</v>
      </c>
      <c r="B26" t="s">
        <v>322</v>
      </c>
      <c r="C26" s="79">
        <v>1</v>
      </c>
      <c r="D26" s="10">
        <v>1.2434717731907485E-3</v>
      </c>
      <c r="E26" t="s">
        <v>312</v>
      </c>
      <c r="F26" t="s">
        <v>139</v>
      </c>
      <c r="G26" t="s">
        <v>139</v>
      </c>
      <c r="H26" t="s">
        <v>313</v>
      </c>
    </row>
    <row r="29" spans="1:8" ht="15.75" x14ac:dyDescent="0.25">
      <c r="A29" s="37" t="s">
        <v>323</v>
      </c>
    </row>
    <row r="30" spans="1:8" ht="17.25" x14ac:dyDescent="0.3">
      <c r="A30" s="1" t="s">
        <v>324</v>
      </c>
      <c r="B30" s="88">
        <v>0.52884854513802537</v>
      </c>
      <c r="C30" t="s">
        <v>325</v>
      </c>
    </row>
    <row r="31" spans="1:8" x14ac:dyDescent="0.25">
      <c r="A31" s="1" t="s">
        <v>326</v>
      </c>
      <c r="B31" s="87">
        <v>0.73091270828152199</v>
      </c>
    </row>
    <row r="34" spans="1:8" ht="15.75" x14ac:dyDescent="0.25">
      <c r="A34" s="37" t="s">
        <v>327</v>
      </c>
    </row>
    <row r="35" spans="1:8" ht="30" customHeight="1" x14ac:dyDescent="0.25">
      <c r="A35" s="113" t="s">
        <v>328</v>
      </c>
      <c r="B35" s="113"/>
      <c r="C35" s="113"/>
      <c r="D35" s="113"/>
      <c r="E35" s="113"/>
      <c r="F35" s="113"/>
      <c r="G35" s="113"/>
      <c r="H35" s="113"/>
    </row>
    <row r="36" spans="1:8" ht="30" customHeight="1" x14ac:dyDescent="0.25">
      <c r="A36" s="113" t="s">
        <v>329</v>
      </c>
      <c r="B36" s="113"/>
      <c r="C36" s="113"/>
      <c r="D36" s="113"/>
      <c r="E36" s="113"/>
      <c r="F36" s="113"/>
      <c r="G36" s="113"/>
      <c r="H36" s="113"/>
    </row>
    <row r="37" spans="1:8" ht="30" customHeight="1" x14ac:dyDescent="0.25">
      <c r="A37" s="113" t="s">
        <v>330</v>
      </c>
      <c r="B37" s="113"/>
      <c r="C37" s="113"/>
      <c r="D37" s="113"/>
      <c r="E37" s="113"/>
      <c r="F37" s="113"/>
      <c r="G37" s="113"/>
      <c r="H37" s="113"/>
    </row>
    <row r="38" spans="1:8" ht="30" customHeight="1" x14ac:dyDescent="0.25">
      <c r="A38" s="113" t="s">
        <v>331</v>
      </c>
      <c r="B38" s="113"/>
      <c r="C38" s="113"/>
      <c r="D38" s="113"/>
      <c r="E38" s="113"/>
      <c r="F38" s="113"/>
      <c r="G38" s="113"/>
      <c r="H38" s="113"/>
    </row>
    <row r="39" spans="1:8" ht="30" customHeight="1" x14ac:dyDescent="0.25">
      <c r="A39" s="113" t="s">
        <v>332</v>
      </c>
      <c r="B39" s="113"/>
      <c r="C39" s="113"/>
      <c r="D39" s="113"/>
      <c r="E39" s="113"/>
      <c r="F39" s="113"/>
      <c r="G39" s="113"/>
      <c r="H39" s="113"/>
    </row>
  </sheetData>
  <mergeCells count="7">
    <mergeCell ref="A39:H39"/>
    <mergeCell ref="A1:G1"/>
    <mergeCell ref="A2:G2"/>
    <mergeCell ref="A35:H35"/>
    <mergeCell ref="A36:H36"/>
    <mergeCell ref="A37:H37"/>
    <mergeCell ref="A38:H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E6D6-1DD4-4102-80D3-359253B8A0D8}">
  <dimension ref="A1:G31"/>
  <sheetViews>
    <sheetView workbookViewId="0">
      <selection sqref="A1:G1"/>
    </sheetView>
  </sheetViews>
  <sheetFormatPr baseColWidth="10" defaultRowHeight="15" x14ac:dyDescent="0.25"/>
  <cols>
    <col min="1" max="7" width="14.7109375" customWidth="1"/>
  </cols>
  <sheetData>
    <row r="1" spans="1:7" ht="18.75" x14ac:dyDescent="0.3">
      <c r="A1" s="110" t="s">
        <v>185</v>
      </c>
      <c r="B1" s="110"/>
      <c r="C1" s="110"/>
      <c r="D1" s="110"/>
      <c r="E1" s="110"/>
      <c r="F1" s="110"/>
      <c r="G1" s="110"/>
    </row>
    <row r="3" spans="1:7" x14ac:dyDescent="0.25">
      <c r="A3" s="5" t="s">
        <v>186</v>
      </c>
      <c r="B3" s="5" t="s">
        <v>187</v>
      </c>
      <c r="C3" s="5" t="s">
        <v>188</v>
      </c>
      <c r="D3" s="5" t="s">
        <v>189</v>
      </c>
      <c r="E3" s="5" t="s">
        <v>165</v>
      </c>
      <c r="F3" s="5" t="s">
        <v>190</v>
      </c>
      <c r="G3" s="5" t="s">
        <v>191</v>
      </c>
    </row>
    <row r="4" spans="1:7" x14ac:dyDescent="0.25">
      <c r="A4">
        <v>2024</v>
      </c>
      <c r="B4" s="9">
        <v>8947528</v>
      </c>
      <c r="C4" s="9">
        <v>15146276</v>
      </c>
      <c r="D4" s="6">
        <v>146</v>
      </c>
      <c r="E4" s="59">
        <v>688</v>
      </c>
      <c r="F4" s="40">
        <v>0.66500000000000004</v>
      </c>
      <c r="G4" t="s">
        <v>192</v>
      </c>
    </row>
    <row r="5" spans="1:7" x14ac:dyDescent="0.25">
      <c r="A5">
        <v>2025</v>
      </c>
      <c r="B5" s="9">
        <v>10753792</v>
      </c>
      <c r="C5" s="9">
        <v>21019346</v>
      </c>
      <c r="D5" s="6">
        <v>185</v>
      </c>
      <c r="E5" s="59">
        <v>599</v>
      </c>
      <c r="F5" s="40">
        <v>0.50149999999999995</v>
      </c>
      <c r="G5" s="61">
        <v>-0.16300000000000001</v>
      </c>
    </row>
    <row r="6" spans="1:7" x14ac:dyDescent="0.25">
      <c r="A6" t="s">
        <v>193</v>
      </c>
      <c r="B6" s="9">
        <v>3016752</v>
      </c>
      <c r="C6" s="9">
        <v>6699460</v>
      </c>
      <c r="D6" t="s">
        <v>139</v>
      </c>
      <c r="E6" s="59">
        <v>0.45029778519462765</v>
      </c>
      <c r="F6" s="40">
        <v>0.53359999999999996</v>
      </c>
      <c r="G6" s="62">
        <v>3.2000000000000001E-2</v>
      </c>
    </row>
    <row r="9" spans="1:7" ht="15.75" x14ac:dyDescent="0.25">
      <c r="A9" s="37" t="s">
        <v>194</v>
      </c>
    </row>
    <row r="10" spans="1:7" x14ac:dyDescent="0.25">
      <c r="A10" s="116" t="s">
        <v>195</v>
      </c>
      <c r="B10" s="116"/>
      <c r="C10" s="116"/>
      <c r="D10" s="116"/>
      <c r="E10" s="116"/>
      <c r="F10" s="116"/>
      <c r="G10" s="116"/>
    </row>
    <row r="11" spans="1:7" x14ac:dyDescent="0.25">
      <c r="A11" s="116" t="s">
        <v>196</v>
      </c>
      <c r="B11" s="116"/>
      <c r="C11" s="116"/>
      <c r="D11" s="116"/>
      <c r="E11" s="116"/>
      <c r="F11" s="116"/>
      <c r="G11" s="116"/>
    </row>
    <row r="12" spans="1:7" x14ac:dyDescent="0.25">
      <c r="A12" s="116" t="s">
        <v>197</v>
      </c>
      <c r="B12" s="116"/>
      <c r="C12" s="116"/>
      <c r="D12" s="116"/>
      <c r="E12" s="116"/>
      <c r="F12" s="116"/>
      <c r="G12" s="116"/>
    </row>
    <row r="13" spans="1:7" x14ac:dyDescent="0.25">
      <c r="A13" s="116" t="s">
        <v>198</v>
      </c>
      <c r="B13" s="116"/>
      <c r="C13" s="116"/>
      <c r="D13" s="116"/>
      <c r="E13" s="116"/>
      <c r="F13" s="116"/>
      <c r="G13" s="116"/>
    </row>
    <row r="14" spans="1:7" x14ac:dyDescent="0.25">
      <c r="A14" s="116" t="s">
        <v>199</v>
      </c>
      <c r="B14" s="116"/>
      <c r="C14" s="116"/>
      <c r="D14" s="116"/>
      <c r="E14" s="116"/>
      <c r="F14" s="116"/>
      <c r="G14" s="116"/>
    </row>
    <row r="15" spans="1:7" x14ac:dyDescent="0.25">
      <c r="A15" s="116" t="s">
        <v>200</v>
      </c>
      <c r="B15" s="116"/>
      <c r="C15" s="116"/>
      <c r="D15" s="116"/>
      <c r="E15" s="116"/>
      <c r="F15" s="116"/>
      <c r="G15" s="116"/>
    </row>
    <row r="18" spans="1:3" ht="15.75" x14ac:dyDescent="0.25">
      <c r="A18" s="37" t="s">
        <v>201</v>
      </c>
    </row>
    <row r="19" spans="1:3" x14ac:dyDescent="0.25">
      <c r="A19" s="1" t="s">
        <v>43</v>
      </c>
      <c r="B19" s="1">
        <v>2024</v>
      </c>
      <c r="C19" s="1">
        <v>2025</v>
      </c>
    </row>
    <row r="20" spans="1:3" x14ac:dyDescent="0.25">
      <c r="A20" t="s">
        <v>53</v>
      </c>
      <c r="B20" s="6">
        <v>8</v>
      </c>
      <c r="C20" s="6">
        <v>11</v>
      </c>
    </row>
    <row r="21" spans="1:3" x14ac:dyDescent="0.25">
      <c r="A21" t="s">
        <v>56</v>
      </c>
      <c r="B21" s="6">
        <v>10</v>
      </c>
      <c r="C21" s="6">
        <v>12</v>
      </c>
    </row>
    <row r="22" spans="1:3" x14ac:dyDescent="0.25">
      <c r="A22" t="s">
        <v>58</v>
      </c>
      <c r="B22" s="6">
        <v>10</v>
      </c>
      <c r="C22" s="6">
        <v>17</v>
      </c>
    </row>
    <row r="23" spans="1:3" x14ac:dyDescent="0.25">
      <c r="A23" t="s">
        <v>59</v>
      </c>
      <c r="B23" s="6">
        <v>11</v>
      </c>
      <c r="C23" s="6">
        <v>16</v>
      </c>
    </row>
    <row r="24" spans="1:3" x14ac:dyDescent="0.25">
      <c r="A24" t="s">
        <v>61</v>
      </c>
      <c r="B24" s="6">
        <v>11</v>
      </c>
      <c r="C24" s="6">
        <v>13</v>
      </c>
    </row>
    <row r="25" spans="1:3" x14ac:dyDescent="0.25">
      <c r="A25" t="s">
        <v>64</v>
      </c>
      <c r="B25" s="6">
        <v>14</v>
      </c>
      <c r="C25" s="6">
        <v>18</v>
      </c>
    </row>
    <row r="26" spans="1:3" x14ac:dyDescent="0.25">
      <c r="A26" t="s">
        <v>66</v>
      </c>
      <c r="B26" s="6">
        <v>14</v>
      </c>
      <c r="C26" s="6">
        <v>12</v>
      </c>
    </row>
    <row r="27" spans="1:3" x14ac:dyDescent="0.25">
      <c r="A27" t="s">
        <v>68</v>
      </c>
      <c r="B27" s="6">
        <v>12</v>
      </c>
      <c r="C27" s="6">
        <v>10</v>
      </c>
    </row>
    <row r="28" spans="1:3" x14ac:dyDescent="0.25">
      <c r="A28" t="s">
        <v>71</v>
      </c>
      <c r="B28" s="6">
        <v>14</v>
      </c>
      <c r="C28" s="6">
        <v>22</v>
      </c>
    </row>
    <row r="29" spans="1:3" x14ac:dyDescent="0.25">
      <c r="A29" t="s">
        <v>74</v>
      </c>
      <c r="B29" s="6">
        <v>15</v>
      </c>
      <c r="C29" s="6">
        <v>19</v>
      </c>
    </row>
    <row r="30" spans="1:3" x14ac:dyDescent="0.25">
      <c r="A30" t="s">
        <v>76</v>
      </c>
      <c r="B30" s="6">
        <v>19</v>
      </c>
      <c r="C30" s="6">
        <v>18</v>
      </c>
    </row>
    <row r="31" spans="1:3" x14ac:dyDescent="0.25">
      <c r="A31" t="s">
        <v>78</v>
      </c>
      <c r="B31" s="6">
        <v>8</v>
      </c>
      <c r="C31" s="6">
        <v>17</v>
      </c>
    </row>
  </sheetData>
  <mergeCells count="7">
    <mergeCell ref="A15:G15"/>
    <mergeCell ref="A1:G1"/>
    <mergeCell ref="A10:G10"/>
    <mergeCell ref="A11:G11"/>
    <mergeCell ref="A12:G12"/>
    <mergeCell ref="A13:G13"/>
    <mergeCell ref="A14:G1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C3A8-DA05-4AFF-9774-04D71F2929DA}">
  <dimension ref="A1:L14"/>
  <sheetViews>
    <sheetView workbookViewId="0">
      <selection sqref="A1:L1"/>
    </sheetView>
  </sheetViews>
  <sheetFormatPr baseColWidth="10" defaultRowHeight="15" x14ac:dyDescent="0.25"/>
  <cols>
    <col min="1" max="1" width="32.7109375" customWidth="1"/>
    <col min="2" max="11" width="12.7109375" customWidth="1"/>
    <col min="12" max="12" width="24.7109375" customWidth="1"/>
  </cols>
  <sheetData>
    <row r="1" spans="1:12" ht="18.75" x14ac:dyDescent="0.3">
      <c r="A1" s="110" t="s">
        <v>389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2" x14ac:dyDescent="0.25">
      <c r="A2" s="111" t="s">
        <v>390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4" spans="1:12" x14ac:dyDescent="0.25">
      <c r="A4" s="5" t="s">
        <v>118</v>
      </c>
      <c r="B4" s="5" t="s">
        <v>129</v>
      </c>
      <c r="C4" s="39">
        <v>20.239999999999998</v>
      </c>
      <c r="D4" s="5" t="s">
        <v>130</v>
      </c>
      <c r="E4" s="39">
        <v>20.25</v>
      </c>
      <c r="F4" s="5" t="s">
        <v>131</v>
      </c>
      <c r="G4" s="39">
        <v>20.260000000000002</v>
      </c>
      <c r="H4" s="5" t="s">
        <v>132</v>
      </c>
      <c r="I4" s="5" t="s">
        <v>133</v>
      </c>
      <c r="J4" s="5" t="s">
        <v>134</v>
      </c>
      <c r="K4" s="5" t="s">
        <v>135</v>
      </c>
      <c r="L4" s="5" t="s">
        <v>136</v>
      </c>
    </row>
    <row r="5" spans="1:12" x14ac:dyDescent="0.25">
      <c r="A5" s="43" t="s">
        <v>119</v>
      </c>
      <c r="B5" s="44">
        <v>5959882</v>
      </c>
      <c r="C5" s="45">
        <v>0.39413379745049903</v>
      </c>
      <c r="D5" s="44">
        <v>7240208</v>
      </c>
      <c r="E5" s="45">
        <v>0.43889815963892087</v>
      </c>
      <c r="F5" s="44">
        <v>3458045</v>
      </c>
      <c r="G5" s="45">
        <v>0.48000895597883769</v>
      </c>
      <c r="H5" s="46">
        <v>4.4764362188421831</v>
      </c>
      <c r="I5" s="46">
        <v>4.1110796339916824</v>
      </c>
      <c r="J5" s="51">
        <v>141</v>
      </c>
      <c r="K5" s="51">
        <v>126</v>
      </c>
      <c r="L5" s="43" t="s">
        <v>391</v>
      </c>
    </row>
    <row r="6" spans="1:12" x14ac:dyDescent="0.25">
      <c r="A6" s="52" t="s">
        <v>392</v>
      </c>
      <c r="B6" s="53">
        <v>4138952</v>
      </c>
      <c r="C6" s="54">
        <v>0.27371361869670202</v>
      </c>
      <c r="D6" s="53">
        <v>4103348</v>
      </c>
      <c r="E6" s="54">
        <v>0.24874311422517786</v>
      </c>
      <c r="F6" s="53">
        <v>1548863</v>
      </c>
      <c r="G6" s="54">
        <v>0.21499665608291693</v>
      </c>
      <c r="H6" s="56">
        <v>-2.4970504471524158</v>
      </c>
      <c r="I6" s="56">
        <v>-3.3746458142260933</v>
      </c>
      <c r="J6" s="57">
        <v>99</v>
      </c>
      <c r="K6" s="57">
        <v>71</v>
      </c>
      <c r="L6" s="52" t="s">
        <v>393</v>
      </c>
    </row>
    <row r="7" spans="1:12" x14ac:dyDescent="0.25">
      <c r="A7" s="52" t="s">
        <v>120</v>
      </c>
      <c r="B7" s="53">
        <v>3868224</v>
      </c>
      <c r="C7" s="54">
        <v>0.25581006713038262</v>
      </c>
      <c r="D7" s="53">
        <v>3693868</v>
      </c>
      <c r="E7" s="54">
        <v>0.2239206203950358</v>
      </c>
      <c r="F7" s="53">
        <v>1180903</v>
      </c>
      <c r="G7" s="54">
        <v>0.16392037007681431</v>
      </c>
      <c r="H7" s="56">
        <v>-3.1889446735346825</v>
      </c>
      <c r="I7" s="56">
        <v>-6.0000250318221484</v>
      </c>
      <c r="J7" s="57">
        <v>84</v>
      </c>
      <c r="K7" s="57">
        <v>84</v>
      </c>
      <c r="L7" s="52" t="s">
        <v>393</v>
      </c>
    </row>
    <row r="8" spans="1:12" x14ac:dyDescent="0.25">
      <c r="A8" s="52" t="s">
        <v>394</v>
      </c>
      <c r="B8" s="53">
        <v>822830</v>
      </c>
      <c r="C8" s="54">
        <v>5.4414686827053645E-2</v>
      </c>
      <c r="D8" s="53">
        <v>744466</v>
      </c>
      <c r="E8" s="54">
        <v>4.5129194812324296E-2</v>
      </c>
      <c r="F8" s="53">
        <v>378948</v>
      </c>
      <c r="G8" s="54">
        <v>5.2601523071639782E-2</v>
      </c>
      <c r="H8" s="56">
        <v>-0.92854920147293485</v>
      </c>
      <c r="I8" s="55">
        <v>0.74723282593154861</v>
      </c>
      <c r="J8" s="57">
        <v>42</v>
      </c>
      <c r="K8" s="57">
        <v>38</v>
      </c>
      <c r="L8" s="52"/>
    </row>
    <row r="9" spans="1:12" x14ac:dyDescent="0.25">
      <c r="A9" s="101" t="s">
        <v>415</v>
      </c>
      <c r="B9" s="52" t="s">
        <v>139</v>
      </c>
      <c r="C9" s="52" t="s">
        <v>139</v>
      </c>
      <c r="D9" s="53">
        <v>656118</v>
      </c>
      <c r="E9" s="54">
        <v>3.9773578701878379E-2</v>
      </c>
      <c r="F9" s="53">
        <v>637367</v>
      </c>
      <c r="G9" s="54">
        <v>8.8472494789791301E-2</v>
      </c>
      <c r="H9" s="52" t="s">
        <v>139</v>
      </c>
      <c r="I9" s="55">
        <v>4.869891608791292</v>
      </c>
      <c r="J9" s="52" t="s">
        <v>139</v>
      </c>
      <c r="K9" s="57">
        <v>26</v>
      </c>
      <c r="L9" s="52" t="s">
        <v>140</v>
      </c>
    </row>
    <row r="10" spans="1:12" x14ac:dyDescent="0.25">
      <c r="A10" t="s">
        <v>125</v>
      </c>
      <c r="B10" s="9">
        <v>205011</v>
      </c>
      <c r="C10" s="40">
        <v>1.3557611366990865E-2</v>
      </c>
      <c r="D10" s="9">
        <v>58320</v>
      </c>
      <c r="E10" s="40">
        <v>3.5353322266628066E-3</v>
      </c>
      <c r="F10" t="s">
        <v>139</v>
      </c>
      <c r="G10" t="s">
        <v>139</v>
      </c>
      <c r="H10" s="47">
        <v>-1.0022279140328059</v>
      </c>
      <c r="I10" t="s">
        <v>139</v>
      </c>
      <c r="J10" s="6">
        <v>10</v>
      </c>
      <c r="K10" s="6">
        <v>3</v>
      </c>
    </row>
    <row r="11" spans="1:12" x14ac:dyDescent="0.25">
      <c r="A11" t="s">
        <v>142</v>
      </c>
      <c r="B11" s="9">
        <v>20520</v>
      </c>
      <c r="C11" s="40">
        <v>1.3570110152657786E-3</v>
      </c>
      <c r="D11" t="s">
        <v>139</v>
      </c>
      <c r="E11" t="s">
        <v>139</v>
      </c>
      <c r="F11" t="s">
        <v>139</v>
      </c>
      <c r="G11" t="s">
        <v>139</v>
      </c>
      <c r="H11" t="s">
        <v>139</v>
      </c>
      <c r="I11" t="s">
        <v>139</v>
      </c>
      <c r="J11" s="6">
        <v>1</v>
      </c>
      <c r="K11" t="s">
        <v>139</v>
      </c>
      <c r="L11" t="s">
        <v>395</v>
      </c>
    </row>
    <row r="12" spans="1:12" x14ac:dyDescent="0.25">
      <c r="A12" t="s">
        <v>122</v>
      </c>
      <c r="B12" s="9">
        <v>22534</v>
      </c>
      <c r="C12" s="40">
        <v>1.4901991334307534E-3</v>
      </c>
      <c r="D12" t="s">
        <v>139</v>
      </c>
      <c r="E12" t="s">
        <v>139</v>
      </c>
      <c r="F12" t="s">
        <v>139</v>
      </c>
      <c r="G12" t="s">
        <v>139</v>
      </c>
      <c r="H12" t="s">
        <v>139</v>
      </c>
      <c r="I12" t="s">
        <v>139</v>
      </c>
      <c r="J12" s="6">
        <v>1</v>
      </c>
      <c r="K12" t="s">
        <v>139</v>
      </c>
      <c r="L12" t="s">
        <v>395</v>
      </c>
    </row>
    <row r="13" spans="1:12" x14ac:dyDescent="0.25">
      <c r="A13" t="s">
        <v>149</v>
      </c>
      <c r="B13" s="9">
        <v>83516</v>
      </c>
      <c r="C13" s="40">
        <v>5.5230083796752819E-3</v>
      </c>
      <c r="D13" t="s">
        <v>139</v>
      </c>
      <c r="E13" t="s">
        <v>139</v>
      </c>
      <c r="F13" t="s">
        <v>139</v>
      </c>
      <c r="G13" t="s">
        <v>139</v>
      </c>
      <c r="H13" t="s">
        <v>139</v>
      </c>
      <c r="I13" t="s">
        <v>139</v>
      </c>
      <c r="J13" s="6">
        <v>4</v>
      </c>
      <c r="K13" t="s">
        <v>139</v>
      </c>
      <c r="L13" t="s">
        <v>395</v>
      </c>
    </row>
    <row r="14" spans="1:12" x14ac:dyDescent="0.25">
      <c r="A14" s="29" t="s">
        <v>152</v>
      </c>
      <c r="B14" s="32">
        <v>15121469</v>
      </c>
      <c r="C14" s="58">
        <v>1</v>
      </c>
      <c r="D14" s="32">
        <v>16496328</v>
      </c>
      <c r="E14" s="58">
        <v>1</v>
      </c>
      <c r="F14" s="32">
        <v>7204126</v>
      </c>
      <c r="G14" s="58">
        <v>1</v>
      </c>
      <c r="H14" s="29"/>
      <c r="I14" s="29"/>
      <c r="J14" s="29"/>
      <c r="K14" s="29"/>
      <c r="L14" s="29"/>
    </row>
  </sheetData>
  <mergeCells count="2">
    <mergeCell ref="A1:L1"/>
    <mergeCell ref="A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0CB4-38ED-4AE6-A99A-F9DC7D2E64A4}">
  <dimension ref="A1:I39"/>
  <sheetViews>
    <sheetView workbookViewId="0">
      <selection sqref="A1:I1"/>
    </sheetView>
  </sheetViews>
  <sheetFormatPr baseColWidth="10" defaultRowHeight="15" x14ac:dyDescent="0.25"/>
  <cols>
    <col min="1" max="1" width="28.7109375" customWidth="1"/>
    <col min="2" max="9" width="16.7109375" customWidth="1"/>
  </cols>
  <sheetData>
    <row r="1" spans="1:9" ht="18.75" x14ac:dyDescent="0.3">
      <c r="A1" s="110" t="s">
        <v>396</v>
      </c>
      <c r="B1" s="110"/>
      <c r="C1" s="110"/>
      <c r="D1" s="110"/>
      <c r="E1" s="110"/>
      <c r="F1" s="110"/>
      <c r="G1" s="110"/>
      <c r="H1" s="110"/>
      <c r="I1" s="110"/>
    </row>
    <row r="2" spans="1:9" x14ac:dyDescent="0.25">
      <c r="A2" s="111" t="s">
        <v>419</v>
      </c>
      <c r="B2" s="112"/>
      <c r="C2" s="112"/>
      <c r="D2" s="112"/>
      <c r="E2" s="112"/>
      <c r="F2" s="112"/>
      <c r="G2" s="112"/>
      <c r="H2" s="112"/>
      <c r="I2" s="112"/>
    </row>
    <row r="4" spans="1:9" x14ac:dyDescent="0.25">
      <c r="A4" s="5" t="s">
        <v>155</v>
      </c>
      <c r="B4" s="5" t="s">
        <v>156</v>
      </c>
      <c r="C4" s="5" t="s">
        <v>157</v>
      </c>
      <c r="D4" s="5" t="s">
        <v>397</v>
      </c>
      <c r="E4" s="5" t="s">
        <v>398</v>
      </c>
      <c r="F4" s="5" t="s">
        <v>158</v>
      </c>
      <c r="G4" s="5" t="s">
        <v>159</v>
      </c>
      <c r="H4" s="5" t="s">
        <v>416</v>
      </c>
      <c r="I4" s="5" t="s">
        <v>417</v>
      </c>
    </row>
    <row r="5" spans="1:9" x14ac:dyDescent="0.25">
      <c r="A5" s="1" t="s">
        <v>162</v>
      </c>
      <c r="B5" s="48">
        <v>5959882</v>
      </c>
      <c r="C5" s="48">
        <v>7240208</v>
      </c>
      <c r="D5" s="9">
        <v>4138952</v>
      </c>
      <c r="E5" s="9">
        <v>4103348</v>
      </c>
      <c r="F5" s="9">
        <v>3868224</v>
      </c>
      <c r="G5" s="9">
        <v>3693868</v>
      </c>
      <c r="I5" s="9">
        <v>656118</v>
      </c>
    </row>
    <row r="6" spans="1:9" x14ac:dyDescent="0.25">
      <c r="A6" s="1" t="s">
        <v>163</v>
      </c>
      <c r="B6" s="48">
        <v>6509332</v>
      </c>
      <c r="C6" s="48">
        <v>7805002</v>
      </c>
      <c r="D6" s="9">
        <v>4474088</v>
      </c>
      <c r="E6" s="9">
        <v>4447754</v>
      </c>
      <c r="F6" s="9">
        <v>4265457</v>
      </c>
      <c r="G6" s="9">
        <v>3910669</v>
      </c>
      <c r="I6" s="9">
        <v>727286</v>
      </c>
    </row>
    <row r="7" spans="1:9" x14ac:dyDescent="0.25">
      <c r="A7" s="1" t="s">
        <v>164</v>
      </c>
      <c r="B7" s="49">
        <v>141</v>
      </c>
      <c r="C7" s="49">
        <v>126</v>
      </c>
      <c r="D7" s="6">
        <v>99</v>
      </c>
      <c r="E7" s="6">
        <v>71</v>
      </c>
      <c r="F7" s="6">
        <v>84</v>
      </c>
      <c r="G7" s="6">
        <v>84</v>
      </c>
      <c r="I7" s="6">
        <v>26</v>
      </c>
    </row>
    <row r="8" spans="1:9" x14ac:dyDescent="0.25">
      <c r="A8" s="1" t="s">
        <v>165</v>
      </c>
      <c r="B8" s="60">
        <v>1003</v>
      </c>
      <c r="C8" s="60">
        <v>1013</v>
      </c>
      <c r="D8" s="59">
        <v>1</v>
      </c>
      <c r="E8" s="59">
        <v>1</v>
      </c>
      <c r="F8" s="59">
        <v>1</v>
      </c>
      <c r="G8" s="59">
        <v>1041</v>
      </c>
      <c r="I8" s="59">
        <v>1</v>
      </c>
    </row>
    <row r="9" spans="1:9" x14ac:dyDescent="0.25">
      <c r="A9" s="1" t="s">
        <v>166</v>
      </c>
      <c r="B9" s="48">
        <v>46165</v>
      </c>
      <c r="C9" s="48">
        <v>61944</v>
      </c>
      <c r="D9" s="9">
        <v>45193</v>
      </c>
      <c r="E9" s="9">
        <v>62644</v>
      </c>
      <c r="F9" s="9">
        <v>50779</v>
      </c>
      <c r="G9" s="9">
        <v>46556</v>
      </c>
      <c r="I9" s="9">
        <v>27973</v>
      </c>
    </row>
    <row r="10" spans="1:9" x14ac:dyDescent="0.25">
      <c r="A10" s="1" t="s">
        <v>167</v>
      </c>
      <c r="B10" s="4" t="s">
        <v>399</v>
      </c>
      <c r="C10" s="4" t="s">
        <v>399</v>
      </c>
      <c r="D10" t="s">
        <v>399</v>
      </c>
      <c r="E10" t="s">
        <v>399</v>
      </c>
      <c r="F10" t="s">
        <v>399</v>
      </c>
      <c r="G10" t="s">
        <v>399</v>
      </c>
      <c r="I10" t="s">
        <v>400</v>
      </c>
    </row>
    <row r="11" spans="1:9" x14ac:dyDescent="0.25">
      <c r="A11" s="1" t="s">
        <v>168</v>
      </c>
      <c r="B11" s="4"/>
      <c r="C11" s="4"/>
    </row>
    <row r="12" spans="1:9" x14ac:dyDescent="0.25">
      <c r="A12" s="1" t="s">
        <v>169</v>
      </c>
      <c r="B12" s="4"/>
      <c r="C12" s="4"/>
    </row>
    <row r="15" spans="1:9" ht="15.75" x14ac:dyDescent="0.25">
      <c r="A15" s="37" t="s">
        <v>176</v>
      </c>
    </row>
    <row r="16" spans="1:9" ht="30" customHeight="1" x14ac:dyDescent="0.25">
      <c r="A16" s="113" t="s">
        <v>401</v>
      </c>
      <c r="B16" s="113"/>
      <c r="C16" s="113"/>
      <c r="D16" s="113"/>
      <c r="E16" s="113"/>
      <c r="F16" s="113"/>
      <c r="G16" s="113"/>
      <c r="H16" s="113"/>
      <c r="I16" s="113"/>
    </row>
    <row r="17" spans="1:9" ht="30" customHeight="1" x14ac:dyDescent="0.25">
      <c r="A17" s="113" t="s">
        <v>402</v>
      </c>
      <c r="B17" s="113"/>
      <c r="C17" s="113"/>
      <c r="D17" s="113"/>
      <c r="E17" s="113"/>
      <c r="F17" s="113"/>
      <c r="G17" s="113"/>
      <c r="H17" s="113"/>
      <c r="I17" s="113"/>
    </row>
    <row r="18" spans="1:9" ht="30" customHeight="1" x14ac:dyDescent="0.25">
      <c r="A18" s="113" t="s">
        <v>403</v>
      </c>
      <c r="B18" s="113"/>
      <c r="C18" s="113"/>
      <c r="D18" s="113"/>
      <c r="E18" s="113"/>
      <c r="F18" s="113"/>
      <c r="G18" s="113"/>
      <c r="H18" s="113"/>
      <c r="I18" s="113"/>
    </row>
    <row r="19" spans="1:9" ht="30" customHeight="1" x14ac:dyDescent="0.25">
      <c r="A19" s="113" t="s">
        <v>419</v>
      </c>
      <c r="B19" s="113"/>
      <c r="C19" s="113"/>
      <c r="D19" s="113"/>
      <c r="E19" s="113"/>
      <c r="F19" s="113"/>
      <c r="G19" s="113"/>
      <c r="H19" s="113"/>
      <c r="I19" s="113"/>
    </row>
    <row r="20" spans="1:9" ht="30" customHeight="1" x14ac:dyDescent="0.25">
      <c r="A20" s="113" t="s">
        <v>420</v>
      </c>
      <c r="B20" s="113"/>
      <c r="C20" s="113"/>
      <c r="D20" s="113"/>
      <c r="E20" s="113"/>
      <c r="F20" s="113"/>
      <c r="G20" s="113"/>
      <c r="H20" s="113"/>
      <c r="I20" s="113"/>
    </row>
    <row r="21" spans="1:9" ht="30" customHeight="1" x14ac:dyDescent="0.25">
      <c r="A21" s="113" t="s">
        <v>404</v>
      </c>
      <c r="B21" s="113"/>
      <c r="C21" s="113"/>
      <c r="D21" s="113"/>
      <c r="E21" s="113"/>
      <c r="F21" s="113"/>
      <c r="G21" s="113"/>
      <c r="H21" s="113"/>
      <c r="I21" s="113"/>
    </row>
    <row r="22" spans="1:9" ht="30" customHeight="1" x14ac:dyDescent="0.25">
      <c r="A22" s="113" t="s">
        <v>405</v>
      </c>
      <c r="B22" s="113"/>
      <c r="C22" s="113"/>
      <c r="D22" s="113"/>
      <c r="E22" s="113"/>
      <c r="F22" s="113"/>
      <c r="G22" s="113"/>
      <c r="H22" s="113"/>
      <c r="I22" s="113"/>
    </row>
    <row r="23" spans="1:9" ht="30" customHeight="1" x14ac:dyDescent="0.25">
      <c r="A23" s="113" t="s">
        <v>406</v>
      </c>
      <c r="B23" s="113"/>
      <c r="C23" s="113"/>
      <c r="D23" s="113"/>
      <c r="E23" s="113"/>
      <c r="F23" s="113"/>
      <c r="G23" s="113"/>
      <c r="H23" s="113"/>
      <c r="I23" s="113"/>
    </row>
    <row r="26" spans="1:9" ht="15.75" x14ac:dyDescent="0.25">
      <c r="A26" s="37" t="s">
        <v>184</v>
      </c>
    </row>
    <row r="27" spans="1:9" x14ac:dyDescent="0.25">
      <c r="A27" s="1" t="s">
        <v>43</v>
      </c>
      <c r="B27" s="1" t="s">
        <v>119</v>
      </c>
      <c r="C27" s="1" t="s">
        <v>392</v>
      </c>
      <c r="D27" s="1" t="s">
        <v>120</v>
      </c>
      <c r="E27" s="1" t="s">
        <v>418</v>
      </c>
    </row>
    <row r="28" spans="1:9" x14ac:dyDescent="0.25">
      <c r="A28" t="s">
        <v>53</v>
      </c>
      <c r="B28" s="6">
        <v>7</v>
      </c>
      <c r="C28" s="6">
        <v>10</v>
      </c>
      <c r="D28" s="6">
        <v>8</v>
      </c>
      <c r="E28" s="6">
        <v>0</v>
      </c>
    </row>
    <row r="29" spans="1:9" x14ac:dyDescent="0.25">
      <c r="A29" t="s">
        <v>56</v>
      </c>
      <c r="B29" s="6">
        <v>12</v>
      </c>
      <c r="C29" s="6">
        <v>9</v>
      </c>
      <c r="D29" s="6">
        <v>7</v>
      </c>
      <c r="E29" s="6">
        <v>0</v>
      </c>
    </row>
    <row r="30" spans="1:9" x14ac:dyDescent="0.25">
      <c r="A30" t="s">
        <v>58</v>
      </c>
      <c r="B30" s="6">
        <v>12</v>
      </c>
      <c r="C30" s="6">
        <v>7</v>
      </c>
      <c r="D30" s="6">
        <v>7</v>
      </c>
      <c r="E30" s="6">
        <v>0</v>
      </c>
    </row>
    <row r="31" spans="1:9" x14ac:dyDescent="0.25">
      <c r="A31" t="s">
        <v>59</v>
      </c>
      <c r="B31" s="6">
        <v>16</v>
      </c>
      <c r="C31" s="6">
        <v>4</v>
      </c>
      <c r="D31" s="6">
        <v>7</v>
      </c>
      <c r="E31" s="6">
        <v>0</v>
      </c>
    </row>
    <row r="32" spans="1:9" x14ac:dyDescent="0.25">
      <c r="A32" t="s">
        <v>61</v>
      </c>
      <c r="B32" s="6">
        <v>9</v>
      </c>
      <c r="C32" s="6">
        <v>4</v>
      </c>
      <c r="D32" s="6">
        <v>5</v>
      </c>
      <c r="E32" s="6">
        <v>0</v>
      </c>
    </row>
    <row r="33" spans="1:5" x14ac:dyDescent="0.25">
      <c r="A33" t="s">
        <v>64</v>
      </c>
      <c r="B33" s="6">
        <v>7</v>
      </c>
      <c r="C33" s="6">
        <v>5</v>
      </c>
      <c r="D33" s="6">
        <v>6</v>
      </c>
      <c r="E33" s="6">
        <v>2</v>
      </c>
    </row>
    <row r="34" spans="1:5" x14ac:dyDescent="0.25">
      <c r="A34" t="s">
        <v>66</v>
      </c>
      <c r="B34" s="6">
        <v>4</v>
      </c>
      <c r="C34" s="6">
        <v>5</v>
      </c>
      <c r="D34" s="6">
        <v>5</v>
      </c>
      <c r="E34" s="6">
        <v>5</v>
      </c>
    </row>
    <row r="35" spans="1:5" x14ac:dyDescent="0.25">
      <c r="A35" t="s">
        <v>68</v>
      </c>
      <c r="B35" s="6">
        <v>9</v>
      </c>
      <c r="C35" s="6">
        <v>3</v>
      </c>
      <c r="D35" s="6">
        <v>7</v>
      </c>
      <c r="E35" s="6">
        <v>0</v>
      </c>
    </row>
    <row r="36" spans="1:5" x14ac:dyDescent="0.25">
      <c r="A36" t="s">
        <v>71</v>
      </c>
      <c r="B36" s="6">
        <v>8</v>
      </c>
      <c r="C36" s="6">
        <v>5</v>
      </c>
      <c r="D36" s="6">
        <v>8</v>
      </c>
      <c r="E36" s="6">
        <v>5</v>
      </c>
    </row>
    <row r="37" spans="1:5" x14ac:dyDescent="0.25">
      <c r="A37" t="s">
        <v>74</v>
      </c>
      <c r="B37" s="6">
        <v>13</v>
      </c>
      <c r="C37" s="6">
        <v>5</v>
      </c>
      <c r="D37" s="6">
        <v>9</v>
      </c>
      <c r="E37" s="6">
        <v>5</v>
      </c>
    </row>
    <row r="38" spans="1:5" x14ac:dyDescent="0.25">
      <c r="A38" t="s">
        <v>76</v>
      </c>
      <c r="B38" s="6">
        <v>17</v>
      </c>
      <c r="C38" s="6">
        <v>7</v>
      </c>
      <c r="D38" s="6">
        <v>8</v>
      </c>
      <c r="E38" s="6">
        <v>3</v>
      </c>
    </row>
    <row r="39" spans="1:5" x14ac:dyDescent="0.25">
      <c r="A39" t="s">
        <v>78</v>
      </c>
      <c r="B39" s="6">
        <v>12</v>
      </c>
      <c r="C39" s="6">
        <v>7</v>
      </c>
      <c r="D39" s="6">
        <v>7</v>
      </c>
      <c r="E39" s="6">
        <v>5</v>
      </c>
    </row>
  </sheetData>
  <mergeCells count="10">
    <mergeCell ref="A20:I20"/>
    <mergeCell ref="A21:I21"/>
    <mergeCell ref="A22:I22"/>
    <mergeCell ref="A23:I23"/>
    <mergeCell ref="A1:I1"/>
    <mergeCell ref="A2:I2"/>
    <mergeCell ref="A16:I16"/>
    <mergeCell ref="A17:I17"/>
    <mergeCell ref="A18:I18"/>
    <mergeCell ref="A19:I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C7E7-6630-49D7-89D2-AD4539A41812}">
  <dimension ref="A1:G31"/>
  <sheetViews>
    <sheetView workbookViewId="0">
      <selection sqref="A1:G1"/>
    </sheetView>
  </sheetViews>
  <sheetFormatPr baseColWidth="10" defaultRowHeight="15" x14ac:dyDescent="0.25"/>
  <cols>
    <col min="1" max="7" width="14.7109375" customWidth="1"/>
  </cols>
  <sheetData>
    <row r="1" spans="1:7" ht="18.75" x14ac:dyDescent="0.3">
      <c r="A1" s="110" t="s">
        <v>407</v>
      </c>
      <c r="B1" s="110"/>
      <c r="C1" s="110"/>
      <c r="D1" s="110"/>
      <c r="E1" s="110"/>
      <c r="F1" s="110"/>
      <c r="G1" s="110"/>
    </row>
    <row r="3" spans="1:7" x14ac:dyDescent="0.25">
      <c r="A3" s="5" t="s">
        <v>186</v>
      </c>
      <c r="B3" s="5" t="s">
        <v>187</v>
      </c>
      <c r="C3" s="5" t="s">
        <v>188</v>
      </c>
      <c r="D3" s="5" t="s">
        <v>189</v>
      </c>
      <c r="E3" s="5" t="s">
        <v>165</v>
      </c>
      <c r="F3" s="5" t="s">
        <v>190</v>
      </c>
      <c r="G3" s="5" t="s">
        <v>191</v>
      </c>
    </row>
    <row r="4" spans="1:7" x14ac:dyDescent="0.25">
      <c r="A4">
        <v>2024</v>
      </c>
      <c r="B4" s="9">
        <v>5959882</v>
      </c>
      <c r="C4" s="9">
        <v>6509332</v>
      </c>
      <c r="D4" s="6">
        <v>141</v>
      </c>
      <c r="E4" s="59">
        <v>1003</v>
      </c>
      <c r="F4" s="40">
        <v>0.39410000000000001</v>
      </c>
      <c r="G4" t="s">
        <v>192</v>
      </c>
    </row>
    <row r="5" spans="1:7" x14ac:dyDescent="0.25">
      <c r="A5">
        <v>2025</v>
      </c>
      <c r="B5" s="9">
        <v>7240208</v>
      </c>
      <c r="C5" s="9">
        <v>7805002</v>
      </c>
      <c r="D5" s="6">
        <v>126</v>
      </c>
      <c r="E5" s="59">
        <v>1013</v>
      </c>
      <c r="F5" s="40">
        <v>0.43890000000000001</v>
      </c>
      <c r="G5" s="62">
        <v>4.48E-2</v>
      </c>
    </row>
    <row r="6" spans="1:7" x14ac:dyDescent="0.25">
      <c r="A6" t="s">
        <v>193</v>
      </c>
      <c r="B6" s="9">
        <v>3458045</v>
      </c>
      <c r="C6" s="9">
        <v>3725217</v>
      </c>
      <c r="D6" s="6">
        <v>44</v>
      </c>
      <c r="E6" s="59">
        <v>1003</v>
      </c>
      <c r="F6" s="40">
        <v>0.48</v>
      </c>
      <c r="G6" s="62">
        <v>4.1099999999999998E-2</v>
      </c>
    </row>
    <row r="9" spans="1:7" ht="15.75" x14ac:dyDescent="0.25">
      <c r="A9" s="37" t="s">
        <v>194</v>
      </c>
    </row>
    <row r="10" spans="1:7" ht="30" customHeight="1" x14ac:dyDescent="0.25">
      <c r="A10" s="113" t="s">
        <v>408</v>
      </c>
      <c r="B10" s="113"/>
      <c r="C10" s="113"/>
      <c r="D10" s="113"/>
      <c r="E10" s="113"/>
      <c r="F10" s="113"/>
      <c r="G10" s="113"/>
    </row>
    <row r="11" spans="1:7" ht="30" customHeight="1" x14ac:dyDescent="0.25">
      <c r="A11" s="113" t="s">
        <v>409</v>
      </c>
      <c r="B11" s="113"/>
      <c r="C11" s="113"/>
      <c r="D11" s="113"/>
      <c r="E11" s="113"/>
      <c r="F11" s="113"/>
      <c r="G11" s="113"/>
    </row>
    <row r="12" spans="1:7" ht="30" customHeight="1" x14ac:dyDescent="0.25">
      <c r="A12" s="113" t="s">
        <v>410</v>
      </c>
      <c r="B12" s="113"/>
      <c r="C12" s="113"/>
      <c r="D12" s="113"/>
      <c r="E12" s="113"/>
      <c r="F12" s="113"/>
      <c r="G12" s="113"/>
    </row>
    <row r="13" spans="1:7" ht="30" customHeight="1" x14ac:dyDescent="0.25">
      <c r="A13" s="113" t="s">
        <v>411</v>
      </c>
      <c r="B13" s="113"/>
      <c r="C13" s="113"/>
      <c r="D13" s="113"/>
      <c r="E13" s="113"/>
      <c r="F13" s="113"/>
      <c r="G13" s="113"/>
    </row>
    <row r="14" spans="1:7" ht="30" customHeight="1" x14ac:dyDescent="0.25">
      <c r="A14" s="113" t="s">
        <v>412</v>
      </c>
      <c r="B14" s="113"/>
      <c r="C14" s="113"/>
      <c r="D14" s="113"/>
      <c r="E14" s="113"/>
      <c r="F14" s="113"/>
      <c r="G14" s="113"/>
    </row>
    <row r="15" spans="1:7" ht="30" customHeight="1" x14ac:dyDescent="0.25">
      <c r="A15" s="113" t="s">
        <v>413</v>
      </c>
      <c r="B15" s="113"/>
      <c r="C15" s="113"/>
      <c r="D15" s="113"/>
      <c r="E15" s="113"/>
      <c r="F15" s="113"/>
      <c r="G15" s="113"/>
    </row>
    <row r="18" spans="1:3" ht="15.75" x14ac:dyDescent="0.25">
      <c r="A18" s="37" t="s">
        <v>414</v>
      </c>
    </row>
    <row r="19" spans="1:3" x14ac:dyDescent="0.25">
      <c r="A19" s="1" t="s">
        <v>43</v>
      </c>
      <c r="B19" s="1">
        <v>2024</v>
      </c>
      <c r="C19" s="1">
        <v>2025</v>
      </c>
    </row>
    <row r="20" spans="1:3" x14ac:dyDescent="0.25">
      <c r="A20" t="s">
        <v>53</v>
      </c>
      <c r="B20" s="6">
        <v>5</v>
      </c>
      <c r="C20" s="6">
        <v>7</v>
      </c>
    </row>
    <row r="21" spans="1:3" x14ac:dyDescent="0.25">
      <c r="A21" t="s">
        <v>56</v>
      </c>
      <c r="B21" s="6">
        <v>14</v>
      </c>
      <c r="C21" s="6">
        <v>12</v>
      </c>
    </row>
    <row r="22" spans="1:3" x14ac:dyDescent="0.25">
      <c r="A22" t="s">
        <v>58</v>
      </c>
      <c r="B22" s="6">
        <v>9</v>
      </c>
      <c r="C22" s="6">
        <v>12</v>
      </c>
    </row>
    <row r="23" spans="1:3" x14ac:dyDescent="0.25">
      <c r="A23" t="s">
        <v>59</v>
      </c>
      <c r="B23" s="6">
        <v>13</v>
      </c>
      <c r="C23" s="6">
        <v>16</v>
      </c>
    </row>
    <row r="24" spans="1:3" x14ac:dyDescent="0.25">
      <c r="A24" t="s">
        <v>61</v>
      </c>
      <c r="B24" s="6">
        <v>9</v>
      </c>
      <c r="C24" s="6">
        <v>9</v>
      </c>
    </row>
    <row r="25" spans="1:3" x14ac:dyDescent="0.25">
      <c r="A25" t="s">
        <v>64</v>
      </c>
      <c r="B25" s="6">
        <v>5</v>
      </c>
      <c r="C25" s="6">
        <v>7</v>
      </c>
    </row>
    <row r="26" spans="1:3" x14ac:dyDescent="0.25">
      <c r="A26" t="s">
        <v>66</v>
      </c>
      <c r="B26" s="6">
        <v>19</v>
      </c>
      <c r="C26" s="6">
        <v>4</v>
      </c>
    </row>
    <row r="27" spans="1:3" x14ac:dyDescent="0.25">
      <c r="A27" t="s">
        <v>68</v>
      </c>
      <c r="B27" s="6">
        <v>13</v>
      </c>
      <c r="C27" s="6">
        <v>9</v>
      </c>
    </row>
    <row r="28" spans="1:3" x14ac:dyDescent="0.25">
      <c r="A28" t="s">
        <v>71</v>
      </c>
      <c r="B28" s="6">
        <v>15</v>
      </c>
      <c r="C28" s="6">
        <v>8</v>
      </c>
    </row>
    <row r="29" spans="1:3" x14ac:dyDescent="0.25">
      <c r="A29" t="s">
        <v>74</v>
      </c>
      <c r="B29" s="6">
        <v>16</v>
      </c>
      <c r="C29" s="6">
        <v>13</v>
      </c>
    </row>
    <row r="30" spans="1:3" x14ac:dyDescent="0.25">
      <c r="A30" t="s">
        <v>76</v>
      </c>
      <c r="B30" s="6">
        <v>13</v>
      </c>
      <c r="C30" s="6">
        <v>17</v>
      </c>
    </row>
    <row r="31" spans="1:3" x14ac:dyDescent="0.25">
      <c r="A31" t="s">
        <v>78</v>
      </c>
      <c r="B31" s="6">
        <v>10</v>
      </c>
      <c r="C31" s="6">
        <v>12</v>
      </c>
    </row>
  </sheetData>
  <mergeCells count="7">
    <mergeCell ref="A15:G15"/>
    <mergeCell ref="A1:G1"/>
    <mergeCell ref="A10:G10"/>
    <mergeCell ref="A11:G11"/>
    <mergeCell ref="A12:G12"/>
    <mergeCell ref="A13:G13"/>
    <mergeCell ref="A14:G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BF4F-D31B-48EC-ABA6-B478ADB92568}">
  <dimension ref="A1:I30"/>
  <sheetViews>
    <sheetView workbookViewId="0">
      <selection sqref="A1:H1"/>
    </sheetView>
  </sheetViews>
  <sheetFormatPr baseColWidth="10" defaultRowHeight="15" x14ac:dyDescent="0.25"/>
  <cols>
    <col min="1" max="1" width="22.7109375" customWidth="1"/>
    <col min="2" max="9" width="14.7109375" customWidth="1"/>
  </cols>
  <sheetData>
    <row r="1" spans="1:9" ht="18.75" x14ac:dyDescent="0.3">
      <c r="A1" s="110" t="s">
        <v>429</v>
      </c>
      <c r="B1" s="110"/>
      <c r="C1" s="110"/>
      <c r="D1" s="110"/>
      <c r="E1" s="110"/>
      <c r="F1" s="110"/>
      <c r="G1" s="110"/>
      <c r="H1" s="110"/>
    </row>
    <row r="2" spans="1:9" x14ac:dyDescent="0.25">
      <c r="A2" s="111" t="s">
        <v>430</v>
      </c>
      <c r="B2" s="112"/>
      <c r="C2" s="112"/>
      <c r="D2" s="112"/>
      <c r="E2" s="112"/>
      <c r="F2" s="112"/>
      <c r="G2" s="112"/>
      <c r="H2" s="112"/>
    </row>
    <row r="4" spans="1:9" x14ac:dyDescent="0.25">
      <c r="A4" s="5" t="s">
        <v>43</v>
      </c>
      <c r="B4" s="5" t="s">
        <v>129</v>
      </c>
      <c r="C4" s="5" t="s">
        <v>130</v>
      </c>
      <c r="D4" s="5" t="s">
        <v>431</v>
      </c>
      <c r="E4" s="5" t="s">
        <v>432</v>
      </c>
      <c r="F4" s="5" t="s">
        <v>134</v>
      </c>
      <c r="G4" s="5" t="s">
        <v>135</v>
      </c>
      <c r="H4" s="5" t="s">
        <v>433</v>
      </c>
      <c r="I4" s="5" t="s">
        <v>280</v>
      </c>
    </row>
    <row r="5" spans="1:9" x14ac:dyDescent="0.25">
      <c r="A5" s="11" t="s">
        <v>53</v>
      </c>
      <c r="B5" s="15">
        <v>464955.33333333331</v>
      </c>
      <c r="C5" s="15">
        <v>517157.71428571432</v>
      </c>
      <c r="D5" s="15">
        <v>707327.38636363647</v>
      </c>
      <c r="E5" s="106">
        <v>0.36772084573964037</v>
      </c>
      <c r="F5" s="12">
        <v>11</v>
      </c>
      <c r="G5" s="12">
        <v>9</v>
      </c>
      <c r="H5" s="12">
        <v>9</v>
      </c>
      <c r="I5" s="11" t="s">
        <v>337</v>
      </c>
    </row>
    <row r="6" spans="1:9" x14ac:dyDescent="0.25">
      <c r="A6" s="11" t="s">
        <v>56</v>
      </c>
      <c r="B6" s="15">
        <v>507224</v>
      </c>
      <c r="C6" s="15">
        <v>517157.71428571432</v>
      </c>
      <c r="D6" s="15">
        <v>628735.45454545459</v>
      </c>
      <c r="E6" s="106">
        <v>0.21575186287968021</v>
      </c>
      <c r="F6" s="12">
        <v>12</v>
      </c>
      <c r="G6" s="12">
        <v>9</v>
      </c>
      <c r="H6" s="12">
        <v>8</v>
      </c>
      <c r="I6" s="11" t="s">
        <v>337</v>
      </c>
    </row>
    <row r="7" spans="1:9" x14ac:dyDescent="0.25">
      <c r="A7" s="11" t="s">
        <v>58</v>
      </c>
      <c r="B7" s="15">
        <v>591761.33333333326</v>
      </c>
      <c r="C7" s="15">
        <v>689543.61904761905</v>
      </c>
      <c r="D7" s="15">
        <v>707327.38636363647</v>
      </c>
      <c r="E7" s="105">
        <v>2.5790634304730317E-2</v>
      </c>
      <c r="F7" s="12">
        <v>14</v>
      </c>
      <c r="G7" s="12">
        <v>12</v>
      </c>
      <c r="H7" s="12">
        <v>9</v>
      </c>
      <c r="I7" s="11" t="s">
        <v>337</v>
      </c>
    </row>
    <row r="8" spans="1:9" x14ac:dyDescent="0.25">
      <c r="A8" s="11" t="s">
        <v>59</v>
      </c>
      <c r="B8" s="15">
        <v>549492.66666666663</v>
      </c>
      <c r="C8" s="15">
        <v>804467.5555555555</v>
      </c>
      <c r="D8" s="15">
        <v>785919.31818181823</v>
      </c>
      <c r="E8" s="105">
        <v>-2.305653875739971E-2</v>
      </c>
      <c r="F8" s="12">
        <v>13</v>
      </c>
      <c r="G8" s="12">
        <v>14</v>
      </c>
      <c r="H8" s="12">
        <v>10</v>
      </c>
      <c r="I8" s="11" t="s">
        <v>337</v>
      </c>
    </row>
    <row r="9" spans="1:9" x14ac:dyDescent="0.25">
      <c r="A9" s="11" t="s">
        <v>61</v>
      </c>
      <c r="B9" s="15">
        <v>549492.66666666663</v>
      </c>
      <c r="C9" s="15">
        <v>632081.65079365077</v>
      </c>
      <c r="D9" s="15">
        <v>628735.45454545459</v>
      </c>
      <c r="E9" s="105">
        <v>-5.293930371170639E-3</v>
      </c>
      <c r="F9" s="12">
        <v>13</v>
      </c>
      <c r="G9" s="12">
        <v>11</v>
      </c>
      <c r="H9" s="12">
        <v>8</v>
      </c>
      <c r="I9" s="11" t="s">
        <v>337</v>
      </c>
    </row>
    <row r="10" spans="1:9" x14ac:dyDescent="0.25">
      <c r="A10" t="s">
        <v>64</v>
      </c>
      <c r="B10" s="9">
        <v>464955.33333333331</v>
      </c>
      <c r="C10" s="9">
        <v>632081.65079365077</v>
      </c>
      <c r="D10" s="9">
        <v>864511.25</v>
      </c>
      <c r="E10" s="107">
        <v>0.36772084573964026</v>
      </c>
      <c r="F10" s="6">
        <v>11</v>
      </c>
      <c r="G10" s="6">
        <v>11</v>
      </c>
      <c r="H10" s="6">
        <v>11</v>
      </c>
      <c r="I10" s="100" t="s">
        <v>434</v>
      </c>
    </row>
    <row r="11" spans="1:9" x14ac:dyDescent="0.25">
      <c r="A11" t="s">
        <v>66</v>
      </c>
      <c r="B11" s="9">
        <v>464955.33333333331</v>
      </c>
      <c r="C11" s="9">
        <v>574619.6825396826</v>
      </c>
      <c r="D11" s="9">
        <v>785919.31818181823</v>
      </c>
      <c r="E11" s="107">
        <v>0.36772084573964015</v>
      </c>
      <c r="F11" s="6">
        <v>11</v>
      </c>
      <c r="G11" s="6">
        <v>10</v>
      </c>
      <c r="H11" s="6">
        <v>10</v>
      </c>
      <c r="I11" s="100" t="s">
        <v>434</v>
      </c>
    </row>
    <row r="12" spans="1:9" x14ac:dyDescent="0.25">
      <c r="A12" t="s">
        <v>68</v>
      </c>
      <c r="B12" s="9">
        <v>464955.33333333331</v>
      </c>
      <c r="C12" s="9">
        <v>517157.71428571432</v>
      </c>
      <c r="D12" s="9">
        <v>707327.38636363647</v>
      </c>
      <c r="E12" s="107">
        <v>0.36772084573964037</v>
      </c>
      <c r="F12" s="6">
        <v>11</v>
      </c>
      <c r="G12" s="6">
        <v>9</v>
      </c>
      <c r="H12" s="6">
        <v>9</v>
      </c>
      <c r="I12" s="100" t="s">
        <v>434</v>
      </c>
    </row>
    <row r="13" spans="1:9" x14ac:dyDescent="0.25">
      <c r="A13" t="s">
        <v>71</v>
      </c>
      <c r="B13" s="9">
        <v>464955.33333333331</v>
      </c>
      <c r="C13" s="9">
        <v>517157.71428571432</v>
      </c>
      <c r="D13" s="9">
        <v>707327.38636363647</v>
      </c>
      <c r="E13" s="107">
        <v>0.36772084573964037</v>
      </c>
      <c r="F13" s="6">
        <v>11</v>
      </c>
      <c r="G13" s="6">
        <v>9</v>
      </c>
      <c r="H13" s="6">
        <v>9</v>
      </c>
      <c r="I13" s="100" t="s">
        <v>434</v>
      </c>
    </row>
    <row r="14" spans="1:9" x14ac:dyDescent="0.25">
      <c r="A14" t="s">
        <v>74</v>
      </c>
      <c r="B14" s="9">
        <v>464955.33333333331</v>
      </c>
      <c r="C14" s="9">
        <v>632081.65079365077</v>
      </c>
      <c r="D14" s="9">
        <v>864511.25</v>
      </c>
      <c r="E14" s="107">
        <v>0.36772084573964026</v>
      </c>
      <c r="F14" s="6">
        <v>11</v>
      </c>
      <c r="G14" s="6">
        <v>11</v>
      </c>
      <c r="H14" s="6">
        <v>11</v>
      </c>
      <c r="I14" s="100" t="s">
        <v>434</v>
      </c>
    </row>
    <row r="15" spans="1:9" x14ac:dyDescent="0.25">
      <c r="A15" t="s">
        <v>76</v>
      </c>
      <c r="B15" s="9">
        <v>507224</v>
      </c>
      <c r="C15" s="9">
        <v>689543.61904761905</v>
      </c>
      <c r="D15" s="9">
        <v>943103.18181818188</v>
      </c>
      <c r="E15" s="107">
        <v>0.36772084573964031</v>
      </c>
      <c r="F15" s="6">
        <v>12</v>
      </c>
      <c r="G15" s="6">
        <v>12</v>
      </c>
      <c r="H15" s="6">
        <v>12</v>
      </c>
      <c r="I15" s="100" t="s">
        <v>434</v>
      </c>
    </row>
    <row r="16" spans="1:9" x14ac:dyDescent="0.25">
      <c r="A16" t="s">
        <v>78</v>
      </c>
      <c r="B16" s="9">
        <v>464955.33333333331</v>
      </c>
      <c r="C16" s="9">
        <v>517157.71428571432</v>
      </c>
      <c r="D16" s="9">
        <v>707327.38636363647</v>
      </c>
      <c r="E16" s="107">
        <v>0.36772084573964037</v>
      </c>
      <c r="F16" s="6">
        <v>11</v>
      </c>
      <c r="G16" s="6">
        <v>9</v>
      </c>
      <c r="H16" s="6">
        <v>9</v>
      </c>
      <c r="I16" s="100" t="s">
        <v>434</v>
      </c>
    </row>
    <row r="17" spans="1:9" x14ac:dyDescent="0.25">
      <c r="A17" s="29" t="s">
        <v>435</v>
      </c>
      <c r="B17" s="32">
        <v>5959881.9999999991</v>
      </c>
      <c r="C17" s="32">
        <v>7240208.0000000009</v>
      </c>
      <c r="D17" s="32">
        <v>9038072.1590909101</v>
      </c>
      <c r="E17" s="95">
        <v>0.2483166449211002</v>
      </c>
      <c r="F17" s="30">
        <v>141</v>
      </c>
      <c r="G17" s="30">
        <v>126</v>
      </c>
      <c r="H17" s="30">
        <v>114</v>
      </c>
      <c r="I17" s="29"/>
    </row>
    <row r="19" spans="1:9" ht="15.75" x14ac:dyDescent="0.25">
      <c r="A19" s="37" t="s">
        <v>436</v>
      </c>
    </row>
    <row r="20" spans="1:9" ht="17.25" x14ac:dyDescent="0.3">
      <c r="A20" s="1" t="s">
        <v>437</v>
      </c>
      <c r="D20" s="109">
        <v>9038072.1590909101</v>
      </c>
    </row>
    <row r="21" spans="1:9" x14ac:dyDescent="0.25">
      <c r="A21" s="1" t="s">
        <v>438</v>
      </c>
      <c r="D21" s="108">
        <v>0.2483166449211002</v>
      </c>
    </row>
    <row r="22" spans="1:9" x14ac:dyDescent="0.25">
      <c r="A22" s="1" t="s">
        <v>439</v>
      </c>
      <c r="B22" s="111" t="s">
        <v>440</v>
      </c>
      <c r="C22" s="112"/>
      <c r="D22" s="112"/>
      <c r="E22" s="112"/>
      <c r="F22" s="112"/>
      <c r="G22" s="112"/>
      <c r="H22" s="112"/>
      <c r="I22" s="112"/>
    </row>
    <row r="24" spans="1:9" ht="15.75" x14ac:dyDescent="0.25">
      <c r="A24" s="37" t="s">
        <v>194</v>
      </c>
    </row>
    <row r="25" spans="1:9" ht="30" customHeight="1" x14ac:dyDescent="0.25">
      <c r="A25" s="113" t="s">
        <v>441</v>
      </c>
      <c r="B25" s="113"/>
      <c r="C25" s="113"/>
      <c r="D25" s="113"/>
      <c r="E25" s="113"/>
      <c r="F25" s="113"/>
      <c r="G25" s="113"/>
      <c r="H25" s="113"/>
      <c r="I25" s="113"/>
    </row>
    <row r="26" spans="1:9" ht="30" customHeight="1" x14ac:dyDescent="0.25">
      <c r="A26" s="113" t="s">
        <v>442</v>
      </c>
      <c r="B26" s="113"/>
      <c r="C26" s="113"/>
      <c r="D26" s="113"/>
      <c r="E26" s="113"/>
      <c r="F26" s="113"/>
      <c r="G26" s="113"/>
      <c r="H26" s="113"/>
      <c r="I26" s="113"/>
    </row>
    <row r="27" spans="1:9" ht="30" customHeight="1" x14ac:dyDescent="0.25">
      <c r="A27" s="113" t="s">
        <v>443</v>
      </c>
      <c r="B27" s="113"/>
      <c r="C27" s="113"/>
      <c r="D27" s="113"/>
      <c r="E27" s="113"/>
      <c r="F27" s="113"/>
      <c r="G27" s="113"/>
      <c r="H27" s="113"/>
      <c r="I27" s="113"/>
    </row>
    <row r="28" spans="1:9" ht="30" customHeight="1" x14ac:dyDescent="0.25">
      <c r="A28" s="113" t="s">
        <v>444</v>
      </c>
      <c r="B28" s="113"/>
      <c r="C28" s="113"/>
      <c r="D28" s="113"/>
      <c r="E28" s="113"/>
      <c r="F28" s="113"/>
      <c r="G28" s="113"/>
      <c r="H28" s="113"/>
      <c r="I28" s="113"/>
    </row>
    <row r="29" spans="1:9" ht="30" customHeight="1" x14ac:dyDescent="0.25">
      <c r="A29" s="113" t="s">
        <v>445</v>
      </c>
      <c r="B29" s="113"/>
      <c r="C29" s="113"/>
      <c r="D29" s="113"/>
      <c r="E29" s="113"/>
      <c r="F29" s="113"/>
      <c r="G29" s="113"/>
      <c r="H29" s="113"/>
      <c r="I29" s="113"/>
    </row>
    <row r="30" spans="1:9" ht="30" customHeight="1" x14ac:dyDescent="0.25">
      <c r="A30" s="113" t="s">
        <v>446</v>
      </c>
      <c r="B30" s="113"/>
      <c r="C30" s="113"/>
      <c r="D30" s="113"/>
      <c r="E30" s="113"/>
      <c r="F30" s="113"/>
      <c r="G30" s="113"/>
      <c r="H30" s="113"/>
      <c r="I30" s="113"/>
    </row>
  </sheetData>
  <mergeCells count="9">
    <mergeCell ref="A28:I28"/>
    <mergeCell ref="A29:I29"/>
    <mergeCell ref="A30:I30"/>
    <mergeCell ref="A1:H1"/>
    <mergeCell ref="A2:H2"/>
    <mergeCell ref="B22:I22"/>
    <mergeCell ref="A25:I25"/>
    <mergeCell ref="A26:I26"/>
    <mergeCell ref="A27:I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6274-B545-42FD-B412-81D4D2C1F366}">
  <dimension ref="A1:F23"/>
  <sheetViews>
    <sheetView workbookViewId="0">
      <selection sqref="A1:F1"/>
    </sheetView>
  </sheetViews>
  <sheetFormatPr baseColWidth="10" defaultRowHeight="15" x14ac:dyDescent="0.25"/>
  <cols>
    <col min="1" max="1" width="28.7109375" customWidth="1"/>
    <col min="2" max="4" width="18.7109375" customWidth="1"/>
    <col min="5" max="6" width="26.7109375" customWidth="1"/>
  </cols>
  <sheetData>
    <row r="1" spans="1:6" ht="36" customHeight="1" x14ac:dyDescent="0.35">
      <c r="A1" s="120" t="s">
        <v>0</v>
      </c>
      <c r="B1" s="120"/>
      <c r="C1" s="120"/>
      <c r="D1" s="120"/>
      <c r="E1" s="120"/>
      <c r="F1" s="120"/>
    </row>
    <row r="2" spans="1:6" x14ac:dyDescent="0.25">
      <c r="A2" s="121" t="s">
        <v>1</v>
      </c>
      <c r="B2" s="121"/>
      <c r="C2" s="121"/>
      <c r="D2" s="121"/>
      <c r="E2" s="121"/>
      <c r="F2" s="121"/>
    </row>
    <row r="4" spans="1:6" ht="18.75" x14ac:dyDescent="0.3">
      <c r="A4" s="122" t="s">
        <v>2</v>
      </c>
      <c r="B4" s="112"/>
      <c r="C4" s="112"/>
      <c r="D4" s="112"/>
      <c r="E4" s="112"/>
      <c r="F4" s="112"/>
    </row>
    <row r="5" spans="1:6" ht="15.75" x14ac:dyDescent="0.25">
      <c r="A5" s="123" t="s">
        <v>3</v>
      </c>
      <c r="B5" s="112"/>
      <c r="C5" s="112"/>
      <c r="D5" s="112"/>
      <c r="E5" s="112"/>
      <c r="F5" s="112"/>
    </row>
    <row r="7" spans="1:6" ht="15.75" x14ac:dyDescent="0.25">
      <c r="A7" s="119" t="s">
        <v>4</v>
      </c>
      <c r="B7" s="112"/>
      <c r="C7" s="112"/>
      <c r="D7" s="112"/>
      <c r="E7" s="112"/>
      <c r="F7" s="112"/>
    </row>
    <row r="8" spans="1:6" x14ac:dyDescent="0.25">
      <c r="A8" s="1" t="s">
        <v>5</v>
      </c>
      <c r="B8" s="118" t="s">
        <v>6</v>
      </c>
      <c r="C8" s="112"/>
      <c r="D8" s="112"/>
      <c r="E8" s="111" t="s">
        <v>7</v>
      </c>
      <c r="F8" s="112"/>
    </row>
    <row r="9" spans="1:6" x14ac:dyDescent="0.25">
      <c r="A9" s="1" t="s">
        <v>8</v>
      </c>
      <c r="B9" s="118" t="s">
        <v>9</v>
      </c>
      <c r="C9" s="112"/>
      <c r="D9" s="112"/>
      <c r="E9" s="111" t="s">
        <v>10</v>
      </c>
      <c r="F9" s="112"/>
    </row>
    <row r="10" spans="1:6" x14ac:dyDescent="0.25">
      <c r="A10" s="1" t="s">
        <v>11</v>
      </c>
      <c r="B10" s="118" t="s">
        <v>12</v>
      </c>
      <c r="C10" s="112"/>
      <c r="D10" s="112"/>
      <c r="E10" s="111" t="s">
        <v>13</v>
      </c>
      <c r="F10" s="112"/>
    </row>
    <row r="11" spans="1:6" x14ac:dyDescent="0.25">
      <c r="A11" s="1" t="s">
        <v>14</v>
      </c>
      <c r="B11" s="118" t="s">
        <v>15</v>
      </c>
      <c r="C11" s="112"/>
      <c r="D11" s="112"/>
      <c r="E11" s="111" t="s">
        <v>16</v>
      </c>
      <c r="F11" s="112"/>
    </row>
    <row r="13" spans="1:6" ht="15.75" x14ac:dyDescent="0.25">
      <c r="A13" s="119" t="s">
        <v>17</v>
      </c>
      <c r="B13" s="112"/>
      <c r="C13" s="112"/>
      <c r="D13" s="112"/>
      <c r="E13" s="112"/>
      <c r="F13" s="112"/>
    </row>
    <row r="14" spans="1:6" x14ac:dyDescent="0.25">
      <c r="A14" s="1" t="s">
        <v>18</v>
      </c>
      <c r="B14" s="118" t="s">
        <v>19</v>
      </c>
      <c r="C14" s="112"/>
      <c r="D14" s="112"/>
      <c r="E14" s="111" t="s">
        <v>20</v>
      </c>
      <c r="F14" s="112"/>
    </row>
    <row r="15" spans="1:6" x14ac:dyDescent="0.25">
      <c r="A15" s="1" t="s">
        <v>21</v>
      </c>
      <c r="B15" s="118" t="s">
        <v>22</v>
      </c>
      <c r="C15" s="112"/>
      <c r="D15" s="112"/>
      <c r="E15" s="111" t="s">
        <v>23</v>
      </c>
      <c r="F15" s="112"/>
    </row>
    <row r="16" spans="1:6" x14ac:dyDescent="0.25">
      <c r="A16" s="1" t="s">
        <v>24</v>
      </c>
      <c r="B16" s="118" t="s">
        <v>25</v>
      </c>
      <c r="C16" s="112"/>
      <c r="D16" s="112"/>
      <c r="E16" s="111" t="s">
        <v>26</v>
      </c>
      <c r="F16" s="112"/>
    </row>
    <row r="17" spans="1:6" x14ac:dyDescent="0.25">
      <c r="A17" s="1" t="s">
        <v>27</v>
      </c>
      <c r="B17" s="118" t="s">
        <v>28</v>
      </c>
      <c r="C17" s="112"/>
      <c r="D17" s="112"/>
      <c r="E17" s="111" t="s">
        <v>29</v>
      </c>
      <c r="F17" s="112"/>
    </row>
    <row r="19" spans="1:6" ht="15.75" x14ac:dyDescent="0.25">
      <c r="A19" s="119" t="s">
        <v>30</v>
      </c>
      <c r="B19" s="112"/>
      <c r="C19" s="112"/>
      <c r="D19" s="112"/>
      <c r="E19" s="112"/>
      <c r="F19" s="112"/>
    </row>
    <row r="20" spans="1:6" x14ac:dyDescent="0.25">
      <c r="A20" s="3">
        <v>46333</v>
      </c>
      <c r="B20" s="4" t="s">
        <v>31</v>
      </c>
      <c r="C20" s="115" t="s">
        <v>32</v>
      </c>
      <c r="D20" s="115"/>
      <c r="E20" s="115"/>
      <c r="F20" s="115"/>
    </row>
    <row r="21" spans="1:6" x14ac:dyDescent="0.25">
      <c r="A21" s="2">
        <v>46242</v>
      </c>
      <c r="B21" t="s">
        <v>33</v>
      </c>
      <c r="C21" s="112" t="s">
        <v>34</v>
      </c>
      <c r="D21" s="112"/>
      <c r="E21" s="112"/>
      <c r="F21" s="112"/>
    </row>
    <row r="22" spans="1:6" x14ac:dyDescent="0.25">
      <c r="A22" s="1" t="s">
        <v>35</v>
      </c>
      <c r="B22" t="s">
        <v>36</v>
      </c>
      <c r="C22" s="112" t="s">
        <v>37</v>
      </c>
      <c r="D22" s="112"/>
      <c r="E22" s="112"/>
      <c r="F22" s="112"/>
    </row>
    <row r="23" spans="1:6" x14ac:dyDescent="0.25">
      <c r="A23" s="1" t="s">
        <v>38</v>
      </c>
      <c r="B23" t="s">
        <v>39</v>
      </c>
      <c r="C23" s="112" t="s">
        <v>40</v>
      </c>
      <c r="D23" s="112"/>
      <c r="E23" s="112"/>
      <c r="F23" s="112"/>
    </row>
  </sheetData>
  <mergeCells count="27">
    <mergeCell ref="B8:D8"/>
    <mergeCell ref="E8:F8"/>
    <mergeCell ref="A1:F1"/>
    <mergeCell ref="A2:F2"/>
    <mergeCell ref="A4:F4"/>
    <mergeCell ref="A5:F5"/>
    <mergeCell ref="A7:F7"/>
    <mergeCell ref="B16:D16"/>
    <mergeCell ref="E16:F16"/>
    <mergeCell ref="B9:D9"/>
    <mergeCell ref="E9:F9"/>
    <mergeCell ref="B10:D10"/>
    <mergeCell ref="E10:F10"/>
    <mergeCell ref="B11:D11"/>
    <mergeCell ref="E11:F11"/>
    <mergeCell ref="A13:F13"/>
    <mergeCell ref="B14:D14"/>
    <mergeCell ref="E14:F14"/>
    <mergeCell ref="B15:D15"/>
    <mergeCell ref="E15:F15"/>
    <mergeCell ref="C23:F23"/>
    <mergeCell ref="B17:D17"/>
    <mergeCell ref="E17:F17"/>
    <mergeCell ref="A19:F19"/>
    <mergeCell ref="C20:F20"/>
    <mergeCell ref="C21:F21"/>
    <mergeCell ref="C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Plan Compras BR</vt:lpstr>
      <vt:lpstr>Real 2026 BR</vt:lpstr>
      <vt:lpstr>Calendario Fases BR</vt:lpstr>
      <vt:lpstr>Mercado UY BR</vt:lpstr>
      <vt:lpstr>Intel Competidores BR</vt:lpstr>
      <vt:lpstr>Mercado Multi-Origen</vt:lpstr>
      <vt:lpstr>Indicadores</vt:lpstr>
      <vt:lpstr>HHI Productores BR</vt:lpstr>
      <vt:lpstr>Historico Almar BR</vt:lpstr>
      <vt:lpstr>Mercado UY EC</vt:lpstr>
      <vt:lpstr>Intel Competidores EC</vt:lpstr>
      <vt:lpstr>Historico Almar EC</vt:lpstr>
      <vt:lpstr>Plan Compras EC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2026-05-12T16:15:56Z</dcterms:created>
  <dcterms:modified xsi:type="dcterms:W3CDTF">2026-05-12T22:43:53Z</dcterms:modified>
</cp:coreProperties>
</file>