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ms-excel.namedsheetviews+xml" PartName="/xl/namedSheetViews/namedSheetView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9d88d5179eecfa/PLAN DE ARRIBOS CARGAS/"/>
    </mc:Choice>
  </mc:AlternateContent>
  <xr:revisionPtr revIDLastSave="0" documentId="8_{94160F71-8216-4F42-B801-06973260DE1B}" xr6:coauthVersionLast="47" xr6:coauthVersionMax="47" xr10:uidLastSave="{00000000-0000-0000-0000-000000000000}"/>
  <bookViews>
    <workbookView xWindow="-120" yWindow="-120" windowWidth="29040" windowHeight="15720" tabRatio="396" xr2:uid="{00000000-000D-0000-FFFF-FFFF00000000}"/>
  </bookViews>
  <sheets>
    <sheet name="Cargas" sheetId="1" r:id="rId1"/>
    <sheet name="Carpetas" sheetId="2" r:id="rId2"/>
    <sheet name="Hoja1" sheetId="4" r:id="rId3"/>
    <sheet name="Rangos" sheetId="3" r:id="rId4"/>
  </sheets>
  <definedNames>
    <definedName name="Fronteras">'Rangos'!$G$5:$G$9</definedName>
    <definedName name="Productos">'Rangos'!$I$5:$I$22</definedName>
    <definedName name="Status">'Rangos'!$B$5:$B$28</definedName>
    <definedName name="Transporte">'Rangos'!$D$5:$D$33</definedName>
    <definedName name="_xlnm._FilterDatabase" localSheetId="0" hidden="1">'Cargas'!$A$5:$Y$1068</definedName>
    <definedName name="_xlnm.Print_Titles" localSheetId="0">'Cargas'!#REF!</definedName>
    <definedName name="Z_C4662390_F79F_40B4_A67B_9DE0AA9A646E_.wvu.FilterData" localSheetId="0" hidden="1">'Cargas'!$A$6:$X$1065</definedName>
    <definedName name="Z_C4662390_F79F_40B4_A67B_9DE0AA9A646E_.wvu.PrintTitles" localSheetId="0" hidden="1">'Cargas'!#REF!</definedName>
    <definedName name="Z_D9891DF2_FCF4_466B_B104_7EC1DBE259D9_.wvu.FilterData" localSheetId="0" hidden="1">'Cargas'!$A$6:$X$1065</definedName>
    <definedName name="Z_D9891DF2_FCF4_466B_B104_7EC1DBE259D9_.wvu.PrintTitles" localSheetId="0" hidden="1">'Cargas'!#REF!</definedName>
    <definedName name="_xlnm._FilterDatabase" localSheetId="1" hidden="1">'Carpetas'!$A$4:$M$2060</definedName>
  </definedNames>
  <calcPr calcId="191028" calcCompleted="0" fullCalcOnLoad="1"/>
  <customWorkbookViews>
    <customWorkbookView name="Carlos - Vista personalizada" guid="{D9891DF2-FCF4-466B-B104-7EC1DBE259D9}" mergeInterval="0" personalView="1" maximized="1" xWindow="1" yWindow="1" windowWidth="1362" windowHeight="538" tabRatio="396" activeSheetId="1"/>
    <customWorkbookView name="Admin CV - Vista personalizada" guid="{C4662390-F79F-40B4-A67B-9DE0AA9A646E}" mergeInterval="0" personalView="1" maximized="1" xWindow="1" yWindow="1" windowWidth="1362" windowHeight="538" tabRatio="3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<sst xmlns="http://schemas.openxmlformats.org/spreadsheetml/2006/main" count="4377" uniqueCount="4377">
  <si>
    <t xml:space="preserve"> </t>
  </si>
  <si>
    <t>PROGRAMA DE ARRIBOS 2014</t>
  </si>
  <si>
    <t>PLAN ARRIBOS DESDE 2024</t>
  </si>
  <si>
    <t>Detalle/descripción presentaciòn producto</t>
  </si>
  <si>
    <t xml:space="preserve">Desc.
Sem.#</t>
  </si>
  <si>
    <t>Status List</t>
  </si>
  <si>
    <t>Factura Export.</t>
  </si>
  <si>
    <t>Productos</t>
  </si>
  <si>
    <t xml:space="preserve">Fecha de
Carga</t>
  </si>
  <si>
    <t>Carpeta Import.</t>
  </si>
  <si>
    <t>Pais origen</t>
  </si>
  <si>
    <t>AFIDI</t>
  </si>
  <si>
    <t>Transportista</t>
  </si>
  <si>
    <t>Exportador</t>
  </si>
  <si>
    <t xml:space="preserve">Fecha 
Frontera</t>
  </si>
  <si>
    <t>Frontera</t>
  </si>
  <si>
    <t xml:space="preserve">Fecha 
Descarga</t>
  </si>
  <si>
    <t>TT</t>
  </si>
  <si>
    <t>Cajas</t>
  </si>
  <si>
    <t xml:space="preserve">Cannt Camiones </t>
  </si>
  <si>
    <t>Cajas Descargadas</t>
  </si>
  <si>
    <t>CANT. DE PALLET</t>
  </si>
  <si>
    <t xml:space="preserve">CANT.KILOS POR CAJAS </t>
  </si>
  <si>
    <t>MGAP</t>
  </si>
  <si>
    <t xml:space="preserve">MIC / 
CONTENEDOR</t>
  </si>
  <si>
    <t xml:space="preserve">CODIGO               DE VIAJE</t>
  </si>
  <si>
    <t>PLACAS T</t>
  </si>
  <si>
    <t>Observaciones</t>
  </si>
  <si>
    <t>Cancelado</t>
  </si>
  <si>
    <t>xx</t>
  </si>
  <si>
    <t>Banana</t>
  </si>
  <si>
    <t>BO</t>
  </si>
  <si>
    <t>Descargado</t>
  </si>
  <si>
    <t>525/</t>
  </si>
  <si>
    <t>Arandano</t>
  </si>
  <si>
    <t>CL</t>
  </si>
  <si>
    <t>23/01229/</t>
  </si>
  <si>
    <t>Kiwi</t>
  </si>
  <si>
    <t>IT</t>
  </si>
  <si>
    <t>FT3/163/</t>
  </si>
  <si>
    <t>SE DESCARGO EN RIQUEZA NATURAL KIWI CAL 33 630 CAJAS, KIWI CAL 30 896 CAJAS Y KIWI CAL 27 784 CAJAS EL DIA 27/1/2024</t>
  </si>
  <si>
    <t>9480/</t>
  </si>
  <si>
    <t>Piña</t>
  </si>
  <si>
    <t>EC</t>
  </si>
  <si>
    <t>7683/</t>
  </si>
  <si>
    <t>KCTC64//PYCJ21</t>
  </si>
  <si>
    <t>MM 30/01 : DESCARGADO EN RIQUEZA NATURAL 2052 CAJAS DE BANANA BAGNO Y 140 CAJAS DE PLATANO BAGNO.</t>
  </si>
  <si>
    <t>54065/</t>
  </si>
  <si>
    <t>Palta</t>
  </si>
  <si>
    <t>7674/</t>
  </si>
  <si>
    <t xml:space="preserve">AL: SE DESCARGARON EN RIQUEZA NATURAL 2159 CAJAS DE BAGNO. </t>
  </si>
  <si>
    <t>7681/</t>
  </si>
  <si>
    <t>AL: SEDESCARGARON EN RIQUEZA NATURAL_: 918 CAJAS DE BANANA BAGNO, 210 CAJAS DE PLATANO,</t>
  </si>
  <si>
    <t>9500/</t>
  </si>
  <si>
    <t>10557/</t>
  </si>
  <si>
    <t>BONITA</t>
  </si>
  <si>
    <t>RBXC26</t>
  </si>
  <si>
    <t>SE DESCARGARON EN RIQUEZA NATURAL 2160 CAJA DE BANANA BONITA</t>
  </si>
  <si>
    <t>9529/</t>
  </si>
  <si>
    <t>7694/</t>
  </si>
  <si>
    <t>BAGNO</t>
  </si>
  <si>
    <t>LJV47/KKWF65/PYCJ21/PJJR55</t>
  </si>
  <si>
    <t>SE DESCARGARON EN RIQUEZA NATURAL 5400 CAJAS DE BANANA EC BAGNO.</t>
  </si>
  <si>
    <t>7695/</t>
  </si>
  <si>
    <t>PLFP86</t>
  </si>
  <si>
    <t xml:space="preserve">SE DESCARGARON EN RIQUEZA NATURAL  972 CAJA DE BANANA BONITA, Y 140  DE PLATANO.</t>
  </si>
  <si>
    <t>10634/</t>
  </si>
  <si>
    <t>RBXC27</t>
  </si>
  <si>
    <t>15/02: Se descargaron en Riqueza natural 2160 cajas de banana ecuador Bonita.</t>
  </si>
  <si>
    <t>7703/</t>
  </si>
  <si>
    <t>PYCJ24 / KFPF34/PJJR58</t>
  </si>
  <si>
    <t xml:space="preserve">15/02: Se descargaron en Riqueza natural    3240  cajas de banana ecuador BAGNO.</t>
  </si>
  <si>
    <t>7704/</t>
  </si>
  <si>
    <t>bagno-platano</t>
  </si>
  <si>
    <t>kctc65</t>
  </si>
  <si>
    <t>se descargo en riqueza natural 864 cajas de bagno y 280 cajas de platano el dia 15/2/2024</t>
  </si>
  <si>
    <t>529/</t>
  </si>
  <si>
    <t>96326/</t>
  </si>
  <si>
    <t>MX</t>
  </si>
  <si>
    <t>SE DESCARGO EN RIQUEZA NATURAL 1920 CAJAS DE PALTA CAL 60 EL DIA 19/2/2024</t>
  </si>
  <si>
    <t>96325/</t>
  </si>
  <si>
    <t>se descargo en riqueza natural 1920 cajas de palta 84 malla el dia 20/2/2024</t>
  </si>
  <si>
    <t>7714/</t>
  </si>
  <si>
    <t>PYCJ24/RBXC27/RBXC26/</t>
  </si>
  <si>
    <t>SE DESCARGO EN RIQUEZA NATURAL 3240 CAJAS DE BAGNO EL DIA 21/2/2024</t>
  </si>
  <si>
    <t>7715/</t>
  </si>
  <si>
    <t>KKWF65/KFPF36</t>
  </si>
  <si>
    <t>SE DESCARGO EN RIQUEZA NATURAL 2160 CAJAS DE BAGNO EL DIA 21/2/2024</t>
  </si>
  <si>
    <t>10672/</t>
  </si>
  <si>
    <t xml:space="preserve">BONITA </t>
  </si>
  <si>
    <t>PYCJ22 / KFPF34</t>
  </si>
  <si>
    <t>SE DESCARGO EN RIQUEZA NATURAL 2160CAJAS DE BONITA EL DIA 24/4/2024 Y 26/2/2024</t>
  </si>
  <si>
    <t>96651/</t>
  </si>
  <si>
    <t>EXOTICO</t>
  </si>
  <si>
    <t>KKWF66</t>
  </si>
  <si>
    <t>SE DESCARGO ENR IQUEZA NATURAL 1920 CAJAS DE PALTA CAL 84 MALLA EL DIA 28/2/2024</t>
  </si>
  <si>
    <t>96650/</t>
  </si>
  <si>
    <t>KCTC65</t>
  </si>
  <si>
    <t>SE DESCARGO ENR IQUEZA NATURAL 1920 CAJAS DE PALTA CAL 60 EL DIA 28/2/2024</t>
  </si>
  <si>
    <t>9584/</t>
  </si>
  <si>
    <t>10685/</t>
  </si>
  <si>
    <t>PYCJ19</t>
  </si>
  <si>
    <t>SE DESCARGO EN RIQUEZA NATURAL 1080 CAJAS DE BONITA EL DIA 29/2/2024</t>
  </si>
  <si>
    <t>7724/</t>
  </si>
  <si>
    <t>RBXC27 / JC2408</t>
  </si>
  <si>
    <t>29/02: SE RECIBIERON EN RIQUEZA NATURAL 1080 CAJAS DE BANANA BAGNO.</t>
  </si>
  <si>
    <t>KFPF36</t>
  </si>
  <si>
    <t>SE DESCARGO EN RIQUEZA NATURAL 1080 CAJAS DE BAGNO EL DIA 29/2/2024</t>
  </si>
  <si>
    <t>7725/</t>
  </si>
  <si>
    <t>SE DESCARGO EN RIQUEZA NATURAL 280 CAJAS DE PLATANO Y 864 CAJAS DE BAGNO EL DIA 29/2/2024</t>
  </si>
  <si>
    <t>PJJR58</t>
  </si>
  <si>
    <t>SE DESCARGO EN RIQUEZA NATURAL 1080 CAJAS DE BAGNO EL DIA 01/3/2024</t>
  </si>
  <si>
    <t>PYCJ24</t>
  </si>
  <si>
    <t>SE DESCARGO EN RIQUEZA NATURAL 1080 CAJAS DE BONITA EL DIA 01/3/2024</t>
  </si>
  <si>
    <t>KFPF33</t>
  </si>
  <si>
    <t>54169/</t>
  </si>
  <si>
    <t>RKHT85/PWYZ75</t>
  </si>
  <si>
    <t>05/03: SE DESCARGARON EN RIQUEZA NATURAL 1936 CAJAS DE PALTA PROPAL CAL. 60 Y 176 DE CAL. 84.</t>
  </si>
  <si>
    <t>10770/</t>
  </si>
  <si>
    <t>SE DESCARGO EN RIQUEZA NATURAL 1080 CAJAS DE BONITA EL DIA 7/3/2024</t>
  </si>
  <si>
    <t>7738/</t>
  </si>
  <si>
    <t>SE DESCARGO EN RIQUEZA NATURAL 1080 CAJAS DE BAGNO EL DIA 7/3/2024</t>
  </si>
  <si>
    <t>SE DESCARGO EN RIQUEZA NATURAL 1080 CAJAS DE BONITA EL DIA 8/3/2024</t>
  </si>
  <si>
    <t>SE DESCARGO EN RIQUEZA NATURAL 1080 CAJAS DE BAGNO EL DIA 8/3/2024</t>
  </si>
  <si>
    <t>bagno</t>
  </si>
  <si>
    <t>97050/</t>
  </si>
  <si>
    <t>PYCJ24/JD2084</t>
  </si>
  <si>
    <t>09/03: SE RECIBIERON EN ROQUEZA NATURAL 1920 CAJAS DE PALTA MISSION CAL 84 C/MALLA.</t>
  </si>
  <si>
    <t>7753//</t>
  </si>
  <si>
    <t xml:space="preserve">bagno </t>
  </si>
  <si>
    <t>ljvv47</t>
  </si>
  <si>
    <t>SE DESCARGO EN RIQUEZA NATURAL 1080 CAJAS DE BAGNO EL DIA 13/3/2024</t>
  </si>
  <si>
    <t xml:space="preserve">BAGNO  </t>
  </si>
  <si>
    <t>LJVV47 / JJ4791</t>
  </si>
  <si>
    <t>13/03: SE RECIBIERON EN RIQUEZA NATURAL 1080 CAJAS DE BANANA BAGNO.</t>
  </si>
  <si>
    <t>7754/</t>
  </si>
  <si>
    <t>bagno platano</t>
  </si>
  <si>
    <t>plfp86</t>
  </si>
  <si>
    <t>se descargo en riqueza natural 864 cajas de bagno y 280 cajas de platano el dia 13/3/2024</t>
  </si>
  <si>
    <t>SE DESCARGO EN RIQUEZA NATURAL 1079 CAJAS DE BAGNO EL DIA 15/3/2024</t>
  </si>
  <si>
    <t>PJJR55</t>
  </si>
  <si>
    <t>SE DESCARGO EN RIQUEZA NATURAL 1080 CAJAS DE BAGNO EL DIA 16/3/2024</t>
  </si>
  <si>
    <t>97264/</t>
  </si>
  <si>
    <t>RBXC25</t>
  </si>
  <si>
    <t xml:space="preserve">16/03:SE DESCARGO EN RIQUEZA NATURAL 1920 PALTA CAL 60 MISSION </t>
  </si>
  <si>
    <t>97401/</t>
  </si>
  <si>
    <t>PYCJ22</t>
  </si>
  <si>
    <t>SE DESCARGO EN RIQUEZA NATURAL 1920 CAJAS DE PALTA CAL 60 MISSION EL DIA 16/3/2024</t>
  </si>
  <si>
    <t>9655/</t>
  </si>
  <si>
    <t>533/</t>
  </si>
  <si>
    <t>10810/</t>
  </si>
  <si>
    <t>10848/</t>
  </si>
  <si>
    <t>KCTC65/PYCJ19</t>
  </si>
  <si>
    <t>22/03: SE RECIBIERON EN RIQUEZA NATURAL 2160 CAJAS DE BANANA BONITA.</t>
  </si>
  <si>
    <t>7761/</t>
  </si>
  <si>
    <t>KKWF66/PWVF93/PYC23</t>
  </si>
  <si>
    <t>22/03: SE RECIBIERON EN RIQUEZA NATURAL 3240 CAJAS DE BANANA BAGNO.</t>
  </si>
  <si>
    <t>PJJR54</t>
  </si>
  <si>
    <t>25/03: SE RECICIERON EN RIQUEZA NATURAL 1080 CAJAS DE BANANA BAGNO.</t>
  </si>
  <si>
    <t>97573/</t>
  </si>
  <si>
    <t>27/03: SE DESCARGARON EN RIQUEZA NATURAL 1920 CAJAS DE PALTA MISSION CAL 60.</t>
  </si>
  <si>
    <t>97640/</t>
  </si>
  <si>
    <t>97663/</t>
  </si>
  <si>
    <t>LJVV47</t>
  </si>
  <si>
    <t>27/03:</t>
  </si>
  <si>
    <t>10880/</t>
  </si>
  <si>
    <t>SE DESCARGO EN RIQUEZA NATURAL 1080 BONITA EL DIA 27/3/2024</t>
  </si>
  <si>
    <t>9709/</t>
  </si>
  <si>
    <t>SE DESCARGO EN RIQUEZA NATURAL 1080 BONITA EL DIA 03/04/2024</t>
  </si>
  <si>
    <t>7778/</t>
  </si>
  <si>
    <t>03/04:</t>
  </si>
  <si>
    <t>10937/</t>
  </si>
  <si>
    <t>SE DESCARGO EN RIQUEZA NATURAL 1080 CAJAS DE BAGNO EL DIA 4/4/2024</t>
  </si>
  <si>
    <t>7785/</t>
  </si>
  <si>
    <t>04/04:SE RECIBIERON EN RIQUEZA NATURAL 1080 CAJAS DE BANANA BAGNO</t>
  </si>
  <si>
    <t>10938/</t>
  </si>
  <si>
    <t>SE DESCARGO EN RIQUEZA NATURAL 2160 CAJAS DE BONIT EL DIA 4/4/2024</t>
  </si>
  <si>
    <t>SE DESCARGOE EN RIQUEZA NATURAL 1080 CAJAS DE BAGNO EL DIA 5/4/2024</t>
  </si>
  <si>
    <t>PJJP55</t>
  </si>
  <si>
    <t>08/04: Se descarga en Riqueza Natural 1080 cajas de banana Ecuador Bonita.</t>
  </si>
  <si>
    <t>551/</t>
  </si>
  <si>
    <t>7800/</t>
  </si>
  <si>
    <t>SE DECARGO EN RIQUEZA NATURAL 1080 CAJAS DE BAGNO EL DIA 11/4/2024</t>
  </si>
  <si>
    <t>10970/</t>
  </si>
  <si>
    <t>RBXC26/PYCJ21/RBXC25</t>
  </si>
  <si>
    <t>11/04: SE DESCARGARON EN RIQUEZA NATURAL 3240 CAJAS DE BANANA ECUADOR BONITA.</t>
  </si>
  <si>
    <t>7801/</t>
  </si>
  <si>
    <t>BAGNO-PLATANO</t>
  </si>
  <si>
    <t>SE DESCARGO EN RIQUEZA NATURAL 918 CAJAS DE BAGNO Y 210 CAJAS DE PLATANO EL DIA 11/4/2024</t>
  </si>
  <si>
    <t>12/04:</t>
  </si>
  <si>
    <t>9770/</t>
  </si>
  <si>
    <t>10969/</t>
  </si>
  <si>
    <t>13/04:</t>
  </si>
  <si>
    <t>562/</t>
  </si>
  <si>
    <t>Zanahoria</t>
  </si>
  <si>
    <t>11006/</t>
  </si>
  <si>
    <t>19/04:</t>
  </si>
  <si>
    <t>11007/</t>
  </si>
  <si>
    <t>LJVV48</t>
  </si>
  <si>
    <t>7812/</t>
  </si>
  <si>
    <t xml:space="preserve">BAGNO </t>
  </si>
  <si>
    <t>RBXC26/ PJJR55</t>
  </si>
  <si>
    <t>19/04: DESCARGA EN RIQUEZA NATURAL 2160 CAJAS DE BANANA ECUADOR BAGNO.</t>
  </si>
  <si>
    <t>00307/</t>
  </si>
  <si>
    <t>574/</t>
  </si>
  <si>
    <t>208/</t>
  </si>
  <si>
    <t>11053/</t>
  </si>
  <si>
    <t>PJJR58/PYCJ23</t>
  </si>
  <si>
    <t>26/4: DESCARGA EN RIQUEZA NATURAL 1080 CAJAS DE BANANA ECUADOR BONITA.</t>
  </si>
  <si>
    <t>11054/</t>
  </si>
  <si>
    <t>PJJR54/PYCJ22</t>
  </si>
  <si>
    <t>7822/</t>
  </si>
  <si>
    <t>RBXC25/PLFP86</t>
  </si>
  <si>
    <t>26/04: DESCARGA EN RIQUEZA NATURAL 1998 CAJAS DE BANANA ECUADOR BAGNO, 210 DE PLATANO.</t>
  </si>
  <si>
    <t>9837/</t>
  </si>
  <si>
    <t>E001-416</t>
  </si>
  <si>
    <t>PE</t>
  </si>
  <si>
    <t>98010/</t>
  </si>
  <si>
    <t xml:space="preserve">STP-3372 </t>
  </si>
  <si>
    <t>08/05: DESCARGA EN RIQUEZA NATURAL 1632 CAJAS DE PALTA MISSION CAL 60 Y 288 DE CALIBRE 84.</t>
  </si>
  <si>
    <t>98011/</t>
  </si>
  <si>
    <t>STP-8265</t>
  </si>
  <si>
    <t>08/05: DESCARGA EN RIQUEZA NATURAL 1920 CAJAS DE PALTA CAL 60.</t>
  </si>
  <si>
    <t>11117/</t>
  </si>
  <si>
    <t>7855/</t>
  </si>
  <si>
    <t>10/05: DESCARGA EN RIQUEZA NATURAL 1080 CAJAS DE BANANA ECUADOR BAGNO.</t>
  </si>
  <si>
    <t>9910/</t>
  </si>
  <si>
    <t>11098/</t>
  </si>
  <si>
    <t>14/05: DESCARGA EN RIQUEZA NATURAL 2160 BANANA ECUADOR BONITA.</t>
  </si>
  <si>
    <t>1133/</t>
  </si>
  <si>
    <t>Papa</t>
  </si>
  <si>
    <t>1132/</t>
  </si>
  <si>
    <t>BAGNO/EXOTICO</t>
  </si>
  <si>
    <t>PYCJ23</t>
  </si>
  <si>
    <t>14/05: DESCARGA EN RIQUEZA NATURAL 918 BANANA ECUADOR BAGNO Y 210 CAJAS DE PLATANO,</t>
  </si>
  <si>
    <t>7880/</t>
  </si>
  <si>
    <t>11158/</t>
  </si>
  <si>
    <t>RBXC26/LJVV47/PJJR57</t>
  </si>
  <si>
    <t>17/05: DESCARGA EN RIQUEZA NATURAL 3240 CAJAS DE BANANA ECUADOR BONITA.</t>
  </si>
  <si>
    <t>SE DESCARGO EN RIQUEZA NATURAL 1080 CAJAS DE BONITA EL DIA 18/5/2024</t>
  </si>
  <si>
    <t>1146/</t>
  </si>
  <si>
    <t>1145/</t>
  </si>
  <si>
    <t>1156/</t>
  </si>
  <si>
    <t>E001-481</t>
  </si>
  <si>
    <t>GPPX19</t>
  </si>
  <si>
    <t>22/05: DESCARGA EN RIQUEZA NATURAL 1920 CAJAS DE PALTA BAIKA PERU CAL 60.</t>
  </si>
  <si>
    <t>9943/</t>
  </si>
  <si>
    <t>11194/</t>
  </si>
  <si>
    <t>23/05:</t>
  </si>
  <si>
    <t>1163/</t>
  </si>
  <si>
    <t>33554/</t>
  </si>
  <si>
    <t>JKDL76</t>
  </si>
  <si>
    <t>30/05: SE DESCARGARON 2288 CAJAS DE KIWI.</t>
  </si>
  <si>
    <t>DESCARGADO</t>
  </si>
  <si>
    <t>7894/</t>
  </si>
  <si>
    <t>PLFP86/JHFS80</t>
  </si>
  <si>
    <t>30/05: SE RECIBEN EN RIQUEZA NATURAL 1998 CAJAS BANANA BAGNO Y 210 DE PLATANO</t>
  </si>
  <si>
    <t>11227/</t>
  </si>
  <si>
    <t>LJVV48 / PJJR57</t>
  </si>
  <si>
    <t xml:space="preserve">SE  DESCARGO EN RIQUEZA NATURAL 2160 CAJAS DE BONITA EL DA 30/5/2024</t>
  </si>
  <si>
    <t>7908/</t>
  </si>
  <si>
    <t xml:space="preserve">SE  DESCARGO EN RIQUEZA NATURAL 1080 CAJAS DE BAGNO EL DA 30/5/2024</t>
  </si>
  <si>
    <t xml:space="preserve">PLFP86 </t>
  </si>
  <si>
    <t xml:space="preserve">SE  DESCARGO EN RIQUEZA NATURAL 1080 CAJAS DE BAGNO EL DA 01/06/24 ( 7 CAJAS PARA DESCARTE),</t>
  </si>
  <si>
    <t>1170/</t>
  </si>
  <si>
    <t>1169/</t>
  </si>
  <si>
    <t>88204/</t>
  </si>
  <si>
    <t>CO</t>
  </si>
  <si>
    <t>TROPICAL</t>
  </si>
  <si>
    <t>04/06: DESCARGA EN RIQUEZA NATURAL 1080 CAJAS DE BANANA COLOMBIANA "TROPICAL".</t>
  </si>
  <si>
    <t>229//</t>
  </si>
  <si>
    <t>1201/</t>
  </si>
  <si>
    <t>PYCF80</t>
  </si>
  <si>
    <t>SE DESCARGO EN RIQUEZA NATURAL 1080 BOLSAS DE PAPA EL DIA 5/6/2024</t>
  </si>
  <si>
    <t>E001-527</t>
  </si>
  <si>
    <t>CFWD79</t>
  </si>
  <si>
    <t>04/06: DESCARGA EN RIQUEZA NATURAL 1920 CAJAS DE PALTA BAIKA CAL 60,</t>
  </si>
  <si>
    <t>225/</t>
  </si>
  <si>
    <t>227/</t>
  </si>
  <si>
    <t>9992/</t>
  </si>
  <si>
    <t>11265/</t>
  </si>
  <si>
    <t>PJJR58/ PYCJ22</t>
  </si>
  <si>
    <t>SE DESCARGO EN RIQUEZA NATURAL 2160 CAJAS DE BANANAS BONITA EL DIA 11/06/24</t>
  </si>
  <si>
    <t>1218/</t>
  </si>
  <si>
    <t>11313/</t>
  </si>
  <si>
    <t>15/06 : DESCARGA EN RIQUEZA NATURAL 1080 CAJAS DE BANANA ECUADOR BONITA.</t>
  </si>
  <si>
    <t>11312/</t>
  </si>
  <si>
    <t>15/06: DESCARGA EN RIQUEZA NATURAL 1080 CAJAS DE BANANA ECUADOR BONITA.</t>
  </si>
  <si>
    <t>descargado</t>
  </si>
  <si>
    <t>1219/</t>
  </si>
  <si>
    <t>243/</t>
  </si>
  <si>
    <t>1226/</t>
  </si>
  <si>
    <t>11384/</t>
  </si>
  <si>
    <t>PJJR55/PJJR58</t>
  </si>
  <si>
    <t xml:space="preserve">SE DESCARGARON 2 CAMIONES CON 1080 CAJAS CADA UNO  DE BANANAS BONITA  EN RIQUEZA NATURAL EL DIA 25/06/24</t>
  </si>
  <si>
    <t>11383/</t>
  </si>
  <si>
    <t>PYCJ22/PJJR57</t>
  </si>
  <si>
    <t>F100 00011601/</t>
  </si>
  <si>
    <t>SE DESCARGO 1 CAMION EN RIQUEZA NATURAL CON 1920 CAJAS DE PALTA MISSION CAL 60 EL DIA 25/06/24</t>
  </si>
  <si>
    <t>242/</t>
  </si>
  <si>
    <t>11398/</t>
  </si>
  <si>
    <t>1080/</t>
  </si>
  <si>
    <t>bonita</t>
  </si>
  <si>
    <t>RBXC26/</t>
  </si>
  <si>
    <t>7945/</t>
  </si>
  <si>
    <r xmlns="http://schemas.openxmlformats.org/spreadsheetml/2006/main">
      <rPr>
        <sz val="11"/>
        <color rgb="FF000000"/>
        <rFont val="Calibri"/>
        <family val="2"/>
        <scheme val="minor"/>
      </rPr>
      <t xml:space="preserve">SE DESCARGO EN RIQUEZA NATURAL 1 CAMION CON 918 CAJAS DE BANANAS ( </t>
    </r>
    <r xmlns="http://schemas.openxmlformats.org/spreadsheetml/2006/main">
      <rPr>
        <b/>
        <sz val="11"/>
        <color rgb="FF000000"/>
        <rFont val="Calibri"/>
        <family val="2"/>
        <scheme val="minor"/>
      </rPr>
      <t>EN BUEN ESTADO</t>
    </r>
    <r xmlns="http://schemas.openxmlformats.org/spreadsheetml/2006/main">
      <rPr>
        <sz val="11"/>
        <color rgb="FF000000"/>
        <rFont val="Calibri"/>
        <family val="2"/>
        <scheme val="minor"/>
      </rPr>
      <t xml:space="preserve">) Y 210 CAJAS DE PLATANOS ( </t>
    </r>
    <r xmlns="http://schemas.openxmlformats.org/spreadsheetml/2006/main">
      <rPr>
        <b/>
        <sz val="11"/>
        <color rgb="FF000000"/>
        <rFont val="Calibri"/>
        <family val="2"/>
        <scheme val="minor"/>
      </rPr>
      <t>GRAN MAYORIA FRUTA PASADA Y SENTIDA)</t>
    </r>
  </si>
  <si>
    <t>11399/</t>
  </si>
  <si>
    <t>SE DESCARGO EN RIQUEZA NATURAL 2160 CAJAS DE BOITA EL DIA 6/7/2024 Y 8/7/2024</t>
  </si>
  <si>
    <t>10067/</t>
  </si>
  <si>
    <t>F006-001</t>
  </si>
  <si>
    <t>arandano</t>
  </si>
  <si>
    <t>F 100 00011793/</t>
  </si>
  <si>
    <t>09/07: DESCARGA EN RIQUEZA NATURAL 1920 CAJAS DE PALTA MISSION PERÚ CAL 60.</t>
  </si>
  <si>
    <t>7957/</t>
  </si>
  <si>
    <t>SE DESCARGO EN RIQUEZA NATURAL 1080 CAJAS DE BAGNO EL DIA 9/7/2024</t>
  </si>
  <si>
    <t>00339/</t>
  </si>
  <si>
    <t>7958/</t>
  </si>
  <si>
    <t>BAGNO Y PLATANO</t>
  </si>
  <si>
    <t>KKWF65</t>
  </si>
  <si>
    <t>SE DESCARGO EN RIQUEZA NATURAL 918 CAJAS DE BAGNO Y 210 DE PLATANO EL DIA 9/7/2024</t>
  </si>
  <si>
    <t>34213/</t>
  </si>
  <si>
    <t>11457/</t>
  </si>
  <si>
    <t>11458/</t>
  </si>
  <si>
    <t>F006-002</t>
  </si>
  <si>
    <t>664-665</t>
  </si>
  <si>
    <t>JHFS80</t>
  </si>
  <si>
    <t>SE DESCARGO EN RIQUEZA NATURAL 1080 CAJAS DE BONITA EL DIA 15/7/2024</t>
  </si>
  <si>
    <t>SE DESCARGO EN RIQUEZA NATURAL 1080 CAJAS DE BONITA EL DIA 13/7/2024</t>
  </si>
  <si>
    <t>F006-003</t>
  </si>
  <si>
    <t>MATHIAS</t>
  </si>
  <si>
    <t>CGBZ40</t>
  </si>
  <si>
    <t>17/07: DESCARGA EN RIUQUEZA NATURAL 1098 CAJAS DE BANANA ECUADOR MATHIAS.</t>
  </si>
  <si>
    <t>F100 0011856/</t>
  </si>
  <si>
    <t>PALTA MISSION</t>
  </si>
  <si>
    <t>16/07: DESCARGA EN RIQUEZA NATURAL 1920 CAJAS DE PALTA MISSION PERU CAL 60,</t>
  </si>
  <si>
    <t>E001-628</t>
  </si>
  <si>
    <t xml:space="preserve">PALTA BAIKA </t>
  </si>
  <si>
    <t>PJBR44</t>
  </si>
  <si>
    <t>SE DESCARGO EN RIQUEZA NATURAL 1920 CAJAS DE PALTA BAIKA CAL 60 EL DIA 16/7/2024</t>
  </si>
  <si>
    <t>1244/</t>
  </si>
  <si>
    <t>cebolla</t>
  </si>
  <si>
    <t>CEBOLLA</t>
  </si>
  <si>
    <t>OTP3000</t>
  </si>
  <si>
    <t>16/07: DESCARGA EN RIQUEZA NATURAL 1200 MALLAS DE CEBOLLA.</t>
  </si>
  <si>
    <t>BRCV88</t>
  </si>
  <si>
    <t>7975/</t>
  </si>
  <si>
    <t>PJJR58/PJJR55</t>
  </si>
  <si>
    <t>17/07: DESCARGA EN RIQUEZA NATURAL 1998 CAJAS DE BAGNO Y 210 DE PLATANO,</t>
  </si>
  <si>
    <t>11491/</t>
  </si>
  <si>
    <t>19/07: DESCARGA EN RIQUEZA NATURAL 1080 CAJAS DE BANANA ECUADOR BONITA.</t>
  </si>
  <si>
    <t>11490/</t>
  </si>
  <si>
    <t>SE DESCARGO EN RIQUEZA NATURAL 1080 CAJAS DE BONITA EL DIA 19/7/2024</t>
  </si>
  <si>
    <t>10125/</t>
  </si>
  <si>
    <t>E001-639</t>
  </si>
  <si>
    <t>F006-005</t>
  </si>
  <si>
    <t>1245/</t>
  </si>
  <si>
    <t>MTP4175</t>
  </si>
  <si>
    <t>23/07: #7 DESCARGA EN RIQUEZA NATURAL 1250 BOLSAS DE CEBOLLA CHILENA.</t>
  </si>
  <si>
    <t>1246/</t>
  </si>
  <si>
    <t>FVC24 / 44</t>
  </si>
  <si>
    <t>Carozos</t>
  </si>
  <si>
    <t>ES</t>
  </si>
  <si>
    <t>11515/</t>
  </si>
  <si>
    <t>banana</t>
  </si>
  <si>
    <t>24/07: DESCARGA EN RIQUEZA NATURAL 1080 CAJAS DE BANANA ECUADOR BONITA</t>
  </si>
  <si>
    <t>7978/</t>
  </si>
  <si>
    <t>PYCJ24/PJJR58</t>
  </si>
  <si>
    <t>24/07: DESCARGA EN RIQUEZA NATURAL 2160 CAJAS DE BANANA ECUADOR BONITA</t>
  </si>
  <si>
    <t>3692/</t>
  </si>
  <si>
    <t>AR</t>
  </si>
  <si>
    <t>F006-006</t>
  </si>
  <si>
    <t>7979/</t>
  </si>
  <si>
    <t>JMFS80</t>
  </si>
  <si>
    <t>24/07: DESCARGA EN RIQUEZA NATURAL 918 CAJAS DE BANANA ECUADOR BAGNO Y 210 DE PLATANO.</t>
  </si>
  <si>
    <t>1248/</t>
  </si>
  <si>
    <t>11514/</t>
  </si>
  <si>
    <t>KKWF65/PJJR54</t>
  </si>
  <si>
    <t>26/07: DESCARGA EN RIQUEZA NATURAL 2160 CAJAS DE BANANA ECUADOR BONITA.</t>
  </si>
  <si>
    <t>11516/</t>
  </si>
  <si>
    <t>LJVV48/KKWF66</t>
  </si>
  <si>
    <t>27/07: DESCARGA EN RIQUEZA NATURAL 2160 CAJAS DE BANANAA ECUADOR BONITA.</t>
  </si>
  <si>
    <t>1249/</t>
  </si>
  <si>
    <t>Sarla y Ramon</t>
  </si>
  <si>
    <t>27/07 Descarga en Corfrisa</t>
  </si>
  <si>
    <t>3693/</t>
  </si>
  <si>
    <t>Ar</t>
  </si>
  <si>
    <t>27/07 : Descarga en corfrisa</t>
  </si>
  <si>
    <t>3694/</t>
  </si>
  <si>
    <t>88220/</t>
  </si>
  <si>
    <t>LVHC53</t>
  </si>
  <si>
    <t>27/07: DESCARGA EN RIQUEZA NATURAL 1080 CAJAS DE BANANA COLOMBIA TROPICAL.</t>
  </si>
  <si>
    <t>F006-008</t>
  </si>
  <si>
    <t>STP 1257</t>
  </si>
  <si>
    <t>1253/</t>
  </si>
  <si>
    <t>Rio Colorado</t>
  </si>
  <si>
    <t>3696/</t>
  </si>
  <si>
    <t>ITP 1194</t>
  </si>
  <si>
    <t>30/07: DESCARGA EN RIQUEZA NATURAL 1400 BOLSAS DE CEBOLLA</t>
  </si>
  <si>
    <t>3695/</t>
  </si>
  <si>
    <t>ITP 1209</t>
  </si>
  <si>
    <t>1254/</t>
  </si>
  <si>
    <t>Falero</t>
  </si>
  <si>
    <t>F006-007</t>
  </si>
  <si>
    <t>1256/</t>
  </si>
  <si>
    <t>3699/</t>
  </si>
  <si>
    <t>3700/</t>
  </si>
  <si>
    <t>3701/</t>
  </si>
  <si>
    <t>3702/</t>
  </si>
  <si>
    <t>3703/</t>
  </si>
  <si>
    <t>1252/</t>
  </si>
  <si>
    <t>Valle Grande</t>
  </si>
  <si>
    <t>1255/</t>
  </si>
  <si>
    <t>Cisterna</t>
  </si>
  <si>
    <t>F006-009</t>
  </si>
  <si>
    <t>88221/</t>
  </si>
  <si>
    <t>11554/</t>
  </si>
  <si>
    <t>7997/</t>
  </si>
  <si>
    <t>BONITA/BAGNO</t>
  </si>
  <si>
    <t>LJVV47/JHFS80/PYCJ23</t>
  </si>
  <si>
    <t>31/07: DESCARGA EN RIQUEZA NATURAL 2160 CAJAS DE BANANA ECUADOR BONITA. Y 1080 CAJAS DE BANANA ECUADOR BAGNO.</t>
  </si>
  <si>
    <t>8001/</t>
  </si>
  <si>
    <t>31/07: DESCARGA EN RIQUEZA NATURAL 918 CAJAS DE BANANA ECUADOR BAGNO Y 210 DE PLATANO.</t>
  </si>
  <si>
    <t>F006-010</t>
  </si>
  <si>
    <t>10165/</t>
  </si>
  <si>
    <t>11592/</t>
  </si>
  <si>
    <t>05/08:</t>
  </si>
  <si>
    <t>E001-651</t>
  </si>
  <si>
    <t>HGXL70</t>
  </si>
  <si>
    <t>02/08: DESCARGA EN RIQUEZA NATURAL 1344 CAJAS DE PALTA BAIKA PERU CALIBRE 60 Y 576 CALIBRE 84.</t>
  </si>
  <si>
    <t>8009/</t>
  </si>
  <si>
    <t>88223/</t>
  </si>
  <si>
    <t>34639/</t>
  </si>
  <si>
    <t>kiwi</t>
  </si>
  <si>
    <t>HDDX77</t>
  </si>
  <si>
    <t>08/08: DESCARGA EN RIQUEZA NATURAL 2304 CAJAS DE KIWI COPEFRUT.</t>
  </si>
  <si>
    <t>8017/</t>
  </si>
  <si>
    <t>PYCJ22/AACX335</t>
  </si>
  <si>
    <t>14/08: DESCARGA EN RIQUEZA NATURAL 2160 CAJAS DE BANANA BAGNO.FAC.Nº8017.</t>
  </si>
  <si>
    <t>11627/</t>
  </si>
  <si>
    <t>1080/1080</t>
  </si>
  <si>
    <t>PYCJ24/JHFS80</t>
  </si>
  <si>
    <t xml:space="preserve">VR 14/08/24 : SE DESCARGO 2 CAMIONES  EN RIQUEZA NATURAL CON 1080 CAJAS DE BANANAS BONITA CADA UNO  (FRUTA EN EXCELENTE ESTADO ) </t>
  </si>
  <si>
    <t>88228/</t>
  </si>
  <si>
    <t xml:space="preserve">VR 14/08/24 : SE DESCARGO EN RIQUEZA NATURAL 1 CAMION CON 1080 CAJAS DE BANANAS TROPICAL CON SELLO FRESH MARKET ( 2 PALLET CON FRUTA SENTIDA) </t>
  </si>
  <si>
    <t>8018/</t>
  </si>
  <si>
    <t>14/08: DESCARGA EN RIQUEZA NATURAL 918 CAJAS DE BANANA BAGNO Y 210 DE PLATANO. FAC. Nº 8018.</t>
  </si>
  <si>
    <t>VR 15/08/24: SE DESCARGO 1 CAMION CON 1080 CAJAS DE BANANAS BAGNO EN BUEN ESTADO ( CAMION INTERVENIDO) AUTORIZADO A SER DESCARGADO POR NACHO.</t>
  </si>
  <si>
    <t>SE DESCARGO EN RIQUEZA NATURAL 1 CAMION CON 1080 CAJAS DE BANANAS BONITAS EL DIA 16/08/24 ( FRUTA EN BUEN ESTADO)</t>
  </si>
  <si>
    <t>10203/</t>
  </si>
  <si>
    <t>11681/</t>
  </si>
  <si>
    <t>PJJR55/PLFP85</t>
  </si>
  <si>
    <t xml:space="preserve">CU 17/8 SE DESCARGO EN RIQUEZA NATURAL 2160 CAJSA DE BONITA </t>
  </si>
  <si>
    <t>8038/</t>
  </si>
  <si>
    <t>SE DESCARGO EN RIQUEZA NATURAL 1 CAMION CON 1080 CAJAS DE BANANAS BAGNOEL DIA 17/08/24 ( FRUTA EN BUEN ESTADO)</t>
  </si>
  <si>
    <t>88231/</t>
  </si>
  <si>
    <t>001-768</t>
  </si>
  <si>
    <t>Pe</t>
  </si>
  <si>
    <t>342/</t>
  </si>
  <si>
    <t>Ch</t>
  </si>
  <si>
    <t>KIWI</t>
  </si>
  <si>
    <t>DDKT38</t>
  </si>
  <si>
    <t xml:space="preserve">CU 22/08 SE DESACARGO EN RIQUEZA NATURAL 2304 CAJAS DE KIWI  CAL 23/ CAL 25/ CAL 27 / CAL 30 / CAL 33</t>
  </si>
  <si>
    <t>JBK240606UY</t>
  </si>
  <si>
    <t>ajo</t>
  </si>
  <si>
    <t>N/A</t>
  </si>
  <si>
    <t>10kg</t>
  </si>
  <si>
    <t>FBIU5008384</t>
  </si>
  <si>
    <t>STP8265</t>
  </si>
  <si>
    <t xml:space="preserve">MERCADERIA EN BUEN ESTADO </t>
  </si>
  <si>
    <t>FF2400163/</t>
  </si>
  <si>
    <t>palta</t>
  </si>
  <si>
    <t>KTRW93</t>
  </si>
  <si>
    <t>SE DESCARGO EN RIQUEZA NATURAL 1936 CAJAS DE PALTA CAL 60 BAIKA EL DIA 27/8/2024</t>
  </si>
  <si>
    <t>8039/</t>
  </si>
  <si>
    <t>C.U 27/8 SE DESCARGO EN RIQUEZA NATURAL 1080 CAJAS DE BAGNO EN BUEN ESTADO</t>
  </si>
  <si>
    <t>8040/</t>
  </si>
  <si>
    <t>PYJC24</t>
  </si>
  <si>
    <t>CU 27/08 SE DESCARGO 972 CAJAS DE BANANA Y 140 CAJAS DE PLATANO VINO SENTIDO</t>
  </si>
  <si>
    <t>8055/</t>
  </si>
  <si>
    <t>BAGNO -PLATANO</t>
  </si>
  <si>
    <t>CU 28/08 SEDASCARGO EN RIQUEZA NATURAL 1206 CAJAS DE BANANA Y 7 CAJAS DE PLATANO VINO SENTIDO</t>
  </si>
  <si>
    <t>11727/</t>
  </si>
  <si>
    <t>PJJR55/RBXC26</t>
  </si>
  <si>
    <t>CU 28/08 SE DESCARGO EN RIQUEZA NATURAL 2160 CAJAS DE BONITA</t>
  </si>
  <si>
    <t>FF2400166/</t>
  </si>
  <si>
    <t>CH</t>
  </si>
  <si>
    <t>PALTA BAIKA</t>
  </si>
  <si>
    <t>PSKH86</t>
  </si>
  <si>
    <t>CU 29/08 SE DESCARGO EN RIQUEZA NATURAL 1936 CAJAS PALTA CAL 84 BAIKA</t>
  </si>
  <si>
    <t>11728/</t>
  </si>
  <si>
    <t>LVHC53/KKWF66</t>
  </si>
  <si>
    <t>CU 29/08 SE DESACARGO EN RIQUEZA NATURAL 2160 CAJAS BONITA</t>
  </si>
  <si>
    <t>34898/</t>
  </si>
  <si>
    <t>8054/</t>
  </si>
  <si>
    <t>PYJCJ22/RBXC27</t>
  </si>
  <si>
    <t>CU 29/08 SE DESACRGO EN RIQUEZA NATURAL 2160 CAJAS DE BAGNO</t>
  </si>
  <si>
    <t>88233/</t>
  </si>
  <si>
    <t>LJJV58</t>
  </si>
  <si>
    <t>CU 02/09 SE DESCARGO ERN RIQUEZA NATURAL 1080 CAJAS DE TROPICAL VINIERON UNOS PALLET SENTIDOS</t>
  </si>
  <si>
    <t>CU 02/09 SE DESCARGO ERN RIQUEZA NATURAL 1080 CAJAS DE TROPICAL VINO 1 CAJA CON COLOR</t>
  </si>
  <si>
    <t>10254/</t>
  </si>
  <si>
    <t>CU 04/09 SE DESCARGO EN RIQUEZA NATURAL 1080 CAJAS DE TROPICAL VINIO SENTIDO Y FRUTAS MADURAS INTERVENIDO MPOR LA FRUTAS</t>
  </si>
  <si>
    <t>35046/</t>
  </si>
  <si>
    <t>RKLD29</t>
  </si>
  <si>
    <t>SE DESCARGO EN RIQUEZA NATURAL 2304 CAJAS DE KIWI EL DIA 4/9/2024</t>
  </si>
  <si>
    <t>8064/</t>
  </si>
  <si>
    <t>BANANA</t>
  </si>
  <si>
    <t>PJJR55/PLFP86/PJJR57</t>
  </si>
  <si>
    <t>CU 06/09 SE DESCARGO EN RIQUEZA NATURAL 3 CAMIONES CON 3240 CAJAS BAGNO CADA UNO</t>
  </si>
  <si>
    <t>11808/</t>
  </si>
  <si>
    <t>PYCJ23/RBXC26/RBXC27</t>
  </si>
  <si>
    <t>CU 06/09 SE DESCARGO EN RIQUEZA NATURAL 3 CAMIONES CON 3240 CAJAS BONITA CADA UNO</t>
  </si>
  <si>
    <t>8079/</t>
  </si>
  <si>
    <t>PYCJ22/ LVHC53</t>
  </si>
  <si>
    <t>SE DESCARGO EN RIQUEZA NATURAL 2160 CAJAS DE BAGNO EL DIA 7/9/2024</t>
  </si>
  <si>
    <t>8082/</t>
  </si>
  <si>
    <t>SE DESCARGO EN RIQUEZA NATURAL 918 CAJAS DE BAGNO Y 210 PLATANO EL DIA 7/9/2024</t>
  </si>
  <si>
    <t>FF2400190/</t>
  </si>
  <si>
    <t>PALTA</t>
  </si>
  <si>
    <t>BWHJ88</t>
  </si>
  <si>
    <t>SE DESCARGO EN RIQUEZA NATURAL 1232 CAJAS DE PALTA CAL 70 Y 704 CAJAS DE PALTA CAIL 84</t>
  </si>
  <si>
    <t>273/</t>
  </si>
  <si>
    <t>Calabacin</t>
  </si>
  <si>
    <t>Palta 70 y 84</t>
  </si>
  <si>
    <t>11847/</t>
  </si>
  <si>
    <t>JHF580</t>
  </si>
  <si>
    <t>SE DESCRAGO EN RIQUEZA NATURAL 1080 CAJAS DE BAGNO EL DIA 11/9/2024</t>
  </si>
  <si>
    <t>8095/</t>
  </si>
  <si>
    <t>LJVV48/ KKWF65</t>
  </si>
  <si>
    <t>CU 11/09 SE DESACRGO EN RIQUEZA NATURAL 2160 CAJAS DE BAGNO</t>
  </si>
  <si>
    <t>8096/</t>
  </si>
  <si>
    <t>11848/</t>
  </si>
  <si>
    <t xml:space="preserve">CU 12/09 SE DESCARGO EN RIQUEZA NATURAL 1 BONITA  1080 CAJAS </t>
  </si>
  <si>
    <t xml:space="preserve">CU SE DESCARGO 1 BONITA VINIERON 1080 CAJAS  VINO INTERVENIDO POR AFIDI MAL</t>
  </si>
  <si>
    <t>10290/</t>
  </si>
  <si>
    <t>88243/</t>
  </si>
  <si>
    <t>PJJR57</t>
  </si>
  <si>
    <t>CU 14/09 SE DESCARGO EN RIQUEZA NATURAL 1080 CAJAS DE TROPICAL VINO INTERVENIDO</t>
  </si>
  <si>
    <t>FF2400210/</t>
  </si>
  <si>
    <t>Palta 60 y 84</t>
  </si>
  <si>
    <t>35149/</t>
  </si>
  <si>
    <t>56703/</t>
  </si>
  <si>
    <t>CU 17/09 SE DESCARGO EN RIQUEZA NATURAL 2112 CAJAS DE PALTA PROPAL CAL 60</t>
  </si>
  <si>
    <t>8111/</t>
  </si>
  <si>
    <t>SE DESCARGO EN RIQUEZA NATURAL 1080 CAJAS DE BAGNO EL DIA 19/9/2024</t>
  </si>
  <si>
    <t>8112/</t>
  </si>
  <si>
    <t xml:space="preserve">CU  18/09  SE DESCARGO EN RIQUEZA NATURAL 918 CAJAS DE BANANA Y 210 CAJAS DE PLATANO VINO UNAS CAJAS CON MADURAS </t>
  </si>
  <si>
    <t>11883/</t>
  </si>
  <si>
    <t>11882/</t>
  </si>
  <si>
    <t>88250/</t>
  </si>
  <si>
    <t>CU 21/9 SE DESCARGO EN RIQUEZA NATURAL 1080 CAJAS TROPICAL</t>
  </si>
  <si>
    <t>56876/</t>
  </si>
  <si>
    <t>10333/</t>
  </si>
  <si>
    <t>11916/</t>
  </si>
  <si>
    <t>CU 30/09 SE DESCARGO EN RIQUEZA NATURAL 1080 CAJAS DE BONITA</t>
  </si>
  <si>
    <t>8116/</t>
  </si>
  <si>
    <t>CU 30/09 SE DESCARGO EN RIQUEZA NATURAL 918 CAJS BAGNO Y 210 CAJAS DE PLATANO</t>
  </si>
  <si>
    <t>35265/</t>
  </si>
  <si>
    <t>SRDL96</t>
  </si>
  <si>
    <t xml:space="preserve">CU 30/09 SE DESCARGO EN RIQUEZA NATURAL 2112 CAJAS DE KIWI </t>
  </si>
  <si>
    <t>88255/</t>
  </si>
  <si>
    <t>SE DESCARGO EN RIQUEZA NATURAL 1080 CAJAS DE CBANANA COLOBIA EL DIA 1/10/24</t>
  </si>
  <si>
    <t>11917/</t>
  </si>
  <si>
    <t>RBXC26/LJVV48</t>
  </si>
  <si>
    <t>SE DESCARGO EN RIQUEZA NATURAL 2 CAMIONES DE ECUADOR (BNIONITA) 2160 CAJAS TOTAL. EL DIA 01/10/24</t>
  </si>
  <si>
    <t>11979/</t>
  </si>
  <si>
    <t>PLFP86/ RBXC25</t>
  </si>
  <si>
    <t>CU 04/10 SE DESCARGO EN RIQUEZA NATURAL 2160 CAJASDE BONITA</t>
  </si>
  <si>
    <t>11978/</t>
  </si>
  <si>
    <t>CU 04/10 SE DESCARGO EN RIQUEZA NATURAL 1080 CAJASDE BONITA</t>
  </si>
  <si>
    <t>FVC24 / 77</t>
  </si>
  <si>
    <t>Ciruela</t>
  </si>
  <si>
    <t>57306/</t>
  </si>
  <si>
    <t>DLFS99</t>
  </si>
  <si>
    <t>CU 05/10 SE DESCARGO EN RIQUEZA NATURAL 2112 CAJAS DE PALTA PROPAL</t>
  </si>
  <si>
    <t>8127/</t>
  </si>
  <si>
    <t>RBXC27-</t>
  </si>
  <si>
    <t>05/10 SE DESCARGO ENRIQUEZA NATURAL 1080 CAJAS DE BAGNO</t>
  </si>
  <si>
    <t>88260/</t>
  </si>
  <si>
    <t>RBXC26-PYCJ22</t>
  </si>
  <si>
    <t>SE DESCARGO EN RIQUEZA NATURAL 1080 CAJAS DE BANAN COLOMBIANA PEPE CAMION GOLPIADO Y 1080 CAJAS DE TROPICAL</t>
  </si>
  <si>
    <t>88269/</t>
  </si>
  <si>
    <t>19-20</t>
  </si>
  <si>
    <t>PJJR55-JHFS80</t>
  </si>
  <si>
    <t>SE DESCARGO EN RIQUEZA NATURAL 1080 CAJAS DE BANANA COLOMBIANA CAJA "PEPE" Y 1080 CAJAS DE BANANA TROPICAL EL DIA 09/10</t>
  </si>
  <si>
    <t>8145/</t>
  </si>
  <si>
    <t>LJVV48-PJJZ54</t>
  </si>
  <si>
    <t>14/10 SE DESCARGO EN RIQUEZA NATURAL 2160 CAJAS DE BAGNO</t>
  </si>
  <si>
    <t>12029/</t>
  </si>
  <si>
    <t xml:space="preserve">14/10 SE DESCARGO EN RIQUEZA NATURAL 1080  CAJAS DE BONITA</t>
  </si>
  <si>
    <t>10366/</t>
  </si>
  <si>
    <t>101186/</t>
  </si>
  <si>
    <t>8155/</t>
  </si>
  <si>
    <t>LJVV48-PJJZ54-LZRG71</t>
  </si>
  <si>
    <t>15/10 SE DESCARGO EN RIQUEZA NATURAL 1080 CAJAS DE BAGNO</t>
  </si>
  <si>
    <t>57411/</t>
  </si>
  <si>
    <t>RKLD30</t>
  </si>
  <si>
    <t>15/10 SE DESCARGO EN RIQUEZA NATURAL 2112 CAJAS DE PLATA PROPAL CAL 84- CAL 60</t>
  </si>
  <si>
    <t>FF2400346</t>
  </si>
  <si>
    <t xml:space="preserve">15/10 SE DESACRGO EN RIQUEZA NATURAL 1936 CAJAS DE BAIKA  CAL 60- CAL 70 </t>
  </si>
  <si>
    <t>FF2400348</t>
  </si>
  <si>
    <t>PALTA 60</t>
  </si>
  <si>
    <t>BZCK38</t>
  </si>
  <si>
    <t>S DESCARGO EN RIQUEZA NATURAL 1936 CAJAS DE PALTA CAL 60 BAIKA ETIQUETADA EL DIA 15/10/2024</t>
  </si>
  <si>
    <t>20/</t>
  </si>
  <si>
    <t>TULI</t>
  </si>
  <si>
    <t>3858EEN/3858EHB</t>
  </si>
  <si>
    <t>12030/</t>
  </si>
  <si>
    <t>PYCJ24/RBXC26</t>
  </si>
  <si>
    <t>SE DESCARGO EN RIQUEZA NATURAL 2160 CAJAS DE BONITA.</t>
  </si>
  <si>
    <t>88273/</t>
  </si>
  <si>
    <t>B</t>
  </si>
  <si>
    <t>PYCJ22-PJJR57</t>
  </si>
  <si>
    <t>SE DESCARGOE NR IQUEZA NATURAL 2160 CAJAS DE COLOMBIANA PEPE EL DIA 22/10/2024</t>
  </si>
  <si>
    <t>8165/</t>
  </si>
  <si>
    <t>SE DESCARGOE NR IQUEZA NATURAL 1080 CAJAS DE BAGNO EL DIA 22/10/2024</t>
  </si>
  <si>
    <t>10407/</t>
  </si>
  <si>
    <t>12099/</t>
  </si>
  <si>
    <t>PJJR58/LJVV48</t>
  </si>
  <si>
    <t>25/10 SE DESCARGO 1080 CAJAS DE BONITA</t>
  </si>
  <si>
    <t>8177/</t>
  </si>
  <si>
    <t>SE DESCARGO EN RIQUEZA NATURAL 1998 CAJAS BANANA BAGNO, Y 210 CAJAS DE PLATANO EL DIA 25/10/2024.</t>
  </si>
  <si>
    <t>SE DESCARGO EN RIQUEZA NATURAL 1080 CAJAS DE BANANA BG. 28/10/2024.</t>
  </si>
  <si>
    <t>88277/</t>
  </si>
  <si>
    <t>SE DESCARGO EN RIQUEZA NATURAL 1080 CAJAS DE BANANA, TROPICAL CON CAJA PEPE. 28/10/2024,</t>
  </si>
  <si>
    <t>JJR55-RBXC26</t>
  </si>
  <si>
    <t>28/10 SE DESCARGO UN TROPICAL PEPE Y UN TROPICAL VINO CON UNOS PALLET CON FRITAS MADURAS 2160 CAJAS</t>
  </si>
  <si>
    <t>FF2400440</t>
  </si>
  <si>
    <t>PLATA</t>
  </si>
  <si>
    <t>BWHJ80</t>
  </si>
  <si>
    <t>29/10 SE DESCARGO EN RIQUEZA NATURAL 1936 CAJAS DE BAIKA</t>
  </si>
  <si>
    <t>F002-121</t>
  </si>
  <si>
    <t>Esparrago</t>
  </si>
  <si>
    <t>12101/</t>
  </si>
  <si>
    <t>30/10 SEDESCARGO EN RIQUEZA NATURAL 1080 CAJAS DE BONITA</t>
  </si>
  <si>
    <t>12100/</t>
  </si>
  <si>
    <t>PJJR54-PYCJ22</t>
  </si>
  <si>
    <t>30/10 SE DESCARGO EN RIQUEZA NATURAL 2160 CAJAS DE BONITA</t>
  </si>
  <si>
    <t>10421/</t>
  </si>
  <si>
    <t>8190/</t>
  </si>
  <si>
    <t>PLFP86-JHFS80-PJJR58</t>
  </si>
  <si>
    <t>SE DESCARGO EN RIQUEZA NATURAL 3240 CAJAS DE BANANA BG. 1/11/2024.</t>
  </si>
  <si>
    <t>12137/</t>
  </si>
  <si>
    <t>1/11 SE DESCARGO EN RIQUEZA NATURAL 1080 CAJAS DE BONITA</t>
  </si>
  <si>
    <t>8191/</t>
  </si>
  <si>
    <t xml:space="preserve"> PLATANO BAGN0-</t>
  </si>
  <si>
    <t xml:space="preserve">SE DESCARGO  EN RIQEZA NATURAL 918 CAJAS DE BAGNO Y 210 CAJAS DE PLATANO EL DIA 1/11/2024</t>
  </si>
  <si>
    <t>12138/</t>
  </si>
  <si>
    <t>RBXC25-PYCJ23</t>
  </si>
  <si>
    <t xml:space="preserve">04/11 SE DESCARGO EN RIQUEZA NATURAL 2160 CAJAS DE BONITA </t>
  </si>
  <si>
    <t>FF2400427/</t>
  </si>
  <si>
    <t>05/11 SE DESCARGO EN RIQUEZA NATURAL 1936 CAJAS DE PALTA BAIKA CAL 60</t>
  </si>
  <si>
    <t>FF2400423/</t>
  </si>
  <si>
    <t xml:space="preserve">PALTA  CAL 84 </t>
  </si>
  <si>
    <t>05/11 SE DESCARGO EN RIQUEZA NATURAL 1936 CAJAS DE PALTA BAIKA CAL 84</t>
  </si>
  <si>
    <t>31104737/</t>
  </si>
  <si>
    <t>Pomelo</t>
  </si>
  <si>
    <t>EG</t>
  </si>
  <si>
    <t>Se descargo en Zac 1312 cajas Pomelo Rojo- Egipto</t>
  </si>
  <si>
    <t>8204/</t>
  </si>
  <si>
    <t>SE DESCARGO EN RIQUEZA NATURAL 1080 CAJAS DE BANANA BAGNO 09/11/2024.</t>
  </si>
  <si>
    <t>12180/</t>
  </si>
  <si>
    <t>BONITA 1020</t>
  </si>
  <si>
    <t>SE DESCARGO EN RIQUEZA NATURAL 1080 CAJAS DE BANANA BONITA. 09/11/2024.</t>
  </si>
  <si>
    <t>8205/</t>
  </si>
  <si>
    <t xml:space="preserve">BAGNO-EXOTICO </t>
  </si>
  <si>
    <t>SE DESCARGO EN RIQUEZA NATURAL 918 CAJAS DE BANANA BAGNO Y 210 PLATANO . 09/11/2024.</t>
  </si>
  <si>
    <t>KKWF66/KKWF65/PJJR57/PYCJ22</t>
  </si>
  <si>
    <t>SE DESCARGO EN RIQUEZA NATURAL 4320 CAJAS DE BANANA BAGNO. 09/11/2024.</t>
  </si>
  <si>
    <t>463/</t>
  </si>
  <si>
    <t>ESTA PALTA VIENE A DESTRUCCION. ESTA EN MUY MAL ESTADO. SE DESCARGO EN RIQUEZA NATURAL 1920 CAJAS DE PLATA CAL 84 EL DIA 11/11/2024</t>
  </si>
  <si>
    <t>10452/</t>
  </si>
  <si>
    <t>SE DESCARGO EN ZAC -1680 CAJAS DE PIÑA (960 CAL,6- 480 CAL, 7 -240 CAL ,8 )</t>
  </si>
  <si>
    <t>88283/</t>
  </si>
  <si>
    <t>TROPICAL 1009</t>
  </si>
  <si>
    <t>SE DESCARGO 1080 CAJAS DE BANANA COLOMBIA TROPICAL, CAJA PEPE 11/11/24,</t>
  </si>
  <si>
    <t>12181/</t>
  </si>
  <si>
    <t>SE DESCARGO EN RIQUEZA NATURAL 1080 CAJAS DE BONITA . 11/111/2024.</t>
  </si>
  <si>
    <t>13/11 SE DESCARGO EN RIQUEZA NATURAL 1080 CAJAS DE BONITA</t>
  </si>
  <si>
    <t>25/</t>
  </si>
  <si>
    <t>BHO3218/3858EHB</t>
  </si>
  <si>
    <t>SE DESCARGO EN RIQUEZA NATURAL 2208 CAJAS DE TULI EL DIA 14/11/2024</t>
  </si>
  <si>
    <t>12253/</t>
  </si>
  <si>
    <t>58113/</t>
  </si>
  <si>
    <t>PROPAL</t>
  </si>
  <si>
    <t>16/11 SE DESCARGO EN RIQUEZA NATURAL 1056 CAJAS DE CAL 60 Y 1056 CAJAS DE CAL 84 PROPAL</t>
  </si>
  <si>
    <t>FF2400476/</t>
  </si>
  <si>
    <t>BAIKA</t>
  </si>
  <si>
    <t>SE DESCARGO EN RIQUEZA NATURAL 1936 CAJAS DE PALTA CAL 60 BAIKA EL DIA 16/11/2024</t>
  </si>
  <si>
    <t>88293/</t>
  </si>
  <si>
    <t>TROPICAL PEPE</t>
  </si>
  <si>
    <t>SE DESCARGO EN RIQUEZA NATURAL 2160 CAJAS DE BANANA TROPICAL PEPE EL DIA 16/11/2024</t>
  </si>
  <si>
    <t>31104738/</t>
  </si>
  <si>
    <t>419/</t>
  </si>
  <si>
    <t>Boniato</t>
  </si>
  <si>
    <t>BOT 175</t>
  </si>
  <si>
    <t xml:space="preserve">BONIATO SE DESCARGO EN ZAC 1760 CAJAS </t>
  </si>
  <si>
    <t>420/</t>
  </si>
  <si>
    <t>HSE 590</t>
  </si>
  <si>
    <t>31104757/</t>
  </si>
  <si>
    <t>STP 4354</t>
  </si>
  <si>
    <t>Se descargo en Zac 1347 cajas Pomelo Blanco- Egipto</t>
  </si>
  <si>
    <t>10476/</t>
  </si>
  <si>
    <t xml:space="preserve">KKW  F66</t>
  </si>
  <si>
    <t xml:space="preserve">SE DESCARGO EN ZAC(1680 CAJAS DE PIÑA)  400 CAL.5,960 CAL 6,240 CAL 7,80 CAL 8</t>
  </si>
  <si>
    <t>58137/</t>
  </si>
  <si>
    <t>EXOTICO PALTA</t>
  </si>
  <si>
    <t xml:space="preserve">SE  DESCARGO EN RIQUEZA NAATURAL 1056 CAJAS DE PALTA CA 60 PROPAL Y 1056 PALTA CAL 84 PROPAL EL DIA 20/11/2024</t>
  </si>
  <si>
    <t>422/</t>
  </si>
  <si>
    <t>AB624QQ</t>
  </si>
  <si>
    <t>Se descargo en Corfrisa Boniato, 400 chico,1120 mediana,240 grande</t>
  </si>
  <si>
    <t>423/</t>
  </si>
  <si>
    <t>BWH 520</t>
  </si>
  <si>
    <t>Se descargo en Corfrisa Boniato, 560 chico,880 mediana,320 grande</t>
  </si>
  <si>
    <t>12254/</t>
  </si>
  <si>
    <t>BONITA 1027</t>
  </si>
  <si>
    <t>SE DESCARGO EN RIQUEZA NATURA 2160 CAJAS DE BANANA BONITA. 22/11/24.</t>
  </si>
  <si>
    <t>29/</t>
  </si>
  <si>
    <t>TULI 1118</t>
  </si>
  <si>
    <t>BG03214/BK03215</t>
  </si>
  <si>
    <t xml:space="preserve">SE DESCARGO EN RIQUEZA NATURAL 2208  CAJAS DE BANANA BOLIVIANA (TULI).22/11/24.</t>
  </si>
  <si>
    <t>421/</t>
  </si>
  <si>
    <t>BRL194/KQJ628</t>
  </si>
  <si>
    <t>Se descargo en Corfrisa Boniato,560 chico,880 mediano,320 grande</t>
  </si>
  <si>
    <t>424/</t>
  </si>
  <si>
    <t>RHS197/IPX644</t>
  </si>
  <si>
    <t>Se descargo en Corfrisa Boniato,480 chico,960 mediano,320 grande</t>
  </si>
  <si>
    <t>425/</t>
  </si>
  <si>
    <t>AF167LW/GTF555</t>
  </si>
  <si>
    <t>Se descargo en Corfrisa Boniato,240 chico,1040 mediano,480 grande</t>
  </si>
  <si>
    <t>102265/</t>
  </si>
  <si>
    <t>EXOTICO PALTA 1008 CAL.0</t>
  </si>
  <si>
    <t>SE DESCARGO EN RIQUEZA NATURA, 1920 CAJAS DE PALTA CAL. 60 MISSION, APENAS CON PRINCIPIO DE HONGOS. 22/11/24.</t>
  </si>
  <si>
    <t>8233/</t>
  </si>
  <si>
    <t xml:space="preserve">22/11 SE DESCARGO EN RIQUEZA NATURAL 1080 CAJAS DE BAGNO </t>
  </si>
  <si>
    <t>12295/</t>
  </si>
  <si>
    <t>22/11 SE DESCARGO EN RIQUEZA NATURAL 1080 CAJAS DE BONITA</t>
  </si>
  <si>
    <t>8234/</t>
  </si>
  <si>
    <t>23/11 SE DESCARGO EN RIQUEZA NATURAL 210 CAJAS DE PLATANO Y 918 CAJAS DE BANANA BAGNO</t>
  </si>
  <si>
    <t>101925/</t>
  </si>
  <si>
    <t>EXOTICO 1001</t>
  </si>
  <si>
    <t xml:space="preserve">SE DESCARGO EN RIQUEZA NATURAL, 1920 CAJAS DE PALTA MISSION CAL.60, CON PRINCIPIO DE  HONGO.23/11/24</t>
  </si>
  <si>
    <t>102045/</t>
  </si>
  <si>
    <t xml:space="preserve">EXOTICO </t>
  </si>
  <si>
    <t>FF2400484/</t>
  </si>
  <si>
    <t xml:space="preserve">Palta </t>
  </si>
  <si>
    <t>EXOTICO 1118</t>
  </si>
  <si>
    <t>OTP3258</t>
  </si>
  <si>
    <t>SE DESCARGO EN RIQUEZA NATURAL 1936 CAJAS DE PALTA BAIKA CAL.60 CON ETIQUETA. 23/11/24.</t>
  </si>
  <si>
    <t>292/</t>
  </si>
  <si>
    <t>Cereza</t>
  </si>
  <si>
    <t>Se descargo en ZAC 4 Palet con 608 cajas de Cereza Chilena</t>
  </si>
  <si>
    <t>426/</t>
  </si>
  <si>
    <t>AD455HB</t>
  </si>
  <si>
    <t>Se descargo en Corfrisa Boniato, 320 chico,640 mediana,800 grande</t>
  </si>
  <si>
    <t>427/</t>
  </si>
  <si>
    <t>AB970KL</t>
  </si>
  <si>
    <t>Se descargo en Corfrisa Boniato, 400 chico,960 mediana,400 grande</t>
  </si>
  <si>
    <t>428/</t>
  </si>
  <si>
    <t>BWH520</t>
  </si>
  <si>
    <t>12296/</t>
  </si>
  <si>
    <t xml:space="preserve">25/11 SE DESCARGO EN RIQUEZA NATURAL 1080 CAJAS DE BONITA </t>
  </si>
  <si>
    <t>25/11 SE DESCARGO EN RIQUEZA NATURAL 1080 CAJAS DE BONITA</t>
  </si>
  <si>
    <t>88297/</t>
  </si>
  <si>
    <t>FF2400521/</t>
  </si>
  <si>
    <t>Limón</t>
  </si>
  <si>
    <t>JKDL74</t>
  </si>
  <si>
    <t>26/11 SE DESCARGO EN ZAC, LIMON, 770 CAJAS GRDE,350 CAJAS MEDIANO,420 CAJAS CHICO</t>
  </si>
  <si>
    <t>102510/</t>
  </si>
  <si>
    <t>EXOTICO 1022</t>
  </si>
  <si>
    <t>SE DESCARGO EN RIQUEZA NATURAL, 960 CAJAS DE PALTA CAL.60 MISSION, Y 960 CAJAS DE PALTA CAL.84 MISSION 28/11/24.</t>
  </si>
  <si>
    <t>42/</t>
  </si>
  <si>
    <t>TULI 11/22</t>
  </si>
  <si>
    <t>2569UL/3858EEN</t>
  </si>
  <si>
    <t>SE DESCARGO EN RIQUEZA NATURAL 2207 , CAJAS DE BANANA BOLIVIANA "TULI". 28/11/24.</t>
  </si>
  <si>
    <t>88308/</t>
  </si>
  <si>
    <t>PJJR55-LXVT15</t>
  </si>
  <si>
    <t xml:space="preserve">SE DESCARGO EN RIQUEZA NATURAL  1080 CAJA TROPICAL PEPE  TROPICAL 1080 CAJAS </t>
  </si>
  <si>
    <t>88258/</t>
  </si>
  <si>
    <t>BAGNO1110</t>
  </si>
  <si>
    <t>SE DESCARGO EN RIQUEZA NATURAL 1080 CAJAS DE BANANA BG. 29/11/24.</t>
  </si>
  <si>
    <t>12320/</t>
  </si>
  <si>
    <t>PYCJ24-PJJR58</t>
  </si>
  <si>
    <t>SE DESCARGO EN RIQUEZA NATURAL 2160CAJAS DE BANANA BONITA.</t>
  </si>
  <si>
    <t>10515/</t>
  </si>
  <si>
    <t>Exotico</t>
  </si>
  <si>
    <t>RBX C25</t>
  </si>
  <si>
    <t>Se descargo en Zac Piña 400 cal,5- 640 Cal.6, 480 Cal,7 - 160 Cal,8</t>
  </si>
  <si>
    <t>88259/</t>
  </si>
  <si>
    <t>LVJJ48</t>
  </si>
  <si>
    <t xml:space="preserve">30/11 SE DESCARGO EN RIQUEZ NATRUAL 918 CAJAS DE BANANA  Y 210 CAJAS DE PLATANO BAGNO VINO EN BUEN ESTADO LOS PLATANOS</t>
  </si>
  <si>
    <t>294/</t>
  </si>
  <si>
    <t>cereza</t>
  </si>
  <si>
    <t>OTP 3675</t>
  </si>
  <si>
    <t>SE DESCARGO EN ZAC. 375 CAJAS CEREZA ROYAL,419 CAJAS CEREZA SANTINA, 22 CAJAS CEREZA STELLA</t>
  </si>
  <si>
    <t>FF2400540/</t>
  </si>
  <si>
    <t>SE DESCARGO EN ZAC 1.260 CAJAS DE LIMON, CALIBRES 95 Y 115</t>
  </si>
  <si>
    <t>10543/</t>
  </si>
  <si>
    <t>Se descargo en zac. 1680 Cajas Piña,</t>
  </si>
  <si>
    <t>8269/</t>
  </si>
  <si>
    <t>SE DESCARGO EN RIQUEZA NATURAL 1080 CAJAS DE BAGNO EL DIA 4/12/2024</t>
  </si>
  <si>
    <t>12363/</t>
  </si>
  <si>
    <t>SE DESCARGO EN RIQUEZA NATURAL 1080 CAJAS DE BONITA EL DIA 4/12/2024</t>
  </si>
  <si>
    <t>88313/</t>
  </si>
  <si>
    <t xml:space="preserve">TROPICAL </t>
  </si>
  <si>
    <t>SE DESCARGO EN RIQUEZA NATURAL 1080 CAJAS DE COLOMBIA PEPE EL DIA 5/11/2024</t>
  </si>
  <si>
    <t>36/</t>
  </si>
  <si>
    <t xml:space="preserve"> A PISO</t>
  </si>
  <si>
    <t>4713IYD</t>
  </si>
  <si>
    <t xml:space="preserve">BANEXFRUT DANIEL RAMOS.  SE DESCARGO EN RIQUEZA NATURAL 1050 CAJAS DE BANANA, SUPREMA BOLIVIANA. 5/12/24.</t>
  </si>
  <si>
    <t>45/</t>
  </si>
  <si>
    <t>2566HFC-3862CBF</t>
  </si>
  <si>
    <t xml:space="preserve">05/11 SE DESCARGO EN RIQUEZA NATURAL 2 CAMIONES DE TULI 1104 CAJAS CADA  UNO BUEN ESTADO</t>
  </si>
  <si>
    <t>12364/</t>
  </si>
  <si>
    <t>PJJR58-RBXC25</t>
  </si>
  <si>
    <t>06/11 SE DESCARGO EN RIQUEZA NATURAL 2160 CAJAS DE BONITA E BUEN ESTADO</t>
  </si>
  <si>
    <t>BAGNO 1127</t>
  </si>
  <si>
    <t>PYCJ22/JHFS80</t>
  </si>
  <si>
    <t>SE DESCARGO EN RIQUEZA NATURAL 2160 CAJAS DE BANANA BAGNO, 06/12/24.</t>
  </si>
  <si>
    <t>8270/</t>
  </si>
  <si>
    <t>KKFW66</t>
  </si>
  <si>
    <t>SE DESCARGO EN RIQUEZA NATURAL 918 CAJAS DE BAGNO Y 210 PLATANO EL DIA 6/12/2024</t>
  </si>
  <si>
    <t>FF2400525/</t>
  </si>
  <si>
    <t>SE DESCARGO EN RIQUEZA NATURAL 1936 CAJAS DE ALTA CAL.60 BAIKA.7/12/24,</t>
  </si>
  <si>
    <t>165/</t>
  </si>
  <si>
    <t>VCTORIA</t>
  </si>
  <si>
    <t>2270SNE</t>
  </si>
  <si>
    <t xml:space="preserve">10/11 SE DESCARGO EN RIQUEZA NATURAL 1000 CAJAS DE VICTORIA VINO CON PECAS MADURAS Y SENTIDAS  Y CON HONGOS</t>
  </si>
  <si>
    <t>166/</t>
  </si>
  <si>
    <t>VICTORIA</t>
  </si>
  <si>
    <t>3127CSD</t>
  </si>
  <si>
    <t>100/11 SE DESCARGO UN CAMION DE BOLIVIA VINIERON 1000 CAJAS DE VICTORIUA VINO RAMEADA Y CON ROSES LA FRUTA ES BUEN TAMAÑO</t>
  </si>
  <si>
    <t>31104815/</t>
  </si>
  <si>
    <t>GR</t>
  </si>
  <si>
    <t>STP 8268</t>
  </si>
  <si>
    <t>Se descargo en Zac 848 cajas Pomelo Rojo- 390 Pomelo Blanco- Egipto</t>
  </si>
  <si>
    <t>051/</t>
  </si>
  <si>
    <t xml:space="preserve">12/12 SE DESCARGO EN RIQUEZ NATURAL 2 CAMIONES DE TULI VINIERON 2208 CAJAS </t>
  </si>
  <si>
    <t>88317/</t>
  </si>
  <si>
    <t>TROPICAL 1109</t>
  </si>
  <si>
    <t>SE DESCARGO EN RIQUEZA NATURAL, 1080 CAJAS DE BANANA TROPICAL COLOMBIA. 12/12/24.</t>
  </si>
  <si>
    <t>88333-88332/</t>
  </si>
  <si>
    <t>KYRC71</t>
  </si>
  <si>
    <t>Se descargo en ZAC 1280 Cajas en Bolsas y 1472 cajas a granel de Cerezas chilenas</t>
  </si>
  <si>
    <t xml:space="preserve">PYCJ22/.MK                                                            </t>
  </si>
  <si>
    <t>SE DESCARGO EN RIQUEZA NATURAL 3240 CAJAS DE TROPICAL EL DIA 13/12/2024</t>
  </si>
  <si>
    <t>8279/</t>
  </si>
  <si>
    <t>PJJR54/PJJR57/PLFP86</t>
  </si>
  <si>
    <t xml:space="preserve">SE DESCARGO EN RIQUEZA NATURAL, 3240 CAJAS DE BANANA BAGNO EL DIA   13/12/24.</t>
  </si>
  <si>
    <t>042/</t>
  </si>
  <si>
    <t>A PISO</t>
  </si>
  <si>
    <t>SUPREMA 1207</t>
  </si>
  <si>
    <t>318ALT</t>
  </si>
  <si>
    <t>Daniel Ramos Banexfrut. SE DESCARGO EN RIQUEZA NATURAL, 1050 CAJAS DE BANANA BOLIVIANA (SUPREMA). CAMION CON MERCADERIA A PISO.13/12/24.</t>
  </si>
  <si>
    <t>8280/</t>
  </si>
  <si>
    <t>BAGNO 1126</t>
  </si>
  <si>
    <t>SE DESCARGO EN RIQUEZA NATURAL, 210 CAJAS DE PLATANO, 918 CAJAS DE BANANA BGNO CON PRINCIPIO DE HONGOS EN LA BASE. 13/12/24.</t>
  </si>
  <si>
    <t>10559/</t>
  </si>
  <si>
    <t>13.5</t>
  </si>
  <si>
    <t>Se descargo en ZAC 1680 CJAS DE PIÑA</t>
  </si>
  <si>
    <t>4IND3-001142/</t>
  </si>
  <si>
    <t>Se descargo en zac 21 Palet con 2030 cajas de Kiwi Grecia(Cal.36-100 caj,Cal.33-740 caj,Cal.30-400 Caj,Cal 27-480 caj,Cal 25-310 Caj.)</t>
  </si>
  <si>
    <t>12428/</t>
  </si>
  <si>
    <t>BONITA 1126</t>
  </si>
  <si>
    <t>SE DESCARGO EN RIQUEZA NATURAL, 1080 CAJAS DE BANANA BONITA. 17/12/24,</t>
  </si>
  <si>
    <t>Bolibanana</t>
  </si>
  <si>
    <t>10606/</t>
  </si>
  <si>
    <t>RBX C26</t>
  </si>
  <si>
    <t>043/</t>
  </si>
  <si>
    <t>Daniel Ramos Banexfrut</t>
  </si>
  <si>
    <t>045/</t>
  </si>
  <si>
    <t>8290/</t>
  </si>
  <si>
    <t>LJVV48/PYCJ22/RBXC277RBXC25</t>
  </si>
  <si>
    <t>SE DESCARO EN RIUEZA NATURAL, 4158 CAJAS DE BANANA ECUADOR BG. Y 210 CAJAS DE PLATANOS. 20/12/24.</t>
  </si>
  <si>
    <t>056//</t>
  </si>
  <si>
    <t>Banana Tuli</t>
  </si>
  <si>
    <t>88324/</t>
  </si>
  <si>
    <t>8291/</t>
  </si>
  <si>
    <t>TROPICAL SUPER</t>
  </si>
  <si>
    <t>SE DESCARGO EN RIQUEZA NATURAL 1080 CAJAS DE COLOMBIA SUPER EL DIA 21/12/2024</t>
  </si>
  <si>
    <t>12469/</t>
  </si>
  <si>
    <t>PLFP86-PJJR55</t>
  </si>
  <si>
    <t>4IND3-001088/</t>
  </si>
  <si>
    <t>STP 4138</t>
  </si>
  <si>
    <t>Se descargo en Zac. 21 Palet con 2130 cajas de Kiwi(Cal 25-410 caj,Cal 27-510 caj,Cal 30 -590 caj,Cal 33- 620 caj)</t>
  </si>
  <si>
    <t>10/</t>
  </si>
  <si>
    <t>Se descargo en Zac. 21 Palet con 2310 cajas de Kiwi(Cal.23,110 caj,Cal.25,550 caj,Cal.27,550 caj,Cal.33 ,4440 caj,Cal 30, 550 caj,Cal.36,110 caj.)</t>
  </si>
  <si>
    <t>FF2400556/</t>
  </si>
  <si>
    <t>RKHT85</t>
  </si>
  <si>
    <t>SE DESCARGO EN ZAC 1936 CAJAS DE PALTA 60.-BAIKA</t>
  </si>
  <si>
    <t>050//</t>
  </si>
  <si>
    <t>SUPREMA1220</t>
  </si>
  <si>
    <t>4241RIS</t>
  </si>
  <si>
    <t>SE DESCARGO EN RIQUEZA NATURAL, 1098 CAJAS DE BANANA SUPREMA .27/12/24,</t>
  </si>
  <si>
    <t>051//</t>
  </si>
  <si>
    <t>SUPREMA</t>
  </si>
  <si>
    <t>3128ALT</t>
  </si>
  <si>
    <t>SE DESCARGO EN RIQUEZA NATURAL, 1099 CAJAS DE BANANA BOLIIA, SUPREMA. 27/12/24</t>
  </si>
  <si>
    <t>57/</t>
  </si>
  <si>
    <t>3862CBF</t>
  </si>
  <si>
    <t>SE DESCARGO EN RIQUEZA NATURAL 2206CAJAS BANANA BOLIVIA TULI. 27/12/24,</t>
  </si>
  <si>
    <t>88329/</t>
  </si>
  <si>
    <t>PYCJ23-</t>
  </si>
  <si>
    <t>60/</t>
  </si>
  <si>
    <t>TULI1226</t>
  </si>
  <si>
    <t>3854YAE-3854YDR</t>
  </si>
  <si>
    <t>SE DESCARGO EN RIQUEZA NATURL 2208 CAJAS DE BANANA TULI.31/12/24.</t>
  </si>
  <si>
    <t>58599/</t>
  </si>
  <si>
    <t>11.5</t>
  </si>
  <si>
    <t>OTP3000 / OTP 2620</t>
  </si>
  <si>
    <t>SE DESCARGO EN ZAC 2024 CAJAS PALTA PROPAL - CALIBRE 60</t>
  </si>
  <si>
    <t>31104883/</t>
  </si>
  <si>
    <t>MNB349789-3</t>
  </si>
  <si>
    <t>Se descargo en Zac.1664 Cajas Limon Egipto,(160 cal.072,160cal.080,224cal.088,480cal.100,480 cal113,160 cal.125)</t>
  </si>
  <si>
    <t>54//</t>
  </si>
  <si>
    <t>SUPREMA 1228</t>
  </si>
  <si>
    <t>SE DESCARGO EN RIQUEZA NATURAL, 1100 CAJAS DE BANANA BOLIVIANA ( SUPREMA).3/01/25,</t>
  </si>
  <si>
    <t>8305/</t>
  </si>
  <si>
    <t>BAGNO 1217</t>
  </si>
  <si>
    <t>04/01 SE DESCARGO EN RIQUEZA NATURAL 1080 CAJAS DE BAGNO FRUTAS EN BUEN ESTADO</t>
  </si>
  <si>
    <t>10646/</t>
  </si>
  <si>
    <t>HLBU912653-0</t>
  </si>
  <si>
    <t>04/01 SE DESCARGO EN ZAC, 1680 CAJ.PIÑA ECUADOR(240 CAJ.CAL.5,880 CAJ.CAL.6,400 CAJ,CAL.7,160 CAJ.CAL8)</t>
  </si>
  <si>
    <t>88335/</t>
  </si>
  <si>
    <t>TROPICAL 1209</t>
  </si>
  <si>
    <t>KKWF66-PJJR54</t>
  </si>
  <si>
    <t xml:space="preserve">SE DESCARGO EN RIQUEZA NATURAL 1080 CAJAS, DE BANANA TROPICAL SUO. 4/01/25, SE DESCARGO1080  CAJAS DE PEPE TROPICAL </t>
  </si>
  <si>
    <t>KFPK35</t>
  </si>
  <si>
    <t>SE DESCARGO EN RIQUEZA NATURAL , 210 CAJAS DE PLATANO , Y 918 CAJAS DE BANANA BAGNO. 4/01/25,</t>
  </si>
  <si>
    <t>SE DESCARGO EN RIQUEZA ATURAL, 1080 CAJAS DE BANANA TROPICAL PEPE. 4/01/25.</t>
  </si>
  <si>
    <t>062-</t>
  </si>
  <si>
    <t>TULI 02/25</t>
  </si>
  <si>
    <t>3862CFX</t>
  </si>
  <si>
    <t>06/01 SE DESCARGO EN RIQUEZA NATURAL 1104 CAJAS DE TULI FRUTAS EN BUEN ESTADO</t>
  </si>
  <si>
    <t>FF2400659/</t>
  </si>
  <si>
    <t>CL019301029</t>
  </si>
  <si>
    <t>MTP 4658-MTP4659</t>
  </si>
  <si>
    <t>06/01 SE DESCARGO EN ZAC (1056 CAJ.PALTA 60 SUPER,792CAJ. PALTA 60 CODIGO BAIKA,88CAJ.PALTA 84)</t>
  </si>
  <si>
    <t>12548/</t>
  </si>
  <si>
    <t>PYCJ23/RBXC26</t>
  </si>
  <si>
    <t>SE DESCARGO EN RIQUEZA NATURAL 2160 CAJAS BONITA EL DIA 8/1/2025</t>
  </si>
  <si>
    <t>4IND3-0001219</t>
  </si>
  <si>
    <t>31104999/</t>
  </si>
  <si>
    <t>Naranja</t>
  </si>
  <si>
    <t>31104958/</t>
  </si>
  <si>
    <t>58670/</t>
  </si>
  <si>
    <t>295//</t>
  </si>
  <si>
    <t>08/01 SE DESCARGO EN RIQUEZA NATURAL 1080 CAJAS DE TROPICAL PEPE FRUTASEN BUEN ESTADO</t>
  </si>
  <si>
    <t>58678/</t>
  </si>
  <si>
    <t>12578/</t>
  </si>
  <si>
    <t>KKWF66-RBXC27</t>
  </si>
  <si>
    <t xml:space="preserve">13/01 se descargo en riqueza natural 2160 cajas de bonita  fruta nen buen estado</t>
  </si>
  <si>
    <t>10675/</t>
  </si>
  <si>
    <t>88349/</t>
  </si>
  <si>
    <t xml:space="preserve">1080 TROPICAL SUPER.  3240 CAJAS DE PEPE</t>
  </si>
  <si>
    <t>9649/</t>
  </si>
  <si>
    <t>31104959/</t>
  </si>
  <si>
    <t>31105153/</t>
  </si>
  <si>
    <t>4IND3-001288</t>
  </si>
  <si>
    <t>GRK005</t>
  </si>
  <si>
    <t>58797/</t>
  </si>
  <si>
    <t>24006797</t>
  </si>
  <si>
    <t>CLP004</t>
  </si>
  <si>
    <t>10695/</t>
  </si>
  <si>
    <t>061//</t>
  </si>
  <si>
    <t>151.49.24</t>
  </si>
  <si>
    <t xml:space="preserve">24/01 SE DESCARGO EN RIQUEZA NATURAL 1100 CAJAS DE SUPREMA  FRUTAS EN BUEN ESTADO</t>
  </si>
  <si>
    <t>8329/</t>
  </si>
  <si>
    <t xml:space="preserve">24/01 SE DESCARGO EN RIQUEZA NATURAL 2160 CAJAS DE BAGNO  FRUTAS EN BUEN ESTADO</t>
  </si>
  <si>
    <t>88360/</t>
  </si>
  <si>
    <t>LJVV47-KFPF34- KKWF66-</t>
  </si>
  <si>
    <t xml:space="preserve">25/01 SE DESCARGO EN RIQUEZA NATURAL 3240 CAJAS DE PROPICAL PEPE FRUTAS EN BUEN ESTADO </t>
  </si>
  <si>
    <t>58867/</t>
  </si>
  <si>
    <t>297//</t>
  </si>
  <si>
    <t>88364/</t>
  </si>
  <si>
    <t xml:space="preserve">29/01 SE DESCARGO EN RIQUEZA NATURAL 1080 CAJAS TROPICAL SUPER  FRUTAS EN BUEN ESTADO VINO INTERVENIDO POR AFIDI EN 1516159</t>
  </si>
  <si>
    <t>10720/</t>
  </si>
  <si>
    <t>77//</t>
  </si>
  <si>
    <t>Salto</t>
  </si>
  <si>
    <t>30/01 SE DEACRGO EN RIQUEZA NATURAL 1104 CAJAS DE TULI FRUTA EN BUEN ESTADO</t>
  </si>
  <si>
    <t>78//</t>
  </si>
  <si>
    <t>3858EEN</t>
  </si>
  <si>
    <t>062//</t>
  </si>
  <si>
    <t>BOB004</t>
  </si>
  <si>
    <t>4490DTP</t>
  </si>
  <si>
    <t>8340/</t>
  </si>
  <si>
    <t>31/1 SE DESCARGO EN RIQUEZA NATURAL 918 CAJAS DE BANANA Y 210 CAJAS DE PLATANO FRUTAS EN BUEN ESTADO</t>
  </si>
  <si>
    <t>2400715//</t>
  </si>
  <si>
    <t xml:space="preserve">31/01 SE DESCARGO EN RIQUEZA NATURAL 1936 CAJAS DE PALTA BAIKA CAL 60 </t>
  </si>
  <si>
    <t>8339/</t>
  </si>
  <si>
    <t>KCTC65-KKWF66-KKWF65</t>
  </si>
  <si>
    <t xml:space="preserve">SE DESCARGO EN RIQUEZA NATURAL  3240 CAJAS DE  BAGNO FRUTAS EN BUEN ESTADO</t>
  </si>
  <si>
    <t>12716/</t>
  </si>
  <si>
    <t>ECB001</t>
  </si>
  <si>
    <t>RBXC27-LVVJ47</t>
  </si>
  <si>
    <t xml:space="preserve">01/02 SE DESCARGO EN RIQUEZA NATURAL 2160 CAJAS DE BONITA FRUTAS EN  BUEN ESTADO</t>
  </si>
  <si>
    <t>88374/</t>
  </si>
  <si>
    <t>TROPICAL FRESH</t>
  </si>
  <si>
    <t>PJJR55-PYCJ21</t>
  </si>
  <si>
    <t xml:space="preserve">SE DESCARGO EN RIQUEZA NATUIRAL 2160 CAJAS  DE BANANA TROPICAL EL DIA 05/02. FRUTA EN BUEN ESTADO</t>
  </si>
  <si>
    <t>88370/</t>
  </si>
  <si>
    <t>PJJR57-PLFP86</t>
  </si>
  <si>
    <t>066//</t>
  </si>
  <si>
    <t>06/02 SE DESCARGO EN RIQUEZA NATURAL 1100 CAJAS DE SUPREMA FRUTA BIEN ALGUNAS CJAS RAMEADAS</t>
  </si>
  <si>
    <t>79//</t>
  </si>
  <si>
    <t>3858EBH</t>
  </si>
  <si>
    <t>06/02 SE DESCARGOEN RIQUEZA NATURAL 1104 CAJAS DE TULI FRUTAS EN BUEN ESTADO</t>
  </si>
  <si>
    <t>9733/</t>
  </si>
  <si>
    <t>8350/</t>
  </si>
  <si>
    <t>07/02 SE DESCARGO EN RIQUEZA NATURAL 1080 CAJAS DE BAGNO FRUTA EN BUEN ESTADO</t>
  </si>
  <si>
    <t>12736/</t>
  </si>
  <si>
    <t>10/02 SE DESCARGO EN RIQUEZA NATURAL 1080 CAJAS DE BONITA FRUTA EN BUEN ESTADO</t>
  </si>
  <si>
    <t>FF2400759/</t>
  </si>
  <si>
    <t>1584 Cajas Cal 60 y 352 Cajas Cal 84 8/02 SE DESCARGO EN RIQUEZA NATURAL 1936 CAJAS PALTA BAIKA LOS DOS PRIMERO PALLET VINO CON FRUTAS MADURAS Y MANCHADAS</t>
  </si>
  <si>
    <t>58982/</t>
  </si>
  <si>
    <t>PALTA PROPAL</t>
  </si>
  <si>
    <t>OTP3675</t>
  </si>
  <si>
    <t>Palta Propal CAliubre 60 SE DESCARGO EN RIQUEZA NATURAL2112 CAJAS DE PALTA PROPAL CAL 60 FRUTAS EN BUEN ESTADO</t>
  </si>
  <si>
    <t>KFPF36-KCTC65</t>
  </si>
  <si>
    <t>10/02 SE DESCARGO EN RIQUEZA NATURAL 2160 CAJAS DE BAGNO FRUTAS EN BUEN ESTADO</t>
  </si>
  <si>
    <t>8352/</t>
  </si>
  <si>
    <t>RBXC27-PYCJ24</t>
  </si>
  <si>
    <t xml:space="preserve">10/02 SE DESCARGO EN RIQUEZA NATURAL 2160  CAJAS DE BAGNO FRUTAS EN BUEN ESTADO</t>
  </si>
  <si>
    <t xml:space="preserve">8/02 SE DESCARGO EN RIQUEZA NATURAL 180 CAJAS DE BONITA FRUTAS EN UEN ESTADO </t>
  </si>
  <si>
    <t>10740/</t>
  </si>
  <si>
    <t>8351/</t>
  </si>
  <si>
    <t>BAGNO PLATANO</t>
  </si>
  <si>
    <t xml:space="preserve">11/02 SEDESCARGO EN RIQUEZA NATURAL 918 CAJAS DE BANANA Y 210 CAJAS DE PLATANO </t>
  </si>
  <si>
    <t>31105565/</t>
  </si>
  <si>
    <t>NARANJA</t>
  </si>
  <si>
    <t>STP8267</t>
  </si>
  <si>
    <t xml:space="preserve">12/02 SE DESCARGO EN RIQUEZA NATURAL 1664 CAJAS DE NARANJAS  CAL 56 Y CAL 64</t>
  </si>
  <si>
    <t>31105515/</t>
  </si>
  <si>
    <t>11/02 SE DESCARGO EN RIQUEZA NATURAL 1664 CAJAS DE NARANJAS CAL 56 .CAL 64</t>
  </si>
  <si>
    <t>8363/</t>
  </si>
  <si>
    <t xml:space="preserve">13/02 SE DESCARGO EN RIQUEZA NATURAL 1080 CAJAS FRUTAS EN BUEN ESTADO </t>
  </si>
  <si>
    <t>RBXC25-PYCJ19</t>
  </si>
  <si>
    <t>14/02 SE DESCARGO EN RIQUEZA NATRUAL 2160 CAJAS DE BAGNO FRUTAS EN BUEN ESTADO</t>
  </si>
  <si>
    <t>12796/</t>
  </si>
  <si>
    <t>PJJR58-LJVV47</t>
  </si>
  <si>
    <t xml:space="preserve">14/02 SE DESCARGO EN RIQUEZA NATURAL 2160 CAJAS DE BONITA FRUTA EN BUEN ESTADO </t>
  </si>
  <si>
    <t>10761/</t>
  </si>
  <si>
    <t>8364/</t>
  </si>
  <si>
    <t>PYCJ21</t>
  </si>
  <si>
    <t>15/02 SE DESCARGO EN RIQUEZA NATURAL 918 CAJAS DE BANANA Y 210 CAJAS DE PLATANO FRUTAS EN BUEN ESTADO</t>
  </si>
  <si>
    <t>68/</t>
  </si>
  <si>
    <t>4702EUT</t>
  </si>
  <si>
    <t>15/02 SE DESCARGOEN RIQUEZA NATURAL 1100 CAJAS DE SUPREMA FRUTA RAMEADA</t>
  </si>
  <si>
    <t>4 INV3-000016</t>
  </si>
  <si>
    <t>083/</t>
  </si>
  <si>
    <t xml:space="preserve">18/02 SE DESCARGO EN RIQUEZA NATURAL 1104 CAJAS DE TULI  FRUTA EN BUEN ESTADO</t>
  </si>
  <si>
    <t>299/</t>
  </si>
  <si>
    <t>8375/</t>
  </si>
  <si>
    <t>KFPF34</t>
  </si>
  <si>
    <t>21/02 SE DESCARGO EN RIQUEZA NATURAL 918 CAJAS DE BANANA Y 210 CAJAS DE PLATANO FRUTAS EN BUEN ESTADO</t>
  </si>
  <si>
    <t>59059/</t>
  </si>
  <si>
    <t>Destruida</t>
  </si>
  <si>
    <t>8374/</t>
  </si>
  <si>
    <t>NTP5973-NTP6302</t>
  </si>
  <si>
    <t>21/02 SE DESCARGO EN RIQUEZA NATURAL 2160 CAJAS DE BAGNO FRUTAS EN BUEN ESTADO VINO APAGADO</t>
  </si>
  <si>
    <t>12834/</t>
  </si>
  <si>
    <t>PYCVJ24-KKWF65</t>
  </si>
  <si>
    <t>21/02 SE DESCARGO EN RIQUEZA NATURAL 2160 CAJAS FRUTAS EN BUEN ESTADO</t>
  </si>
  <si>
    <t>107870/</t>
  </si>
  <si>
    <t>75/</t>
  </si>
  <si>
    <t>22/02 SE DESCARGO EN RIQUEZA NATURAL 1100 CAJAS DE SUPREMA FRUTAS EN BUEN ESTADO</t>
  </si>
  <si>
    <t>31105745/</t>
  </si>
  <si>
    <t>STP4354</t>
  </si>
  <si>
    <t xml:space="preserve">25/02 SE DESCARGO EN RIQUEZA NATURAL 1664 CAJAS DE NARANJA  CAL 56 - CAL 64 FRUTA EN BUEN ESTADO</t>
  </si>
  <si>
    <t>4INV3-000013/</t>
  </si>
  <si>
    <t>59108/</t>
  </si>
  <si>
    <t>10804/</t>
  </si>
  <si>
    <t>12849/</t>
  </si>
  <si>
    <t>28/02 SE DESCARGO EN RIQUEZA NATURAL 1080 CAJAS DE BONITA FRUTAS EN BUEN ESTADO</t>
  </si>
  <si>
    <t>8385/</t>
  </si>
  <si>
    <t>PYCJ21-RBXC25</t>
  </si>
  <si>
    <t>28/02 SE DESCARGO EN RIQUEZA NATURAL 2160 CAJAS DE BAGNO FRUTAS EN BUEN ESTADO</t>
  </si>
  <si>
    <t>089/</t>
  </si>
  <si>
    <t>3862CFX-3862CBF</t>
  </si>
  <si>
    <t xml:space="preserve">2/02 SE DESACRGO EN RIQUEZA NATURAL 2208 CAJAS DE TULI  FRUTAS EN  BUEN ESTADO</t>
  </si>
  <si>
    <t>081//</t>
  </si>
  <si>
    <t>SE DESCARGO EN RIQUEZA NATURAL 1100 CAJAS DE BOLIVIANA EL DIA 1/3/2025</t>
  </si>
  <si>
    <t>59163/</t>
  </si>
  <si>
    <t>PALTA 60 Y 84</t>
  </si>
  <si>
    <t>RKLD28</t>
  </si>
  <si>
    <t>SE DESCARGO EN RIQUEZA NATUIRAL 792 CAJAS DE PALTA CAL 84 Y PALTA CAL 60 1320 CJAS</t>
  </si>
  <si>
    <t>05/03 SE DESCARGO EN RIQUEZA NATURAL 1080 CAJS DE BONITA FRUTA EN BUEN ESTADO</t>
  </si>
  <si>
    <t>PYUCJ24</t>
  </si>
  <si>
    <t>05/03 SE DESCARGO EN RIQUEZA NATURAL 1080 CAJAS DER BAGNO FRUTA EN BUEN ESTADO</t>
  </si>
  <si>
    <t>8397/</t>
  </si>
  <si>
    <t>KFPF34-KKWF66</t>
  </si>
  <si>
    <t>07/03 SE DESCARGO EN RIQUEZA NATURAL 2160 CAJAS DE BAGNO FRUTA EN BUEN ESTADO</t>
  </si>
  <si>
    <t>8399/</t>
  </si>
  <si>
    <t>07/03 SE DESCARGO EN RIQUEZA NATURAL 1080 CAJAS DE BAGNO FRUTA EN BUEN ESTADO</t>
  </si>
  <si>
    <t>12893/</t>
  </si>
  <si>
    <t>RBCX25-LJVV48</t>
  </si>
  <si>
    <t xml:space="preserve">07/03 SE DESCARGO EN RIQUEZA NATURAL 2160 CAJAS DE BONITA  FRUTA EN BUEN ESTADO</t>
  </si>
  <si>
    <t>10822/</t>
  </si>
  <si>
    <t>PIÑA PEPE</t>
  </si>
  <si>
    <t>07/03 SE DESCARGO EN RIQUEZA NATURAL 1680 CAJAS DE PIÑA FRUTA EN BUEN ESTADO</t>
  </si>
  <si>
    <t>8398/</t>
  </si>
  <si>
    <t>PLATANO -BANANA</t>
  </si>
  <si>
    <t xml:space="preserve">8/03 SE DESCARGO EN RIQUEZA NATURAL918  CAJAS DE BAGNO Y 210 CAJAS DE PLATANOFRUTA EN BUEN ESTADO</t>
  </si>
  <si>
    <t xml:space="preserve">8/3/ SE DESCARGOEN RIQUEZA NATURAL 1080 CAJAS DE BAGNO FRUTAS EN BUEN ESTADO </t>
  </si>
  <si>
    <t>8/03 SE DESCARGO EN RIQUEZA NATURAL 1080 CAJAS DE BAGNO FRUTA EN BUEN ESTADO</t>
  </si>
  <si>
    <t>88396/</t>
  </si>
  <si>
    <t>08/03 SE DESCARGO EN RIQUEZA NATURAL 1080 CAJAS DE TROPICAL SUPER FRUTAS EN BUEN ESTADO</t>
  </si>
  <si>
    <t>10850/</t>
  </si>
  <si>
    <t>PIÑA PPEPE</t>
  </si>
  <si>
    <t xml:space="preserve">12/03 SE DESCARGO EN RIQUEZA NATURAL 1680 CAJAS DE PIÑA CAL 5-CAL 6-CAL7-CAL8 FRUTA EN BUEN ESTADO </t>
  </si>
  <si>
    <t>12933/</t>
  </si>
  <si>
    <t>KKWF65-</t>
  </si>
  <si>
    <t>12/03 SE DESCARGO EN RIQUEZA NATURAL 1080 CAJAS DE BONITA FRUTAS EN BUEN ESTADO</t>
  </si>
  <si>
    <t>14/03 SE DESCARGO EN RIQUEZA NATURAL 1080 CAJAS DE BONITA FRUTAS EN BUEN ESTADO</t>
  </si>
  <si>
    <t>8409/</t>
  </si>
  <si>
    <t>BAGHNMO</t>
  </si>
  <si>
    <t>PJJR55-</t>
  </si>
  <si>
    <t>14/03 SE DESCARGO EN RIQUEZA NATURAL 1080 CAJAS DE BAGNO FRUTAS EN BUEN ESTADO</t>
  </si>
  <si>
    <t>090/</t>
  </si>
  <si>
    <t xml:space="preserve">15/03 SE DESCAREGO EN RIQUEZA NATURAL 1100 CAJAS DE SUPREMA  FRUTA EN BUEN ESTADO </t>
  </si>
  <si>
    <t>59224/</t>
  </si>
  <si>
    <t>SE DESCARGO EN UAM 968 CAJAS CAL 60 PROPAL, CAL 50 704 CAJAS PROPAL Y CAL 84 440 CAJAS EL DIA 14/3/202. TOTAL DE CAJAS FUERON 2112</t>
  </si>
  <si>
    <t>KFPF34-RBXC25-LJVV48</t>
  </si>
  <si>
    <t>15/03 SE DESCARGO EN RIQUEZA NATURAL 3240 CAJAS DE BAGNO FRUTA EN BUEN ESTADO</t>
  </si>
  <si>
    <t>FF2400798/</t>
  </si>
  <si>
    <t>exotico</t>
  </si>
  <si>
    <t>pppy32</t>
  </si>
  <si>
    <t xml:space="preserve">se descargo en uam 1936 cajas de palta el dia 18/3/2025 cal 70 704 cajas cal 60 880 cajas cal 84 352 cajas </t>
  </si>
  <si>
    <t>8417/</t>
  </si>
  <si>
    <t>PLATANO-BAGNO</t>
  </si>
  <si>
    <t>21/03 SE DESCARGO EN RIQUEZA NATURAL 918 CAJAS DE BANANA Y 210 CAJAS DE PLATANO FRUTA EN BUEN ESTADO</t>
  </si>
  <si>
    <t>12976/</t>
  </si>
  <si>
    <t>PJJR58-PLFP86</t>
  </si>
  <si>
    <t xml:space="preserve">21/03 SE DESCARGO EN RIUQEZA NATURAL 2160 CAJAS DE BONITA  FRUTA EN BUEN ESTADO </t>
  </si>
  <si>
    <t>12975/</t>
  </si>
  <si>
    <t>LJVV47-RBXC26</t>
  </si>
  <si>
    <t xml:space="preserve">21/03 SE DESCARGO EN RIQUEZA NATRUAL 2160 CAJS DE BONITA FRUTA EN BUEN ESTADO </t>
  </si>
  <si>
    <t>8416/</t>
  </si>
  <si>
    <t>PYCJ22-PYCJ24-</t>
  </si>
  <si>
    <t xml:space="preserve">21/03 SE DESCARGO EN RIQUEZA NATURAL 2160 CAJAS DE BAGNO </t>
  </si>
  <si>
    <t>F006-091/</t>
  </si>
  <si>
    <t>SE DESCARGO EN UAM 2548 CAJAS DE ARANDANOS EL DIA 22/3/2025</t>
  </si>
  <si>
    <t>303/</t>
  </si>
  <si>
    <t>HDLX77</t>
  </si>
  <si>
    <t xml:space="preserve">SE DESCARGO EN UAM 2288 CAJAS DE KIWI EL DIA 27/3/202. VINIERON PALLETS, FLEJES Y CAJAS ROTAS </t>
  </si>
  <si>
    <t>8428/</t>
  </si>
  <si>
    <t>RBXC25-PYCJ24-PJJR58-PYCJ19</t>
  </si>
  <si>
    <t xml:space="preserve">28/03 SE DESCARGO EN RIQUEZA NATURAL 4320 CAJAS DE BAGNO FRUTA EN BUEN ESTADO </t>
  </si>
  <si>
    <t>13011/</t>
  </si>
  <si>
    <t>PYCJ22-KFPF34</t>
  </si>
  <si>
    <t xml:space="preserve">28/03 SE DESCARGO EN RIQUEZA NATURAL 2160 CAJAS DE BONITA FRUTA EN BUEN ESTADO </t>
  </si>
  <si>
    <t>3740/</t>
  </si>
  <si>
    <t>Cebolla</t>
  </si>
  <si>
    <t xml:space="preserve">CEBOLLA COLORADA </t>
  </si>
  <si>
    <t>ITP1192</t>
  </si>
  <si>
    <t>SE DESCARGO EN UMA 1321 CAJAS DE CEBOLLA COLORADA EL DIA 31/3/2025</t>
  </si>
  <si>
    <t>88400/</t>
  </si>
  <si>
    <t>KCTC67</t>
  </si>
  <si>
    <t xml:space="preserve">31/03 SE DESCARGO EN RIQUEZA NATURAL 1080 CAJAS DE TROPICAL PEPE FRUTAS EN BUEN ESTADO </t>
  </si>
  <si>
    <t>FA03-0000099</t>
  </si>
  <si>
    <t>10932/</t>
  </si>
  <si>
    <t>piña</t>
  </si>
  <si>
    <t>SE DESCRAGO EN UAM 1680 CAJAS DE PIÑA EL DIA 3/4/2025</t>
  </si>
  <si>
    <t>13040/</t>
  </si>
  <si>
    <t>PJJR57-PJJR54</t>
  </si>
  <si>
    <t>03/04 SE DESCARGO EN RIQUEZA NATURAL 2160 CAJAS DE BONITA FRUTA EN BUEN ESTADO</t>
  </si>
  <si>
    <t>8445/</t>
  </si>
  <si>
    <t xml:space="preserve">03/04 SE DESCARGO EN RIQUEZA NATURAL 918 CAJAS DE BANANA Y 210 CAJAS DE PLATANO  FRUTA EN  BUEN ESATDO</t>
  </si>
  <si>
    <t>8444/</t>
  </si>
  <si>
    <t>PYCJ22-KKWF66-JHFS80</t>
  </si>
  <si>
    <t>04/04 SE DESCARGO EN RIQUEZA NATURAL 3240 CAJAS DE BAGNO FRUTA EN BUEN ESTADO</t>
  </si>
  <si>
    <t>13041/</t>
  </si>
  <si>
    <t>RBXC25-KFPF34</t>
  </si>
  <si>
    <t>04/04 SE DESCARGO EN RIQUEZA NATURAL 2160 CAJAS DE BONITA FRUTA EN BUEN ESTADO</t>
  </si>
  <si>
    <t>3755/</t>
  </si>
  <si>
    <t xml:space="preserve">CEBOLLA MORADA </t>
  </si>
  <si>
    <t>ODN963</t>
  </si>
  <si>
    <t xml:space="preserve">07/04 SE DESCARGO EN RIQUEZA NATURAL 1320 BOLSAS DE COBOLLA MORADA  CAL 3--50/70 EN BUEN ESTADO</t>
  </si>
  <si>
    <t>3758//</t>
  </si>
  <si>
    <t>ITP1209</t>
  </si>
  <si>
    <t>3759/</t>
  </si>
  <si>
    <t>AE769XS</t>
  </si>
  <si>
    <t>88409/</t>
  </si>
  <si>
    <t>07/04 SE DESCARGOI EN RIQUEZA NATURAL 1080 CAJAS DE TROPICAL PEPE FRUTA EN BUEN ESTADO</t>
  </si>
  <si>
    <t>3760/</t>
  </si>
  <si>
    <t>AF82JB</t>
  </si>
  <si>
    <t>08/04 SE DECARGO EN RIQUEZA NATURAL 1320 BOLSAS DE CEBOLLA MORADA CAL 3--50/70 FRUTA EN BUEN ESTADO</t>
  </si>
  <si>
    <t>FA03-0000160</t>
  </si>
  <si>
    <t>SE DESCARGO EN UAM 1920 CAJAS DE PALTA LAS CUALES VINIERON 960 CAJAS CAL 70 Y 960 CAJAS CAL 84 EL DIA 10/4/2025</t>
  </si>
  <si>
    <t>13083/</t>
  </si>
  <si>
    <t>11/04 SE DESCARGO EN RIQUEZA NATURAL 1080 CAJAS DE BONITA FRUTA EN BUEN ESTADO VINO INTERVENIDO</t>
  </si>
  <si>
    <t>8451/</t>
  </si>
  <si>
    <t>PYCJ22-KCTC65-PJJR54-LJVV48</t>
  </si>
  <si>
    <t xml:space="preserve">11/04 SE DESCARGO EN RIQUEZA NATURAL 4320 CAJAS DE BAGNO FRUTA EN BUEN ESTADO </t>
  </si>
  <si>
    <t>13082/</t>
  </si>
  <si>
    <t>KBXC26-PYCJ23</t>
  </si>
  <si>
    <t>11/04 SE DESCARGO EN RIQUEZA NATURAL 2160 CAJAS DE BONITA FRUTA EN BUEN ESTADO VINO INTERVENIDO</t>
  </si>
  <si>
    <t>12/04 SE DESCARGO EN RIQUEZA NATURAL 1080 CAJAS DE BONITA FRUTA EN BUEN ESTADO VINO INTERVENIDO</t>
  </si>
  <si>
    <t>401/</t>
  </si>
  <si>
    <t>*</t>
  </si>
  <si>
    <t>%%</t>
  </si>
  <si>
    <t>SE DESCARGO EN UAM 2304 CAJAS DE KIWI EL DIA 15/4/2025</t>
  </si>
  <si>
    <t>10990/</t>
  </si>
  <si>
    <t>PIÑA</t>
  </si>
  <si>
    <t>SE DESCARGO EN UAM 1680 CAJAS DE PIÑA EL DIA 16/4/2025</t>
  </si>
  <si>
    <t>E001-776</t>
  </si>
  <si>
    <t>palta cal 84</t>
  </si>
  <si>
    <t>se descargo en uam 1920 cajas de palta cal 84 el dia 17/4/2025</t>
  </si>
  <si>
    <t>E001-778</t>
  </si>
  <si>
    <t>palta cal 60</t>
  </si>
  <si>
    <t>pycj22</t>
  </si>
  <si>
    <t>se descargo en uam 1920 cajas de palta cal 60 el dia 17/4/2025</t>
  </si>
  <si>
    <t>8468/</t>
  </si>
  <si>
    <t xml:space="preserve">17/04 SE DESCARGO EN RIQUEZA NATURAl 972 cajas de bagno y 140 cajas de platano fruta bien </t>
  </si>
  <si>
    <t>8467/</t>
  </si>
  <si>
    <t>PYCJ23-PJJR54-PJJR58</t>
  </si>
  <si>
    <t xml:space="preserve">17/04 SE DESCARGO EN RIQUEZA NATURAL 3240 CAJAS DE BAGNO FRUTA BIEN </t>
  </si>
  <si>
    <t>13134/</t>
  </si>
  <si>
    <t>PYCJ24-KKWF66-KCTC67-KCTC65</t>
  </si>
  <si>
    <t xml:space="preserve">17/04 SE DSCARGO EN RIQUEZA NATURAL 4320 CAJAS DE BONITA FRUTA BIEN </t>
  </si>
  <si>
    <t>88419/</t>
  </si>
  <si>
    <t>22/04 SE DESCARGO EN RIQUEZA NATURAL 1080 CAJAS TROPICAL PEPE FRUTA EN BUEN ESTADO</t>
  </si>
  <si>
    <t>38420/</t>
  </si>
  <si>
    <t>ddkt38</t>
  </si>
  <si>
    <t xml:space="preserve">se descargo en uam 2288  cajas de kiwi los cuales vinieron: cal 25: 624 cajas. cal 27: 624 cajas. cal 30: 520 cajas. cal 33: 520 cajas. la fruta vino firme</t>
  </si>
  <si>
    <t>E001-786</t>
  </si>
  <si>
    <t xml:space="preserve">23/04 SE DESCARGO EN RIQUEZA NATURAL 1920 CAJAS DE PALTA BAIKA CAL . 60  FRUTA EN BUEN ESTADO</t>
  </si>
  <si>
    <t>E001-787</t>
  </si>
  <si>
    <t xml:space="preserve">24/04 SE DESCARGO EN RIQUEZA NATURAL 1920 CAJAS DE PALTA BAIKA  CAL 70 FRUTA EN BUEN ESTADO</t>
  </si>
  <si>
    <t>8478/</t>
  </si>
  <si>
    <t>25/04 SE DESCARGO EN RIQUEZA NATURAL 972 CAJAS DE BANANA BAGNO, 140 CAJAS DE PLATANO. INTERVENIDO POR AFIDI, AFIDI NUEVO: 1521465</t>
  </si>
  <si>
    <t>13161/</t>
  </si>
  <si>
    <t>KFPF65-KKWF66-PYCJ24-PLFP86</t>
  </si>
  <si>
    <t>25/04 SE DESCARGOEN RIQUEZA NATURAL 3240 CAJAS DE BONITA FRUTA EN BUEN ESTADO</t>
  </si>
  <si>
    <t>8477/</t>
  </si>
  <si>
    <t>PYCJ22-JHFS80-PJJR58</t>
  </si>
  <si>
    <t>25/04 SE DESCARGOEN RIQUEZA NATURAL 3240 CAJAS DE BAGNO FRUTA EN BUEN ESTADO</t>
  </si>
  <si>
    <t>401//</t>
  </si>
  <si>
    <t>8487/</t>
  </si>
  <si>
    <t xml:space="preserve">02/05 SE VDESCARGO EN RIQUEZA NATURAL 972 CAJAS DE BANANA Y 140 CAJAS DE PLATANO FRUTA BIEN </t>
  </si>
  <si>
    <t>88424/</t>
  </si>
  <si>
    <t xml:space="preserve">03/05/2025 SE DESCARGO EN RIQUIEZA NATURAL  1059 CAJAS TROPICAL PEPE FRUTA BIEN </t>
  </si>
  <si>
    <t>11048/</t>
  </si>
  <si>
    <t>13200/</t>
  </si>
  <si>
    <t>PYCJ22-PJJR58-PJJR54</t>
  </si>
  <si>
    <t xml:space="preserve">02/05 SE DESCARGO EN RIQUEZA NATURAL 3240 CAJAS DE BONITA FRUTA BIEN </t>
  </si>
  <si>
    <t>8486/</t>
  </si>
  <si>
    <t>PJJR55-KFPF35-PYCJ19-PYCJ24</t>
  </si>
  <si>
    <t xml:space="preserve">02/05 SE DESCARGO EN RIQUEZA NATURAL 3240 CAJAS DE BAGNO FRUTA EN BUEN ESTADO </t>
  </si>
  <si>
    <t>8497/</t>
  </si>
  <si>
    <t>PLATANO-BANANA</t>
  </si>
  <si>
    <t xml:space="preserve">10/05 SE ESCARGO EN RIQUEZA NATURAL 972 CAJAAAAAS DE BANANA Y 140 CAJAS DE PLATANO FRUTA BIEN </t>
  </si>
  <si>
    <t>8496/</t>
  </si>
  <si>
    <t>KKWF66-LJVV48-RBXC26</t>
  </si>
  <si>
    <t>09/05 SE DESCARGO EN RIQUEZA NATURAL 3240 CAJAS DE BAGNO FRUTA BIEN</t>
  </si>
  <si>
    <t>13237/</t>
  </si>
  <si>
    <t>PJJR58-KFPF35-KCTC65-PYCJ</t>
  </si>
  <si>
    <t xml:space="preserve">09/05 SE DFECARGO EN RIQUEZA NATURAL 4320 CAJAS DE BONITA FRUTA BIEN </t>
  </si>
  <si>
    <t>38730/</t>
  </si>
  <si>
    <t>SE DESCARGO EN UAM 2288 CAJAS DE KIWI EL DIA 14/5/2025</t>
  </si>
  <si>
    <t>8507/</t>
  </si>
  <si>
    <t>KFPF35</t>
  </si>
  <si>
    <t xml:space="preserve">16/05 SE DESCARGO EN RIQUEZA NATURAL 864 CAJAS DE BANANA Y 280 CAJAS DE PLATANO FRUTA BIEN </t>
  </si>
  <si>
    <t>13280/</t>
  </si>
  <si>
    <t>KCTC 65-JHFS80-PJJR58-KCTC67</t>
  </si>
  <si>
    <t xml:space="preserve">17/05 SE DESCARGO EN RIQUEZA NATRURAL 4320 CAJAS DE BONITA FRUTA BIEN </t>
  </si>
  <si>
    <t>88428/</t>
  </si>
  <si>
    <t xml:space="preserve">20/05 SE DESCARGO EN RIQUEZA NATURAL 1080 CAJAS DE TROPICAL SUPER FRUTA  BIEN </t>
  </si>
  <si>
    <t>402/</t>
  </si>
  <si>
    <t>ARANDANOS</t>
  </si>
  <si>
    <t>28/05 SE DESCARGO EN RIQUEZ NATURAL 7800 CAJAS DE ARNDANOS VINO FRUTA BLANDA DENTRO LAS CAJAS</t>
  </si>
  <si>
    <t>11127/</t>
  </si>
  <si>
    <t xml:space="preserve">28/05 SE DFESCARGO EN RIQUEZA NATURAL 1680 CAJAS DE PIÑA FRUTA BIEN  CAL 5-1-CAL 8 -2- CAL 7-8 - CAL 6-10</t>
  </si>
  <si>
    <t>F100 00012344/</t>
  </si>
  <si>
    <t>KLTC65</t>
  </si>
  <si>
    <t xml:space="preserve">29/05 SE DESCARGO EN UAM 1920 CAJAS DE PALTA CALIBRE 60 LA FRUTA VINO BIEN </t>
  </si>
  <si>
    <t>13308/</t>
  </si>
  <si>
    <t>PLFP86RBXC26-PYCJ19</t>
  </si>
  <si>
    <t>29/05 SE DESCARGO EN RIQUEZA NATURAL 3240 CAJAS DE BONITA FRUTA EN BUEN ESTADO</t>
  </si>
  <si>
    <t xml:space="preserve">31/05 SE DESCARGO EN RIQUEZA NATRUAL 1080 CAJAS DE BONITA FRUTA BIEN </t>
  </si>
  <si>
    <t>8516/</t>
  </si>
  <si>
    <t xml:space="preserve">02/06 SE DESCARGOEN RIQUEZA NATURAL 864 CAJAS DE BANANA Y 280 CAJAS DE PLATANO </t>
  </si>
  <si>
    <t>13347/</t>
  </si>
  <si>
    <t>KKWF66-</t>
  </si>
  <si>
    <t xml:space="preserve">31/05 SE DESCARGO EN RIQUEZA NATURAL 4320 CAJA S  DE BONITA FRUTA BIEN </t>
  </si>
  <si>
    <t>88435/</t>
  </si>
  <si>
    <t xml:space="preserve">02/06 SE DESCARGO EN RIQUEZA NATURAL 1080 CAJAS TROPICAL PEPE CON ETIQUETA FRESH MARKET FRUTA BIEN </t>
  </si>
  <si>
    <t>8527/</t>
  </si>
  <si>
    <t>BANANA Y PLATANO</t>
  </si>
  <si>
    <t>KCTC64</t>
  </si>
  <si>
    <t xml:space="preserve">03/06  SE DESCARGO EN RIQUEZA NATURAL 864 CAJAS DE BANANA Y 280 CAJAS DE PLATANO EL PLATANO VINO CON PIEZAS MADURAS </t>
  </si>
  <si>
    <t>11216/</t>
  </si>
  <si>
    <t>PIÑAS</t>
  </si>
  <si>
    <t xml:space="preserve">04/06 SE DESCARGO EN RIQUEZA NATURAL 1680 CAJAS DE PIÑAS PEPE  CAL -6- CAL -7-CAL 8</t>
  </si>
  <si>
    <t>8536/</t>
  </si>
  <si>
    <t>BANANA - PLATANO</t>
  </si>
  <si>
    <t>09/06 SE DESCARGO EN RIQUEZA NATURAL 864 CAJAS DE BANANA Y 280 CAJAS DE PLATANO VINO ALGUNOS SETIDOS Y MADUROS</t>
  </si>
  <si>
    <t>13382/</t>
  </si>
  <si>
    <t>KKWF666-PJJR57-RBXC26-PLFP86</t>
  </si>
  <si>
    <t xml:space="preserve">10/06 SER DESCARGO EN RIQUEZA NATURAL 3240 CVAJAS DE BONITA FRUTA BIEN </t>
  </si>
  <si>
    <t>39172/</t>
  </si>
  <si>
    <t>JKDL-74</t>
  </si>
  <si>
    <t>13410/</t>
  </si>
  <si>
    <t xml:space="preserve">13/06 SE DESCARGO EN RIQUEZA NATURAL 1080 CAJAS DE BONITA FRUTA BIEN </t>
  </si>
  <si>
    <t>8543/</t>
  </si>
  <si>
    <t>SE DESCARGO EN RIQUEZA NATURAL 864 CAJAS DE BAGNO Y 280 CAJAS DE PLATANO EL DIA 14/6/2025</t>
  </si>
  <si>
    <t>PYCJ21-LJVV48</t>
  </si>
  <si>
    <t>14/06 SE DESCARGO EN RIQUEZA NATURAL 3240 CAJAS DE BONITA</t>
  </si>
  <si>
    <t>88439/</t>
  </si>
  <si>
    <t xml:space="preserve">14/06 SE DESCARGO EN RIQUEZA NATURAL 1080 CAJAS DE TROPICAL PEPE </t>
  </si>
  <si>
    <t>8553/</t>
  </si>
  <si>
    <t>BANANA-PLATANO</t>
  </si>
  <si>
    <t xml:space="preserve">23/06 S DFESCARGO EN RIQUEZA NATURAL 864 CAJAS DE BANANA BAGNO Y 280 CAJAS DE PLATANO FRUTA BIEN  VINO ALGUN PLATANO MADURO</t>
  </si>
  <si>
    <t>F100 00012902/</t>
  </si>
  <si>
    <t xml:space="preserve">24/06 SE DESCARGO EN RIQUEZA NATURAL 1920 CAJAS DE PALTA MISSION CAL 60 FRUTA BIEN </t>
  </si>
  <si>
    <t>13445/</t>
  </si>
  <si>
    <t>PJJR57-KKWF66-PJJR54-PJJR58</t>
  </si>
  <si>
    <t xml:space="preserve">25/06 SE DESCARGO EN RIQUEZA NATURAL 4320 CAJAS DE BONITA FRUTAA BIEN </t>
  </si>
  <si>
    <t>11273/</t>
  </si>
  <si>
    <t xml:space="preserve">01/07 SE DESCARGO EN RIQUEZA NATURAL 1680 CAJAS DE PIÑA PEPE  VINO NFRUTA SENTIDAS Y BLANDAS </t>
  </si>
  <si>
    <t>10187/</t>
  </si>
  <si>
    <t>13455/</t>
  </si>
  <si>
    <t>PLFP86-PYCJ19</t>
  </si>
  <si>
    <t xml:space="preserve">01/07 SE DESCARGO EN RIQUEZA NATURAL 2160 CAJAS DE BANANA BONITA FRUTA BIEN </t>
  </si>
  <si>
    <t>KFPF35-KCTC67</t>
  </si>
  <si>
    <t xml:space="preserve">02/07 SE DESCARGO EN RIQUEZA NATURAL 2160 CAJAS DE BONITA  FRUTAS BIEN </t>
  </si>
  <si>
    <t>88443/</t>
  </si>
  <si>
    <t>KCTC24</t>
  </si>
  <si>
    <t xml:space="preserve">03/07 SE DESCARGO EN RIQUEZA NATURAL 1080 CAJAS DE TROPIUCAL PEPE FRUTA BIEN </t>
  </si>
  <si>
    <t>F100 N° 00013039/</t>
  </si>
  <si>
    <t xml:space="preserve">03/07 SE DESCARGO EN RIQUEZA NATURAL 1920 CAJAS DE PALTA MISSION  FRUTA BIEN  TODA CAL 60</t>
  </si>
  <si>
    <t>13508/</t>
  </si>
  <si>
    <t>PYCJ24-PJJR58-PYCJ23-KKWF65</t>
  </si>
  <si>
    <t xml:space="preserve">08/07 SE DESCARGO EN RIQUEZA NATURAL 4320 CAJAS DE BONITA FRUTA BIEN </t>
  </si>
  <si>
    <t>39662/</t>
  </si>
  <si>
    <t>RYCB76</t>
  </si>
  <si>
    <t xml:space="preserve">08/07 SE DESCARGO EN RIQUEZA NATURAL 2288 CAJAS DE KIWI FRUTA BIEN </t>
  </si>
  <si>
    <t>F100 N°00013153</t>
  </si>
  <si>
    <t xml:space="preserve">11/07 SE DESCARGO EN RIQUEZA NATURAL 1920 CAJAS DE PALTA MISSION FRUTA BIEN </t>
  </si>
  <si>
    <t>13529/</t>
  </si>
  <si>
    <t>KCTC65-PJJR55-PJJR54LJVV48</t>
  </si>
  <si>
    <t xml:space="preserve">14/07 SE DESCARGO EN RIQUEZA NATURAL 4320 CAJAS DE BONITAFRUTA BIEN </t>
  </si>
  <si>
    <t>13573/</t>
  </si>
  <si>
    <t>PYCJ22-PLFP86-RBXC26-PYCJ19</t>
  </si>
  <si>
    <t xml:space="preserve">23/07 SE DESCARGO EN RIQUEZA NATURAL 4320 CAJAS DE BONITA FRUTA BIEN </t>
  </si>
  <si>
    <t>88451/</t>
  </si>
  <si>
    <t xml:space="preserve">TROPICAL PEPE </t>
  </si>
  <si>
    <t>24/07 SE DESCARGO EN RIQUIEZA NATURAL 1080 CAJAS DE TROPICAL PEPE FRUTA BIEN C/ ETIQUETA FRESH</t>
  </si>
  <si>
    <t>39937/</t>
  </si>
  <si>
    <t>PHUR27</t>
  </si>
  <si>
    <t>26/07 SE DESCARGO EN RIQUEZA NATURAL 2288 CAJAS DE KIWI FRUTA BIEN</t>
  </si>
  <si>
    <t>11375/</t>
  </si>
  <si>
    <t>13597/</t>
  </si>
  <si>
    <t>PJJR58-PYCJ24-RBXC25-LJVV48</t>
  </si>
  <si>
    <t xml:space="preserve">28/07 SE DESCARGO EN RIQUEZA NATURAL 4320 CAJAS DE BONITA FRUITA BIEN </t>
  </si>
  <si>
    <t>FVF25/48</t>
  </si>
  <si>
    <t>425//</t>
  </si>
  <si>
    <t>39952/</t>
  </si>
  <si>
    <t xml:space="preserve">29/07 SER DESCARGO EN RIQUEZA NATURAL 2288 CAJAS DE KIWI FRESKIWI VINO 2 CALIBRE  33-36 FRUTA BIEN </t>
  </si>
  <si>
    <t>13612/</t>
  </si>
  <si>
    <t>KFPF32/PJJR54/JHFS80/KCD</t>
  </si>
  <si>
    <t>SE DESCARGO EN RIQUEZA NATURAL 4320 CAJAS DE BONITA</t>
  </si>
  <si>
    <t>415-415</t>
  </si>
  <si>
    <t>8622/</t>
  </si>
  <si>
    <t>SE DESCARGO EN RIQUEZA NATURAL 1080 CAJAS DE BAGNO</t>
  </si>
  <si>
    <t>13669/</t>
  </si>
  <si>
    <t>KKWF667/PLFP86/KKVF65/KFPF35</t>
  </si>
  <si>
    <t>SE DFESCARGO EN RIQUEZA NATURAL 4320 CAJAS DE BONITA</t>
  </si>
  <si>
    <t>88454/</t>
  </si>
  <si>
    <t>se descargo en riqueza natural 1080 colombia</t>
  </si>
  <si>
    <t>8632/</t>
  </si>
  <si>
    <t>KCTC66/</t>
  </si>
  <si>
    <t>se descargo en riqueza natural 2160 bagno</t>
  </si>
  <si>
    <t>3208//</t>
  </si>
  <si>
    <t>DFWF37</t>
  </si>
  <si>
    <t>se descargo en riqueza natural 2112 paltas chilenas</t>
  </si>
  <si>
    <t>11446/</t>
  </si>
  <si>
    <t>se decargo en riquez natural 1680 cajas de piña</t>
  </si>
  <si>
    <t>13704/</t>
  </si>
  <si>
    <t>pycj24</t>
  </si>
  <si>
    <t>SE DESCARGO EN RIQUEZA NATURAL 4320 BONITAS</t>
  </si>
  <si>
    <t>435/</t>
  </si>
  <si>
    <t>40201/</t>
  </si>
  <si>
    <t>OPT3675</t>
  </si>
  <si>
    <t>14693/</t>
  </si>
  <si>
    <t>SE DESCARGO EN RIQUEZA NATURAL 2112 PALTAS</t>
  </si>
  <si>
    <t>8642/</t>
  </si>
  <si>
    <t>KFPF35/PYCJ19</t>
  </si>
  <si>
    <t>SE DESCARGO EN RIQUEZA NATURAL 2052 CAJAS DE BAGNO Y 170 CAJAS DE PLATANO</t>
  </si>
  <si>
    <t>13741/</t>
  </si>
  <si>
    <t>KFPF33/KFPF36/ KCTC67/KCTC66</t>
  </si>
  <si>
    <t>88456/</t>
  </si>
  <si>
    <t>SE DESCARGO EN RIQUEZA NATURAL 1080 COLOMBIANAS</t>
  </si>
  <si>
    <t>11490//</t>
  </si>
  <si>
    <t>SE DESCARGO EN RIQUEZA NATURAL 1680 CAJAS DE PIÑA CAL 5,6,7,8,9</t>
  </si>
  <si>
    <t>13769/</t>
  </si>
  <si>
    <t>SE DESCARGO EN RIQUEZA NATURAL 3240 BONITAS</t>
  </si>
  <si>
    <t>AVF/2563</t>
  </si>
  <si>
    <t>STP3653</t>
  </si>
  <si>
    <t>SE DESCARGO EN RIQUEZ NATURAL 2324 CAJAS DE CIRUELA</t>
  </si>
  <si>
    <t>14840/</t>
  </si>
  <si>
    <t>SE DESCARGO EN RIQUEZ NATURAL 2112 CAJAS DE PALTA 60</t>
  </si>
  <si>
    <t>14865/</t>
  </si>
  <si>
    <t>SVZV17</t>
  </si>
  <si>
    <t>SE DESCARGO EN RIQUEZ NATURAL 2112 CAJAS DE PALTA 84</t>
  </si>
  <si>
    <t>8649/</t>
  </si>
  <si>
    <t>RBXC25/PJJR54</t>
  </si>
  <si>
    <t>SE DESCARGO EN RIQUEZ NATURAL 2052 CAJAS DE BAGNO Y 170 CAJAS DE PLATANO</t>
  </si>
  <si>
    <t>13801/</t>
  </si>
  <si>
    <t>1532991 AFIDI</t>
  </si>
  <si>
    <t>KCTC65/PYCJ19/KFPF32/</t>
  </si>
  <si>
    <t xml:space="preserve">SE DESCARGO EN RIQUEZA NATURAL      4320 CAJAS    DE BONITA</t>
  </si>
  <si>
    <t>8659/</t>
  </si>
  <si>
    <t>88461/</t>
  </si>
  <si>
    <t xml:space="preserve">SE DESCARGO EN RIQUEZA NATURAL  1080 CAJAS DE COLOMBIANA</t>
  </si>
  <si>
    <t>40415/</t>
  </si>
  <si>
    <t>TLGT51</t>
  </si>
  <si>
    <t>SE DESCARGO EN RIQUEZA NATURAL 2288 KIWIS CAL 18,20,23,25,27 CARGA SIN TRABAR PALETS ROTOS CAJAS APLASTADAS</t>
  </si>
  <si>
    <t>13819/</t>
  </si>
  <si>
    <t>KCTC63</t>
  </si>
  <si>
    <t>SE DECARGO EN RIQUEZA NATURAL 1080 CAJAS DE BONITA</t>
  </si>
  <si>
    <t>8672/</t>
  </si>
  <si>
    <t>RBXC25/PJJR57</t>
  </si>
  <si>
    <t>SE DESCARGO EN RIQUEZA natural 140 CAJAS DE PLATANO Y 2052 CAJAS DE BAGNO</t>
  </si>
  <si>
    <t>11529/</t>
  </si>
  <si>
    <t>SE DESCARGO EN RIQUEZA natural 1680 cajas de piña</t>
  </si>
  <si>
    <t>15092/</t>
  </si>
  <si>
    <t>DRDZ43</t>
  </si>
  <si>
    <t xml:space="preserve">SE DESCARGO 2212 CAJAS DE PALTA CAL 84 FRUTA BIEN </t>
  </si>
  <si>
    <t>15094/</t>
  </si>
  <si>
    <t>MTP5121</t>
  </si>
  <si>
    <t xml:space="preserve">SE DESCARGO 2212 CAJAS DE PALTA CAL 60 FRUTA BIEN </t>
  </si>
  <si>
    <t>13896/</t>
  </si>
  <si>
    <t>SE DESCARGO EN RIQUEZ NATURAL 2160 BONITA</t>
  </si>
  <si>
    <t xml:space="preserve">SE DESCARGO EN RIQUEZA NATURAL 1080 CAJAS DE BONITA FRUTA BIEN </t>
  </si>
  <si>
    <t>8679/</t>
  </si>
  <si>
    <t>LXVT17-LVHC53</t>
  </si>
  <si>
    <t xml:space="preserve">18/09 SE DESCARGO EN RIQUEZA NATURAL 2160 CAJAS DE BAGNO FRUTA BIEN </t>
  </si>
  <si>
    <t>88462/</t>
  </si>
  <si>
    <t>18/09 SE DESCARGO EN RIQUEZA NATURAL 1026 CAJAS DE TROPICAL PEPE</t>
  </si>
  <si>
    <t>KCTC66</t>
  </si>
  <si>
    <t xml:space="preserve">19/09 SE DESCARGO EN RIQUEZA NATURAL 1080 CAJAS DE BONITA FRUTA BIEN </t>
  </si>
  <si>
    <t>3546-1/</t>
  </si>
  <si>
    <t>VBZJ57</t>
  </si>
  <si>
    <t>19/09 SE DESCARGO EN RIQUEZA NATURAl 2112 CAJAS DE PALTA CAL 84 VINO INTERVENIDO</t>
  </si>
  <si>
    <t>48640/</t>
  </si>
  <si>
    <t xml:space="preserve">20/09 SE DESCARGO EN RIQUEZA NATURAL  1056 CAJAS DE PALTA CAL 60 Y 1056 CAJAS DE PALTA  CAL 84  PROPAL</t>
  </si>
  <si>
    <t>35//</t>
  </si>
  <si>
    <t>2569UEL</t>
  </si>
  <si>
    <t>SE DESCARGO EN RIQUEZA NATURAL 1104 CAJAS DE TULI</t>
  </si>
  <si>
    <t>3854YDR</t>
  </si>
  <si>
    <t>6/09 SE FDESCARGO EN UAM 1104 CAJAS DE TULI FRUTA BIEN VINO QUEMADA POR FRIO</t>
  </si>
  <si>
    <t>11575/</t>
  </si>
  <si>
    <t>JFTX12</t>
  </si>
  <si>
    <t>SE DESCARGO 1680 CAJAS DE PÌÑA</t>
  </si>
  <si>
    <t>13931/</t>
  </si>
  <si>
    <t>SE DESCARGO EN RIQUEZA NATURAL 1080 BONITA</t>
  </si>
  <si>
    <t>8689/</t>
  </si>
  <si>
    <t>40518/</t>
  </si>
  <si>
    <t>SE DESCARGO EN RIQUEZA NATURAL 2288 CAJAS DE KIWI</t>
  </si>
  <si>
    <t>40//</t>
  </si>
  <si>
    <t>SE DESCRAGO EN UAM 1104 CAJAS DE TULI EL DIA 2/10/2025</t>
  </si>
  <si>
    <t>FVF25/151</t>
  </si>
  <si>
    <t>Ciruelas</t>
  </si>
  <si>
    <t>13935/</t>
  </si>
  <si>
    <t>SE DESCARGO EN RIQUEZ NATURAL 3240 BONITAS</t>
  </si>
  <si>
    <t>8698//</t>
  </si>
  <si>
    <t>SE DESCARGO EN RIQUEZ NATURAL 170 PLATANOS Y 2052 BAGNO</t>
  </si>
  <si>
    <t>88464/</t>
  </si>
  <si>
    <t xml:space="preserve">SE DESCRAGO EN UAM 1080 CAJAS DE COLOMBIANA EL DIA 8/10/2025, VINIERON 2 PALLETS CON FRUTA SENTIDA </t>
  </si>
  <si>
    <t>40527/</t>
  </si>
  <si>
    <t xml:space="preserve">SE DESCARGO EN RIQUEZ NATURAL 2288 KIWIS </t>
  </si>
  <si>
    <t>46/</t>
  </si>
  <si>
    <t>13975/</t>
  </si>
  <si>
    <t>8709/</t>
  </si>
  <si>
    <t>Ec</t>
  </si>
  <si>
    <t>8708/</t>
  </si>
  <si>
    <t>SE DESCARGHO EN RIQUEZA NATURAL 2160 BONITAS</t>
  </si>
  <si>
    <t>11625/</t>
  </si>
  <si>
    <t>JFVR88</t>
  </si>
  <si>
    <t>SE DESCARGO EN RIQUEZA NATURAL 1680 PIÑAS</t>
  </si>
  <si>
    <t>15568/</t>
  </si>
  <si>
    <t>SE DESCARGO EN RIQUEZA NATURAL 2112 PALTAS 1056 CAL 60 1056 CAL 70</t>
  </si>
  <si>
    <t>SE DESCARGO EN RIQUEZ NATURAL 1076 CJAS DE BAGNO</t>
  </si>
  <si>
    <t>0002/</t>
  </si>
  <si>
    <t>LXCK98</t>
  </si>
  <si>
    <t xml:space="preserve">SE  DESCARGO EN RIQUEZA NATURAL 2112 CAJAS DE PALTA 60</t>
  </si>
  <si>
    <t>142/</t>
  </si>
  <si>
    <t>SE DESCARGO EN UAM 1049 CAJAS DE SUPREMA EL DIA 17/10/2025</t>
  </si>
  <si>
    <t>14029/</t>
  </si>
  <si>
    <t xml:space="preserve">SE DESCARGO 3240 BONITAS </t>
  </si>
  <si>
    <t>SE DESCRAGO EN UAM 1103 CAJAS DE TULI EL DIA 18/10/2025</t>
  </si>
  <si>
    <t>88468/</t>
  </si>
  <si>
    <t>SE DESCRAGO EN UAM 1080 CAJAS DE COLOMBIANA EL DIA 18/10</t>
  </si>
  <si>
    <t>8719/</t>
  </si>
  <si>
    <t>SE DESCARGO EN RIQUEZ NATURAL 972 BAGNOS 170 PLATANOS</t>
  </si>
  <si>
    <t>8718/</t>
  </si>
  <si>
    <t>SE DESCARGO EN RIQUEZA NATURAL 2160 BAGNOS</t>
  </si>
  <si>
    <t>11659/</t>
  </si>
  <si>
    <t>3707//</t>
  </si>
  <si>
    <t>PHVR74</t>
  </si>
  <si>
    <t>SE DESCARTGO EN RIQUEZA NATURAL 2112 PALTAS 84 098896949</t>
  </si>
  <si>
    <t>14071/</t>
  </si>
  <si>
    <t>se descargo en riqueza natural 1080 bonitas 24/10/25</t>
  </si>
  <si>
    <t>56/</t>
  </si>
  <si>
    <t>SE DESCRAGO EN UAM 2208 CAJAS DE BOLIVIANA EL DIA 24/10/2025</t>
  </si>
  <si>
    <t>8730/</t>
  </si>
  <si>
    <t>se descargo en riqueza natural 140 platanos 2052 bagno</t>
  </si>
  <si>
    <t>147/</t>
  </si>
  <si>
    <t>14106/</t>
  </si>
  <si>
    <t>8739/</t>
  </si>
  <si>
    <t>155/</t>
  </si>
  <si>
    <t>88471/</t>
  </si>
  <si>
    <t>98/</t>
  </si>
  <si>
    <t xml:space="preserve">se descargo en uam 1049 cajas de boliviana  el dia 1/11/2025</t>
  </si>
  <si>
    <t>11708/</t>
  </si>
  <si>
    <t>SE DESACARGO EN RIQUEZA NATURAL 1860 CAJAS DE PIÑA</t>
  </si>
  <si>
    <t>8738/</t>
  </si>
  <si>
    <t>154/</t>
  </si>
  <si>
    <t>3822-1/</t>
  </si>
  <si>
    <t>49376/</t>
  </si>
  <si>
    <t>SE DESCARGO EN RIQUEZA NATURAL 1836 CAJAS DE LAS CUALES 1056 CORRESPONDEN A PALTA CAL 60 Y 780 CORRESPONDEN A POMELO ROJO, EL DIA 7/11/25</t>
  </si>
  <si>
    <t>14163/</t>
  </si>
  <si>
    <t>SE DESCARGO EN RIQUEZA NATURAL 4 CAMIONES DE BONITA CON 1080 CAJAS CADA UNO EL DIA 7/11/25</t>
  </si>
  <si>
    <t>8750/</t>
  </si>
  <si>
    <t>SE DESCRAGO EN UAM 2160 CAJAS DE BAGNO EL DIA 7/11/2025</t>
  </si>
  <si>
    <t>11730/</t>
  </si>
  <si>
    <t>88472/</t>
  </si>
  <si>
    <t>8751/</t>
  </si>
  <si>
    <t>15841/</t>
  </si>
  <si>
    <t>Se descargo en Riqueza natural 21112 paltas cal.60</t>
  </si>
  <si>
    <t>156/</t>
  </si>
  <si>
    <t>8763/</t>
  </si>
  <si>
    <t>Descarga en CRaiz Bagno 1080 cjs. total de 20 palets fruta en buen estado.</t>
  </si>
  <si>
    <t>160/</t>
  </si>
  <si>
    <t xml:space="preserve">SE DESCRAGO EN UAM 1100  CAJAS DE  SUPREMA EL DIA 13/11/2025</t>
  </si>
  <si>
    <t>14186/</t>
  </si>
  <si>
    <t>Desc,Craiz 1080 cajas Bonita total 20 palets fruta en buen estado 14/11/25</t>
  </si>
  <si>
    <t>70/</t>
  </si>
  <si>
    <t>SE DESCRAGO EN UAM 1104 CAJAS DE TULI EL DIA 14/11/2025</t>
  </si>
  <si>
    <t>14187/</t>
  </si>
  <si>
    <t>Se descargo en CRAIZ 1080 cajas de Bonita fechaa 14/11/25</t>
  </si>
  <si>
    <t>SE DESCARGO EN RIQUEZA NATURAL 1080 CAJAS DE ECUADOR BONITA EN ZAC EL DIA 15/11/25</t>
  </si>
  <si>
    <t>164/</t>
  </si>
  <si>
    <t>SE DESCARGO EN UAM 2160 CAJAS DE BAGNO EL DIA 15/11/2025</t>
  </si>
  <si>
    <t xml:space="preserve">Se descargo en Craiz 1080 cajas Bonita el 18/11 </t>
  </si>
  <si>
    <t>11757/</t>
  </si>
  <si>
    <t>Se descargo en CRaiz Piña ,21 palests 1600 cjs. Cal 5,6,7,8 fruta buen estado.18/11</t>
  </si>
  <si>
    <t>8764/</t>
  </si>
  <si>
    <t>SE DESCARGO EN RIQUEZA NATURAL 972 CAJAS BAGNO/140 CAJAS PLATAS(11CJSPLATANO SENTIDOS)</t>
  </si>
  <si>
    <t>166//</t>
  </si>
  <si>
    <t>PISO</t>
  </si>
  <si>
    <t>SE DESCARGO EN UAM 1049 CAJAS DE SUPREMA EL 18/11/25</t>
  </si>
  <si>
    <t>4INV3-0000227</t>
  </si>
  <si>
    <t>SE DESCRAGO EN UAM 2288 CAJAS DE KIWI EL DIA 19/11/2025</t>
  </si>
  <si>
    <t>31107337/</t>
  </si>
  <si>
    <t>Se descargo Pomelo rojo en CRaiz 1288 cjs.19/11/25</t>
  </si>
  <si>
    <t>14250/</t>
  </si>
  <si>
    <t>Se descargo en Craiz Bonita 2160 cjs Afidi 1546038 fruta buen estado(2 camiones mismo Nº factura)</t>
  </si>
  <si>
    <t>8776/</t>
  </si>
  <si>
    <t>SE DESCRAGO EN UAM 1080 CAJAS DE BAGNO EL DIA 20/11/2025</t>
  </si>
  <si>
    <t>74/</t>
  </si>
  <si>
    <t>3854YAE</t>
  </si>
  <si>
    <t>SE DESCRAGO EN UAM 1104 CAJAS DE TULI EL DIA 21/11/2025</t>
  </si>
  <si>
    <t>11785/</t>
  </si>
  <si>
    <t>PYCJ20</t>
  </si>
  <si>
    <t xml:space="preserve">Se descargo en Craiz Piña 1680 cjs.el dia  21/11/2025</t>
  </si>
  <si>
    <t xml:space="preserve">vfzh93 </t>
  </si>
  <si>
    <t>se descargo en uam 1080 cajas de bonita el dia 21/11/2025</t>
  </si>
  <si>
    <t>14251/</t>
  </si>
  <si>
    <t>SE DESCARGO EN UAM 1080 CAJAS DE BONITA EL DIA 21/11/2025</t>
  </si>
  <si>
    <t xml:space="preserve">  </t>
  </si>
  <si>
    <t>PYCJ24/VF2H89</t>
  </si>
  <si>
    <t xml:space="preserve">Se descargo  en Craiz 2160  cajas de Bonita el 21/11/25</t>
  </si>
  <si>
    <t>8777/</t>
  </si>
  <si>
    <t>VFZH92</t>
  </si>
  <si>
    <t>SE DESCRAGO EN UAM 2160 CAJAS DE BAGNO EL DIA 21/11/2025. SE DESCRAGO EN CR 1080 CAJAS DE BAGNO EL DIA 21/11/2025</t>
  </si>
  <si>
    <t xml:space="preserve">Se descargo  en Craiz 1080  cajas de Bonita el 22/11/25</t>
  </si>
  <si>
    <t>0013/</t>
  </si>
  <si>
    <t xml:space="preserve">Se descargo  en CRaiz palta cal.60 2112 cajas 22/11/25</t>
  </si>
  <si>
    <t>171//</t>
  </si>
  <si>
    <t>SE DESCRAGO EN UAM 1050 CAJAS DE SUPREMA EL DIA 25/11/2025</t>
  </si>
  <si>
    <t>167/</t>
  </si>
  <si>
    <t>8792/</t>
  </si>
  <si>
    <t>Bagno</t>
  </si>
  <si>
    <t>SE DESCRAGO EN CRAIZ 1080 CAJAS DE SUPREMA EL DIA 27/11/2025</t>
  </si>
  <si>
    <t>76/</t>
  </si>
  <si>
    <t>SE DESCRAGO EN UAM 1104 CAJAS DE TULI EL DIA 29/11/2025</t>
  </si>
  <si>
    <t>46//</t>
  </si>
  <si>
    <t>DAIRA</t>
  </si>
  <si>
    <t>SE DESCRAGO EN UAM 1000 CAJAS DE DAIRA EL DIA 28/11/2025</t>
  </si>
  <si>
    <t>4737NSC</t>
  </si>
  <si>
    <t>SE DESCARGO EN UAM 1050 CAJAS DE BOLIVIANA EL DIA 28/11/2025</t>
  </si>
  <si>
    <t>14927/</t>
  </si>
  <si>
    <t>1080/1080/1080</t>
  </si>
  <si>
    <t>Se descargo en CRaiz Bonita 1080 CJS Afidi 1541230 dia 28/11</t>
  </si>
  <si>
    <t>SE DESCARGOE N UAM 1080 CAJAS DE BONITA EL DIA29/11</t>
  </si>
  <si>
    <t>2302/</t>
  </si>
  <si>
    <t>MILBANA</t>
  </si>
  <si>
    <t>Descarga en Craiz MILBANA afidi 15412311080 cjs</t>
  </si>
  <si>
    <t>11814/</t>
  </si>
  <si>
    <t>Descacarga Craiz Piña afidi 1540862 1680 cjs.28/11</t>
  </si>
  <si>
    <t>8794/</t>
  </si>
  <si>
    <t>Descacarga Craiz Bagno/Platano afidi 1541233 210 cjs.Platano/918 cjs.Bagno 28/11</t>
  </si>
  <si>
    <t>Descarga Craiz Bonita 1080 cjs. afidi1541230 28/11</t>
  </si>
  <si>
    <t>14299/</t>
  </si>
  <si>
    <t>SE DESCRAGO EN UAM 1080 CAJAS DE BONITA EL DIA 29/11</t>
  </si>
  <si>
    <t>SE DESCARGOE N UAM 2160 CAJAS DE BAGNO EL DIA29/11</t>
  </si>
  <si>
    <t>8795/</t>
  </si>
  <si>
    <t>SE DESCRAGO EN CR 1080 CAJAS DE BONITA EL DIA 29/11/2025</t>
  </si>
  <si>
    <t>0017/</t>
  </si>
  <si>
    <t>Se descrago en CRaiz 1024 cajas de Limon el dia 3/12/2025</t>
  </si>
  <si>
    <t>tuli</t>
  </si>
  <si>
    <t>38544ydr</t>
  </si>
  <si>
    <t>se descrago en uam 1104 cajas de tuli el dia 2/12/2025</t>
  </si>
  <si>
    <t>40950/</t>
  </si>
  <si>
    <t>Se descrago en CRaiz 1728 cajas de Cereza el dia 2/12/2025</t>
  </si>
  <si>
    <t>Se descargo en CRaiz MILBANA 1080 afidi 1541231</t>
  </si>
  <si>
    <t>11863/</t>
  </si>
  <si>
    <t>Se descrago en CRaiz piña 1680cjs afidi 1540862</t>
  </si>
  <si>
    <t>83/</t>
  </si>
  <si>
    <t>SE DESCARGO EN UAM 1104 CAJAS DE TULI EL DIA 4/12/2025</t>
  </si>
  <si>
    <t>177/</t>
  </si>
  <si>
    <t>SE DESCRAGO EN UAM 2098 CAJAS DE SUPREMA EL DIA 4/12/2025</t>
  </si>
  <si>
    <t>102/</t>
  </si>
  <si>
    <t xml:space="preserve">se descrago en uam 1049 cajas de BENFRUT  el dia 4/12/2025</t>
  </si>
  <si>
    <t>112574/</t>
  </si>
  <si>
    <t>Se descargo en Craiz Palta Mission cal,70</t>
  </si>
  <si>
    <t>14343/</t>
  </si>
  <si>
    <t>Se descargo en Craiz BONITA 3240</t>
  </si>
  <si>
    <t>8810/</t>
  </si>
  <si>
    <t xml:space="preserve">Se descargo en Craiz BAGNO 1080 </t>
  </si>
  <si>
    <t>2317/</t>
  </si>
  <si>
    <t>Se descargo en Craiz Ecuador Pepe 2160 afidi 1541924</t>
  </si>
  <si>
    <t>1640/</t>
  </si>
  <si>
    <t>SE DESCRAGO EN UAM 100 ESPARRAGOS EL DIA 5/12/2025</t>
  </si>
  <si>
    <t>SE DESCRAGO EN UAM 2160 CAJAS DE BONITA EL DIA 6/12/2025</t>
  </si>
  <si>
    <t>31107400/</t>
  </si>
  <si>
    <t>Se descargo en CRaiz Pomelo rojo 1352 cjs</t>
  </si>
  <si>
    <t>226200545/</t>
  </si>
  <si>
    <t>Se descargo en CRaiz Pomelo Blanco 1317 cjs</t>
  </si>
  <si>
    <t>23//</t>
  </si>
  <si>
    <t>Se descargo en Craiz kiwi Afidi 1580827 20 x110 1x88</t>
  </si>
  <si>
    <t>SE DESCARGO EN UAM 1050 CAJAS DE BOLIVIANA EL DIA 10/12/2025</t>
  </si>
  <si>
    <t>50063/</t>
  </si>
  <si>
    <t>Se descargo en Craiz Paltra Propal cal 60,</t>
  </si>
  <si>
    <t>181/</t>
  </si>
  <si>
    <t>se descrago en uam 1050 cajas de suprema el dia 10/12/2025</t>
  </si>
  <si>
    <t>4033-1/</t>
  </si>
  <si>
    <t>Se descargo en CRaiz palta Avocats cxal 50,60,70,84</t>
  </si>
  <si>
    <t>48/</t>
  </si>
  <si>
    <t xml:space="preserve">DAIRA </t>
  </si>
  <si>
    <t>SE DESCRAGO EN UAM 1000 CAJAS DE BOLIVIANA EL DIA 12/12/2025</t>
  </si>
  <si>
    <t>8822/</t>
  </si>
  <si>
    <t>SE DESCRAGO EN UAM 1080 CAJAS DE BAGNO EL DIA 12/12/2025</t>
  </si>
  <si>
    <t>2334/</t>
  </si>
  <si>
    <t>PEPE</t>
  </si>
  <si>
    <t>SE DESCRAGO EN UAM 1080 CAJAS DE PEPE EL DIA 12/12/2025</t>
  </si>
  <si>
    <t>SE DESCRAGO EN UAM 1050 CAJAS DE BOLIVIANA EL DIA 12/12/2025</t>
  </si>
  <si>
    <t>1644/</t>
  </si>
  <si>
    <t>SE DESCRAGO EN UAM 100 CAJAS DE ESPARRAGOS EL DIA 12/12/2025</t>
  </si>
  <si>
    <t>11877/</t>
  </si>
  <si>
    <t>Se descargo en CRaiz 1680 cjs,Piña 13/12/25</t>
  </si>
  <si>
    <t>14400/</t>
  </si>
  <si>
    <t>1080/1080/1080/1080/1080/1080</t>
  </si>
  <si>
    <t>41580/</t>
  </si>
  <si>
    <t>SE DESCRAGO EN UAM 1912 CAJAS DE CEREZA EL DIA 16/12/2025</t>
  </si>
  <si>
    <t>50515/</t>
  </si>
  <si>
    <t>Se descargop en CRaiz Palta cal.60 Propal</t>
  </si>
  <si>
    <t>8837/</t>
  </si>
  <si>
    <t>BAGNO/PLATANO</t>
  </si>
  <si>
    <t>Se descargo en CRaiz 918 BAGNO/210 platanos</t>
  </si>
  <si>
    <t>13/</t>
  </si>
  <si>
    <t>Se descargo en CRaiz KIWI</t>
  </si>
  <si>
    <t>188//</t>
  </si>
  <si>
    <t>se descrago en uam 1050 cajas de suprema el dia 18/12/2025</t>
  </si>
  <si>
    <t>106/</t>
  </si>
  <si>
    <t xml:space="preserve">4249GGA </t>
  </si>
  <si>
    <t>SE DESCARGO EN UAM 1050 CAJAS DE BEFRUT EL DIA 18/12/2025</t>
  </si>
  <si>
    <t>se descargo en uam 1104 cajas de tuli el dia 18/12/2025</t>
  </si>
  <si>
    <t>SE DESCARGO EN UAM 1050 CAJAS DE SUPREMA EL DIA 19/12/2025</t>
  </si>
  <si>
    <t>2368/</t>
  </si>
  <si>
    <t>1078/1080/1080/1080</t>
  </si>
  <si>
    <t>40/</t>
  </si>
  <si>
    <t>Se descargo Limon CRaiz 20/12/25(intervenido)</t>
  </si>
  <si>
    <t>14490/</t>
  </si>
  <si>
    <t xml:space="preserve">Se descargo en CRaiz 6480 BONITA  Fecha 20/12 2160 cjs,Fecha 22/12-4320 cjs</t>
  </si>
  <si>
    <t>50717/</t>
  </si>
  <si>
    <t>Se descargo en CRaiz Palta Propal cal 60 23/12/25</t>
  </si>
  <si>
    <t>31/</t>
  </si>
  <si>
    <t>Se descargo en CRaiz kIWI 24/12/25</t>
  </si>
  <si>
    <t>BEFRUT</t>
  </si>
  <si>
    <t>SE DESCARGO EN UAM 1050 CAJAS DE BOLIVIANA EL DIA 24/12/2025</t>
  </si>
  <si>
    <t>96/</t>
  </si>
  <si>
    <t>192/</t>
  </si>
  <si>
    <t>se descargo en uam 1049 cajas de suprema el dia 27/12/2025</t>
  </si>
  <si>
    <t>196/</t>
  </si>
  <si>
    <t>SE DESCARGO EN UAM 1050 SUPREMA EL DIA 27/12/2025</t>
  </si>
  <si>
    <t>11905/</t>
  </si>
  <si>
    <t>Se descargo en Craiz Piña 27/12/25</t>
  </si>
  <si>
    <t>8848/</t>
  </si>
  <si>
    <t>Se descargo en CRaiz Bagno 27/12/25</t>
  </si>
  <si>
    <t>14499/</t>
  </si>
  <si>
    <t>2380/</t>
  </si>
  <si>
    <t>Se descargo en CRaiz PEPE x 3 camiones 27/12/25</t>
  </si>
  <si>
    <t>113250/</t>
  </si>
  <si>
    <t>Se descargo en CRaiz palt a70/84 27/12/25</t>
  </si>
  <si>
    <t>50/</t>
  </si>
  <si>
    <t>Se descargo en CRaiz BAGno 29/12/25</t>
  </si>
  <si>
    <t>Se descargo en CRaiz Ecu Pepe 29/12/25</t>
  </si>
  <si>
    <t>Se descargo en su totalidad 3 camiones CRaiz.30/12/25</t>
  </si>
  <si>
    <t>113530/</t>
  </si>
  <si>
    <t>Se descargo en CRaiz palta cal70/84 Afidi 1543256</t>
  </si>
  <si>
    <t>202//</t>
  </si>
  <si>
    <t>SE DESCARGO EN UAM 1050 CAJAS DE SUPREMA EL DIA 2/1/2026</t>
  </si>
  <si>
    <t>103/</t>
  </si>
  <si>
    <t xml:space="preserve">SE DESCARGO EN UAM 1104 CAJAS DE TULI  EL DIA 2/1/2026</t>
  </si>
  <si>
    <t>4114-1</t>
  </si>
  <si>
    <t>Se descargo en CRaiz palta cal60/70/84 Afidi 1546666</t>
  </si>
  <si>
    <t>11923/</t>
  </si>
  <si>
    <t>Se descargo en CRaiz piña 6/1/26</t>
  </si>
  <si>
    <t>38/</t>
  </si>
  <si>
    <t>Se descargo en CRaiz kiwi Afidi 1543257 6/1/26</t>
  </si>
  <si>
    <t>14529/</t>
  </si>
  <si>
    <t>1080/1080/1080/1080</t>
  </si>
  <si>
    <t>Se descargo en CRaiz PEPE 4 camiones 6/01/2026</t>
  </si>
  <si>
    <t>2413/</t>
  </si>
  <si>
    <t>Se descargo en CRaiz BONITA 3 camiones 6/1/01/2026</t>
  </si>
  <si>
    <t>352/</t>
  </si>
  <si>
    <t>SE DESCARGO EN UAM 7260 CAJAS DE ARANDANOS EL DIA 7/1/2026</t>
  </si>
  <si>
    <t>105/</t>
  </si>
  <si>
    <t>SE DESCARGO EN UAM 1104 CAJAS DE TULI EL DIA 7/1/2026</t>
  </si>
  <si>
    <t>Se descargo BonIta 1080 cjs CRaiz 8/1/26</t>
  </si>
  <si>
    <t>206//</t>
  </si>
  <si>
    <t>SE DESCARGO EN UAM 1049 CAJAS DE SUPREMA EL DIA 10/1/2026</t>
  </si>
  <si>
    <t>Se descargo en CRaiz Bonita Afidi 1544776 9/1/26</t>
  </si>
  <si>
    <t>11948/</t>
  </si>
  <si>
    <t>Se descargo en CRaiz Piña 1680 cjs.10/1/26</t>
  </si>
  <si>
    <t>2440/</t>
  </si>
  <si>
    <t>Se descargo en CRaiz Pepe 40 pallets 13/01/26</t>
  </si>
  <si>
    <t>14579/</t>
  </si>
  <si>
    <t>Se descargo en CRaiz Bonita 60 pallets 13/1/26</t>
  </si>
  <si>
    <t>Se descarg en CRaiz PEPE Afidid 1545303 14/1/26</t>
  </si>
  <si>
    <t>Se descarg en CRaiz BONITA Afidid 1545302 14/1/26</t>
  </si>
  <si>
    <t>114171/</t>
  </si>
  <si>
    <t>Se descargo Palta mission 60 16/1/26</t>
  </si>
  <si>
    <t>114151/</t>
  </si>
  <si>
    <t>Se descargo en CRaiz PALTA mission 70/84 17/1/26</t>
  </si>
  <si>
    <t>11965/</t>
  </si>
  <si>
    <t>Se descargo en CRaiz PIÑA 17/1/26</t>
  </si>
  <si>
    <t>2463/</t>
  </si>
  <si>
    <t>Se descargo en CRaiz PEPE 17/1/26</t>
  </si>
  <si>
    <t>111/</t>
  </si>
  <si>
    <t>SE DESCRAGO EN UAM 1104 CAJAS DE TULI EL DIA 17/1/2026</t>
  </si>
  <si>
    <t>209/</t>
  </si>
  <si>
    <t>SE DESCARGO EN UAM 1050 CAJAS DE SUPREMA EL DIA 17/1/2026</t>
  </si>
  <si>
    <t>52055/</t>
  </si>
  <si>
    <t>Se descargo en CRaiz Porpal cal.60 19/1/26</t>
  </si>
  <si>
    <t>1776/</t>
  </si>
  <si>
    <t>Se descarga en CRaiz KIWI (intervenido Afidi 1547486)</t>
  </si>
  <si>
    <t>SE DESCARGO EN UAM 1050 CAJAS DE BOLIVIANA EL DIA 21/1/2026</t>
  </si>
  <si>
    <t>218/</t>
  </si>
  <si>
    <t>SE DESCARGO EN UAM 1050 CAJAS DE SUPREMA EL DIA 22/1/2026</t>
  </si>
  <si>
    <t>217/</t>
  </si>
  <si>
    <t>2522/</t>
  </si>
  <si>
    <t xml:space="preserve">Se descargo en CRaiz PEPE  1 camion. 22/1/26. SE DESCARGO EN UAM  1 CAMION DE ECUADOR PEPE EL DIA 26/1/2026/Se descargo en CRaiz 1 camion PEPE31/1/26</t>
  </si>
  <si>
    <t>2491/</t>
  </si>
  <si>
    <t xml:space="preserve">Se descargo en CRaiz PEPE  1 camion. 22/1/26. SE DESCARGO EN UAM  1 CAMION DE ECUADOR PEPE EL DIA 26/1/2026,Descarga 1 camion 29/1</t>
  </si>
  <si>
    <t>114630/</t>
  </si>
  <si>
    <t>Se descargo en CRaiz palta 84 MISSION</t>
  </si>
  <si>
    <t>1650/</t>
  </si>
  <si>
    <t>Pitahya</t>
  </si>
  <si>
    <t>11989/</t>
  </si>
  <si>
    <t>Se descargo en CRaiz Piña 23/1/26</t>
  </si>
  <si>
    <t>14689/</t>
  </si>
  <si>
    <t>Se descargo en Craiz BONITA 2 camiones 23/1/26. SE DESCARGO EN UAM 1 CAMION DE BONITA EL DIA 26/1/2026</t>
  </si>
  <si>
    <t>114629/</t>
  </si>
  <si>
    <t>Se descargo en CRaiz MISSION 60 23/1/26</t>
  </si>
  <si>
    <t>4212-1</t>
  </si>
  <si>
    <t xml:space="preserve">Se descargo en CRaiz palta  cal.60 avocado 24/1/26</t>
  </si>
  <si>
    <t>58/</t>
  </si>
  <si>
    <t>SE DESCARGO EN UAM 1000 CAJAS DE DAIRA EL DIA 29/1/2026</t>
  </si>
  <si>
    <t>221//</t>
  </si>
  <si>
    <t>SE DESCARGO EN UAM 1050 CAJAS DE SUPREMA EL DIA 29/1/2026</t>
  </si>
  <si>
    <t>363/</t>
  </si>
  <si>
    <t>Se descargo en CRaiz Arandano 28/1/26</t>
  </si>
  <si>
    <t>112//</t>
  </si>
  <si>
    <t>SE DESCARGO EN UAM 1050 CAJAS DE SUPREMA EL DIA 3/2/2026</t>
  </si>
  <si>
    <t>4INV3-000318</t>
  </si>
  <si>
    <t>Se descarga en CRaiz KIWI 3/2/26</t>
  </si>
  <si>
    <t>12037/</t>
  </si>
  <si>
    <t>Se descargo en CRaiz Piña 3/2/26</t>
  </si>
  <si>
    <t>224//</t>
  </si>
  <si>
    <t>SE DESCARGO EN UAM 1050 CAJAS DE SUPREMA EL DIA 5/2/2026</t>
  </si>
  <si>
    <t>14757/</t>
  </si>
  <si>
    <t xml:space="preserve">SE DESCARGO EN CRAIZ 4320 CAJAS DE BONITA  EL DIA 6/2/2026</t>
  </si>
  <si>
    <t>230/</t>
  </si>
  <si>
    <t>SE DESCARGO EN UAM 1050 CAJAS DE SUPREMA EL DIA 7/2/2026</t>
  </si>
  <si>
    <t>115//</t>
  </si>
  <si>
    <t>SE DESCARGO EN UAM 1050 CAJAS DE SUPREMA EL DIA 9/2/2026</t>
  </si>
  <si>
    <t>14831/</t>
  </si>
  <si>
    <t>Se descargo en CRaiz 4 cam.BONITA 11/2/26</t>
  </si>
  <si>
    <t>59/</t>
  </si>
  <si>
    <t xml:space="preserve">SE DESCARGO EN UAM 1000 CAJAS DE  DAIRA EL DIA 12/2/2026</t>
  </si>
  <si>
    <t>DFC BEFRUT</t>
  </si>
  <si>
    <t>SE DESCARGO EN UAM 1050 CAJAS DE DFC BEFRUT EL DIA 9/2/2026</t>
  </si>
  <si>
    <t>8905/</t>
  </si>
  <si>
    <t>Se descargo en CRaiz Bagno bannana 918 cjs/platano 210 cjs 14/2/26</t>
  </si>
  <si>
    <t>2601/</t>
  </si>
  <si>
    <t xml:space="preserve">Se descargo en CRaiz PEPE  4320 CJS 14/2/26</t>
  </si>
  <si>
    <t>4INV3-000331</t>
  </si>
  <si>
    <t>Se descargo en CRaiz Kiwi 19/2/26</t>
  </si>
  <si>
    <t>2633/</t>
  </si>
  <si>
    <t>Se descargo en CRaiz 1080 PEPE 19/2/26</t>
  </si>
  <si>
    <t>115481/</t>
  </si>
  <si>
    <t>Se Descargo en CRaiz palta mission 60 20/2/26</t>
  </si>
  <si>
    <t>Se descargo en CRaiz PEPE 20/2/26</t>
  </si>
  <si>
    <t>14899/</t>
  </si>
  <si>
    <t>SE DESCRAGO EN UAM 2160 CAJAS DE BONITA EL DIA 20/2/2026. Y SE DESCRAGO EN CR 3240 CAJAS DE BONITA EL DIA 20/2/2026</t>
  </si>
  <si>
    <t>8918/</t>
  </si>
  <si>
    <t>Se descargo en CRaiz 1998 js Bagno /210 Platanos</t>
  </si>
  <si>
    <t>12086/</t>
  </si>
  <si>
    <t>SE DESCARGO EN UAM 1680 CAJAS DE PIÑA EL DIA 20/2/2026</t>
  </si>
  <si>
    <t>52638/</t>
  </si>
  <si>
    <t>Se descargo en CRaiz Palta propal cal 60 21/2/26</t>
  </si>
  <si>
    <t>240/</t>
  </si>
  <si>
    <t>SE DESCARGOE N UAM 1050 CAJAS DE SUPREMA EL DIA 21/2/2026</t>
  </si>
  <si>
    <t>115881/</t>
  </si>
  <si>
    <t>Se descargo en CRaiz palta mission cal 60 24/2/26</t>
  </si>
  <si>
    <t>116/</t>
  </si>
  <si>
    <t>SE DESCARGO EN UAM 1020 CAJAS DE BOLIVIANA EL DIA 25/2/2026</t>
  </si>
  <si>
    <t>14949/</t>
  </si>
  <si>
    <t>Se descargo en CRaiz Bonita 26/2/26</t>
  </si>
  <si>
    <t>242//</t>
  </si>
  <si>
    <t>SE DESCARGO EN UAM 1050 CAJAS DE BOLIVIANA EL DIA 26/2/2026</t>
  </si>
  <si>
    <t>8929/</t>
  </si>
  <si>
    <t>Se descargo en CRaiz Bagno 26/2/26</t>
  </si>
  <si>
    <t>SE DESCARGO EN UAM 1080 CAJAS DE BONITA EL DIA 27/2/2026</t>
  </si>
  <si>
    <t>SE DESCARGO EN UAM 1050 CAAJAS DE BOLIVIANA EL DIA 27/2/2026</t>
  </si>
  <si>
    <t>2668/</t>
  </si>
  <si>
    <t>Se descargo en CRaiz PEPE 27/2/26</t>
  </si>
  <si>
    <t>14945/</t>
  </si>
  <si>
    <t>Platano</t>
  </si>
  <si>
    <t>Se descargo Platano Bonita 27/2/26</t>
  </si>
  <si>
    <t>14971/</t>
  </si>
  <si>
    <t>1080/1080/1080/1080/1080</t>
  </si>
  <si>
    <t>Se descargaron 5 camiones en CRaiz 1 intervenido 3/3/26</t>
  </si>
  <si>
    <t>12123/</t>
  </si>
  <si>
    <t>SE DESCARGO EN UAM 1680 CAJAS DE PIÑA EL DIA 3/3/2026</t>
  </si>
  <si>
    <t>2690/</t>
  </si>
  <si>
    <t xml:space="preserve">Se descargo en Craiz  2 camiones 4/3/26</t>
  </si>
  <si>
    <t>120/</t>
  </si>
  <si>
    <t>SE DESCARGO EN UAM 1050 CAJAS DE BOLIVIANA EL DIA 3/3/2026</t>
  </si>
  <si>
    <t>SE DESCARGO EN UAM 1050 CAJAS DE BOLIVIANA EL DIA 5/3/2026</t>
  </si>
  <si>
    <t>244/</t>
  </si>
  <si>
    <t xml:space="preserve">SE DESCARGO EN UAM 1050 CAJAS DE BOLIVIANA  EL DIA 5/3/2026</t>
  </si>
  <si>
    <t>31107861/</t>
  </si>
  <si>
    <t>Se descargo en CRaiz NARANJA 6/3/26</t>
  </si>
  <si>
    <t>121/</t>
  </si>
  <si>
    <t>SE DESCARGO EN UAM 1050 CAJAS DE BOLIVIANA EL DIA 6/3/2026</t>
  </si>
  <si>
    <t>FC08-00000309</t>
  </si>
  <si>
    <t xml:space="preserve">SE DESCARGO EN UAM 510 CAJAS DE ARANDANOS </t>
  </si>
  <si>
    <t>245/</t>
  </si>
  <si>
    <t>SE DESCARGO EN UAM 1050 CAJAS DE BOLIVIA EL DIA 9/3/2026</t>
  </si>
  <si>
    <t>2445/</t>
  </si>
  <si>
    <t>Se descargo limon en CRaiz 7/3/26</t>
  </si>
  <si>
    <t xml:space="preserve">BEFRUT </t>
  </si>
  <si>
    <t>SE DESCARGO EN UAM 2100 CAJAS DE BOLIVIANA EL DIA 10/3/2026</t>
  </si>
  <si>
    <t>12147/</t>
  </si>
  <si>
    <t>SE DESCARGO EN UAM 1680 CAJAS DE PIÑA EL DIA 12/3/2026</t>
  </si>
  <si>
    <t>248/</t>
  </si>
  <si>
    <t>SE DESCARGARON 1050 CAJAS DE BOLIVIANA EL DIA 13/3/2026</t>
  </si>
  <si>
    <t>249/</t>
  </si>
  <si>
    <t>SE DESCARGO EN UAM 1050 CAJAS DE BOLIVIANA EL DIA 12/3/2026</t>
  </si>
  <si>
    <t>250/</t>
  </si>
  <si>
    <t>2721//</t>
  </si>
  <si>
    <t>Se descargo en CRaiz 14/3/26</t>
  </si>
  <si>
    <t>2720//</t>
  </si>
  <si>
    <t>SE DESCARGO EN UAM 2160 CAJAS DE PEPE ECUADOR EL DIA 14/3/2026</t>
  </si>
  <si>
    <t>Se descargo en CRaiz 14/3/26 Intervenido Afidi1550661</t>
  </si>
  <si>
    <t>15026/</t>
  </si>
  <si>
    <t>Se descargo en CRaiz 14/3</t>
  </si>
  <si>
    <t>124/</t>
  </si>
  <si>
    <t>SE DESCARGO EN UAM 1050 CAJAS DE BOLIVIANA EL DIA 19/3/2026</t>
  </si>
  <si>
    <t>FC08-0000452</t>
  </si>
  <si>
    <t>SE DESCARGO EN UAM 765 CAJAS DE ARANDANOS EL DIA 20/3/2026</t>
  </si>
  <si>
    <t>254/</t>
  </si>
  <si>
    <t>SE DESCARGO EN UAM 1050 CAJAS DE BOLIVIANA EL DIA 20/3/2026</t>
  </si>
  <si>
    <t>15132/</t>
  </si>
  <si>
    <t>1080/3240/1080</t>
  </si>
  <si>
    <t xml:space="preserve">SE DESCARGO EN UAM 3240 CAJAS DE BONITA EL DIA 20/3/2026. SE DESCARGO EN RIQUEZA NATURAL </t>
  </si>
  <si>
    <t>2744/</t>
  </si>
  <si>
    <t>SE DESCARGO EN CRAIZ 5400 CAJAS DE PEPE 20/3/26</t>
  </si>
  <si>
    <t>255/</t>
  </si>
  <si>
    <t>SEDESCARGO EN UAM 1050 CAJAS DE BOLIVIANA EL DIA 21/3/2026</t>
  </si>
  <si>
    <t>SE DESCARGO EN CRAIZ 1080 CAJAS DE PEPE 23/3/26</t>
  </si>
  <si>
    <t>2745/</t>
  </si>
  <si>
    <t>SE DESCARGO EN CRAIZ 1080 CAJAS DE PEPE 21/3/26</t>
  </si>
  <si>
    <t>12192/</t>
  </si>
  <si>
    <t>Se descargo en CRAIZ PIÑA 25/3/26</t>
  </si>
  <si>
    <t>SE DESCARGO EN UAM 1050 CAJAS DE BOLIVIANA EL DIA 26/3/2026</t>
  </si>
  <si>
    <t>31107862/</t>
  </si>
  <si>
    <t>2768/</t>
  </si>
  <si>
    <t>Se descargo en CRAIZ PEPE 26/3/26(Camion intervenido)</t>
  </si>
  <si>
    <t>2766/</t>
  </si>
  <si>
    <t>Se descargo en CRaiz PEPE 27/3/26</t>
  </si>
  <si>
    <t>2767/</t>
  </si>
  <si>
    <t>8979/</t>
  </si>
  <si>
    <t>Se descargo en CRaiz BAGNO 27/3/26</t>
  </si>
  <si>
    <t xml:space="preserve">          </t>
  </si>
  <si>
    <t>15136/</t>
  </si>
  <si>
    <t>Se descargo en CRaiz Bonita 27/3/26</t>
  </si>
  <si>
    <t>259//</t>
  </si>
  <si>
    <t>SE DESCARGO EN UAM 1050 CAJAS DE BOLIVIANA EL DIA 27/3/2026</t>
  </si>
  <si>
    <t>ECUADOR PEPE</t>
  </si>
  <si>
    <t>SE DESCARGO EN RIQUEZA NATURAL 3240 CAJAS DE ECUADOR PEPE EL DIA 28/3/2026</t>
  </si>
  <si>
    <t>SE DESCARGO EN RIQUEZA NATURAL 2160 CAJAS DE BONITA EL DIA 28/3/2026</t>
  </si>
  <si>
    <t>125/</t>
  </si>
  <si>
    <t>befrut</t>
  </si>
  <si>
    <t>4831DLA</t>
  </si>
  <si>
    <t>31/3 Se descargò en ZAC 1050 cajas de BEFRUT, fruta en buen estado</t>
  </si>
  <si>
    <t>8995/</t>
  </si>
  <si>
    <t>se descargo en cr 1080 cajas de bagno el dia 31/3/2026</t>
  </si>
  <si>
    <t>2792/</t>
  </si>
  <si>
    <t>SE DESCARGO EN CORONEL RAIZ 3240 CAJAS DE ECUADOR EL DIA 1 Y 2/4/2026</t>
  </si>
  <si>
    <t>2793/</t>
  </si>
  <si>
    <t>SE DESCARGO EN CORONEL RAIZ 4320 CAJAS DE ECUADOR EL DIA 1 Y 2/4/2026</t>
  </si>
  <si>
    <t>15190/</t>
  </si>
  <si>
    <t>SE DESCARGO EN CORONEL RAIZ 5400 CAJAS DE BONITA EL DIA 2-4/4/2026</t>
  </si>
  <si>
    <t>SE DESCARGO EN CORONEL RAIZ 2160 CAJAS DE ECUADOR EL DIA 2-4/4/2026</t>
  </si>
  <si>
    <t>SE DESCARGO EN CORONEL RAIZ 1080 CAJAS DE ECUADOR PEPE EL DIA 4/4/2026</t>
  </si>
  <si>
    <t>606/</t>
  </si>
  <si>
    <t>117713/</t>
  </si>
  <si>
    <t>Se descargo en CRAIZ Palta cal 60 Mission 8/4/26</t>
  </si>
  <si>
    <t xml:space="preserve">se descargo en CRAIZ BAGNO  8/4/26</t>
  </si>
  <si>
    <t>12229/</t>
  </si>
  <si>
    <t>Se descargo en CRaiz PIña 9/4/26</t>
  </si>
  <si>
    <t>15241/</t>
  </si>
  <si>
    <t>Se descargo en CRaiz BONITA 11/4/26</t>
  </si>
  <si>
    <t>E001-130</t>
  </si>
  <si>
    <t xml:space="preserve">ARANDANOS </t>
  </si>
  <si>
    <t>SE DESCARGO EN UAM 1200 CAJAS DE ARANADANOS EL DIA 11/4/2026</t>
  </si>
  <si>
    <t>2486/</t>
  </si>
  <si>
    <t>Se descargo en Craiz POMELO (falto 1 caja)13/4/26</t>
  </si>
  <si>
    <t>9014/</t>
  </si>
  <si>
    <t>Se descargo en CRAIZ BAGNO/PLATNO 14/4/26</t>
  </si>
  <si>
    <t>F004-3194</t>
  </si>
  <si>
    <t>Se descargo en CRAIZ palta Peru 14/4/26</t>
  </si>
  <si>
    <t>685/</t>
  </si>
  <si>
    <t xml:space="preserve">SE DESCARGO EN UAM 765  CAJAS DE ARANDANOS EL DIA 15/4/2026</t>
  </si>
  <si>
    <t>15286/</t>
  </si>
  <si>
    <t>Se descargo en CRAIZ BONITA 17/04/26</t>
  </si>
  <si>
    <t>43491/</t>
  </si>
  <si>
    <t>Se descargo en CRaiz KIWI 20/4/26</t>
  </si>
  <si>
    <t>SE DESCRAGO EN UAM 1049 CAJAS DE BOLIVIANA EL DIA 22/4/2026</t>
  </si>
  <si>
    <t>9039//</t>
  </si>
  <si>
    <t>Se descargo en CRaiz BAGNO/PLATANO 22/4/26</t>
  </si>
  <si>
    <t>275/</t>
  </si>
  <si>
    <t>SE DESCARGO EN UAM 1050 CAJAS DE BOLIVIANA EL DIA 25/4/2026</t>
  </si>
  <si>
    <t>12275/</t>
  </si>
  <si>
    <t>Se descargo en CRaiz piña 24/4/26</t>
  </si>
  <si>
    <t>2859/</t>
  </si>
  <si>
    <t>Se descargo en CRaiz PEPE 24/4/26</t>
  </si>
  <si>
    <t>15326/</t>
  </si>
  <si>
    <t>Se descargo en CRaiz BONITA 24/4/26</t>
  </si>
  <si>
    <t>Se descargo en CRaiz PEPE 25/4/26</t>
  </si>
  <si>
    <t>Se escargo en CRaiz BONITA 25/4/26</t>
  </si>
  <si>
    <t>E001-144</t>
  </si>
  <si>
    <t>SE DESCARGO EN UAM 1200 CAJAS DE ARANDANOS EL DIA 30/4/2026</t>
  </si>
  <si>
    <t>282/</t>
  </si>
  <si>
    <t>SE DESCARGO EN UAM 1049 CAJAS DE BOLIVIANA EL DIA 30/4/2026</t>
  </si>
  <si>
    <t>2882/</t>
  </si>
  <si>
    <t>Se descargo en CRaiz PEPE 30/4/26</t>
  </si>
  <si>
    <t>15372/</t>
  </si>
  <si>
    <t>Se descargo en CRaiz Bonita(Sentido) 30/4/26</t>
  </si>
  <si>
    <t>Se descargo en CRAIZ PEPE 2/5/26-4/5/26</t>
  </si>
  <si>
    <t>Se descargo en CRAIZ BONITA 2/5/26</t>
  </si>
  <si>
    <t>43685/</t>
  </si>
  <si>
    <t>Se descargo en CRaiz KIWI 5/5/26</t>
  </si>
  <si>
    <t>134/</t>
  </si>
  <si>
    <t>SE DESCARGO EN UAM 1050 CAJAS DE BOLIVIA EL DIA 05/05/26</t>
  </si>
  <si>
    <t>2906/</t>
  </si>
  <si>
    <t>Se descargo en CRaiz PEPE 8/5/26</t>
  </si>
  <si>
    <t>15421/</t>
  </si>
  <si>
    <t>Se descargo en CRaiz BONITA 8/5/26</t>
  </si>
  <si>
    <t>Se descargo en CRaiz BONITA 9/5/26</t>
  </si>
  <si>
    <t xml:space="preserve">Se descargo en  CRaiz PEPE 9/5/26-11/5/26</t>
  </si>
  <si>
    <t>135/</t>
  </si>
  <si>
    <t xml:space="preserve">A PISO </t>
  </si>
  <si>
    <t>SE DESCARGO EN UAM 1050 CAJAS DE BOLIVIANA EL DIA 11/5/2026</t>
  </si>
  <si>
    <t>CR</t>
  </si>
  <si>
    <t>SE DESCARGO EN UAM 1050 CAJAS DE BOLIVIANA EL DIA 12/5/2026</t>
  </si>
  <si>
    <t>15424/</t>
  </si>
  <si>
    <t>Se descargo en CRaiz PLATANO BONITA 12/5/26</t>
  </si>
  <si>
    <t>287/</t>
  </si>
  <si>
    <t>SE DESCARGO EN UAM 1050 CAJAS DE BRASIL EL DIA 14/5/2026</t>
  </si>
  <si>
    <t>2575/2576</t>
  </si>
  <si>
    <t xml:space="preserve">SE DESCRAGO EN UAM 960  CAJAS DE ARANDANOS EL DIA 15/5/2026</t>
  </si>
  <si>
    <t>2925/</t>
  </si>
  <si>
    <t>SE DESCARGO EN CRAIZ PEPE 15/5/26</t>
  </si>
  <si>
    <t>2924/</t>
  </si>
  <si>
    <t>2923/</t>
  </si>
  <si>
    <t>12365/</t>
  </si>
  <si>
    <t>Se descargo en CRaiz PIña 16/5/26</t>
  </si>
  <si>
    <t>9075/</t>
  </si>
  <si>
    <t>Se descargo en CRaiz BAGNO 16/5/26</t>
  </si>
  <si>
    <t>43911/</t>
  </si>
  <si>
    <t xml:space="preserve">Se descargo en CRaiz KIWI  18/5/26</t>
  </si>
  <si>
    <t>12395/</t>
  </si>
  <si>
    <t>Se descargo en CRaiz PIÑA 21/5/26</t>
  </si>
  <si>
    <t>2941/</t>
  </si>
  <si>
    <t>Se descargo en CRaiz PEPE 22/5/26</t>
  </si>
  <si>
    <t>2613/2614</t>
  </si>
  <si>
    <t xml:space="preserve">ARANADANOS </t>
  </si>
  <si>
    <t>SE DESCARGO EN UAM 960 CAJAS DE ARANADANOS EL DIA 22/5/2026</t>
  </si>
  <si>
    <t>15517/</t>
  </si>
  <si>
    <t>Se descargo en CRaiz PLATANO 22/5/26</t>
  </si>
  <si>
    <t>15516/</t>
  </si>
  <si>
    <t>Se descargo en CRaiz BONITA 22/5/26</t>
  </si>
  <si>
    <t>Se descargo en CRaiz Bonita 23/5/26</t>
  </si>
  <si>
    <t>2642-2643</t>
  </si>
  <si>
    <t>15572/</t>
  </si>
  <si>
    <t>Se descargo en CRaiz BONITA Afidi 1557390</t>
  </si>
  <si>
    <t>15607/</t>
  </si>
  <si>
    <t>Se descargo en CRaiz BONITA 2/6/26</t>
  </si>
  <si>
    <t>15608/</t>
  </si>
  <si>
    <t>Se DEsdcargo en CRaiz 6/6/26</t>
  </si>
  <si>
    <t>44334/</t>
  </si>
  <si>
    <t>Se descargo en CRaiz KIWI CHILE 09/06/26</t>
  </si>
  <si>
    <t>291/</t>
  </si>
  <si>
    <t>SE DESCARGO EN UAM 1050 CAJAS DE BOLIVIANA EL DIA 13/6/2026</t>
  </si>
  <si>
    <t>15652/</t>
  </si>
  <si>
    <t>Se descargo Een CRaiz PLATANO 17/6</t>
  </si>
  <si>
    <t>15653/</t>
  </si>
  <si>
    <t>se descargo en CRaiz BONITA 17/6</t>
  </si>
  <si>
    <t>15700/</t>
  </si>
  <si>
    <t>Se descargo 5 camiones en CRaiz BONITA 19/6 -22/6</t>
  </si>
  <si>
    <t>12513/</t>
  </si>
  <si>
    <t>E001-166</t>
  </si>
  <si>
    <t xml:space="preserve">se descrago en uam 7800 cajas de arandanos </t>
  </si>
  <si>
    <t>3027/</t>
  </si>
  <si>
    <t xml:space="preserve">Se descargo en CRaiz PEPE  26/6</t>
  </si>
  <si>
    <t>15750/</t>
  </si>
  <si>
    <t xml:space="preserve">Se descargo en CRaiz BONITA  27/6</t>
  </si>
  <si>
    <t>294//</t>
  </si>
  <si>
    <t>SE DESCARGO EN UAM 1050 CAJAS DE BOLIVIANA EL DIA 1/7/2026</t>
  </si>
  <si>
    <t>3047/</t>
  </si>
  <si>
    <t xml:space="preserve">Se descargo en  CRaiz PEPE 1/7/26</t>
  </si>
  <si>
    <t>15773/</t>
  </si>
  <si>
    <t xml:space="preserve">se descargo en  cr 1080 cajas de bonita el dia 7/7/2026</t>
  </si>
  <si>
    <t>47516/</t>
  </si>
  <si>
    <t>se descargo en cr 2288 cajas de kiwi el dia 8/7/2026</t>
  </si>
  <si>
    <t>15795/</t>
  </si>
  <si>
    <t xml:space="preserve">SE DESCARGO EN CR 2160 CAJAS DE BONITA  EL DIA 10/7/2026</t>
  </si>
  <si>
    <t>3065/</t>
  </si>
  <si>
    <t>SE DESCARGO EN CR 3240 CAJAS DE ECUADOR PEPE EL DIA 10/7/2026</t>
  </si>
  <si>
    <t>12577/</t>
  </si>
  <si>
    <t>SE DESCARGO EN CR 1680 CAJAS DE PIÑA EL DIA 10/7/2026</t>
  </si>
  <si>
    <t>297/-</t>
  </si>
  <si>
    <t>piso</t>
  </si>
  <si>
    <t>se descargo en uam 1050 cajas de Bolivia SUPREMA el dia 16/07/26</t>
  </si>
  <si>
    <t>3090/</t>
  </si>
  <si>
    <t>SE DESCARGO EN UAM 1080 CAJAS DE ECUADOR PEPE EL DIA 16/7/2026</t>
  </si>
  <si>
    <t>FVF26/90</t>
  </si>
  <si>
    <t>Se escargo en CRaiz 21/7/26</t>
  </si>
  <si>
    <t>15848/</t>
  </si>
  <si>
    <t>Se descargo en CRaiz Bonita 29/7/26</t>
  </si>
  <si>
    <t>12624/</t>
  </si>
  <si>
    <t>Se descargo en CRaiz PIÑA 30/7/26</t>
  </si>
  <si>
    <t>Se descargo en Craiz BONITA 30/7/26</t>
  </si>
  <si>
    <t>302/</t>
  </si>
  <si>
    <t>SE DESCARGO EN UAM 900 CAJAS DE BOLIVIANA Y 150 CAJAS DE PLATANO EL DIA 31/7/2026</t>
  </si>
  <si>
    <t>Se descargo en CRaiz Bonita 31/7/26</t>
  </si>
  <si>
    <t>15892/</t>
  </si>
  <si>
    <t>140/</t>
  </si>
  <si>
    <t xml:space="preserve">A  PISO</t>
  </si>
  <si>
    <t>SE DESCARGO EN UAM 1050 CAJAS DE BOLIVIANA EL DIA 6/8/2026</t>
  </si>
  <si>
    <t>305/</t>
  </si>
  <si>
    <t>SE DESCARGO EN UAM 1050 CAJAS LOS CUALES VINIERON 939 CAJAS DE BOLIVIANA Y 111CAJAS DE PLATANO EL DIA 6/8/2026</t>
  </si>
  <si>
    <t>15924/</t>
  </si>
  <si>
    <t>Se descargo en CRaiz BONITA 7/8/26</t>
  </si>
  <si>
    <t>3139/</t>
  </si>
  <si>
    <t>Se descargo en CRaiz PEPE 7/8/26</t>
  </si>
  <si>
    <t>Se descargo en CRaiz PEPE 10/08/26</t>
  </si>
  <si>
    <t>47981/</t>
  </si>
  <si>
    <t>Se descargo en CRaiz 20/08/26</t>
  </si>
  <si>
    <t>37/</t>
  </si>
  <si>
    <t>Se descargo en CRaiz 22/08/26</t>
  </si>
  <si>
    <t>141/</t>
  </si>
  <si>
    <t>SE DESCRAGO EN UAM 1050 CAJAS DE BOLIVIA EL DIA 22/8/2026</t>
  </si>
  <si>
    <t>SE DESCARGO EN UAM 3240 CAJAS DE ECUADOR EL DIA 23/8/2026</t>
  </si>
  <si>
    <t>3163/</t>
  </si>
  <si>
    <t>SE DESCARGO EN UAM 1080 CAJAS DE ECUADOR EL DIA 23/8/2026</t>
  </si>
  <si>
    <t>311/</t>
  </si>
  <si>
    <t>SE DESCARGO EN UAM 1050 LOS CUALES VINIERON 121 PLATANOS Y 929 CAJAS DE BOLIVIANA EL DIA 26/8/2026</t>
  </si>
  <si>
    <t>12732/</t>
  </si>
  <si>
    <t>3113/</t>
  </si>
  <si>
    <t>SE DESCARGO 2160 CAJAS DE ECUADOR EL DIA 26/8/2026</t>
  </si>
  <si>
    <t>SE DESCARGO 1080 CAJAS DE ECUADOR EL DIA 26/8/2026</t>
  </si>
  <si>
    <t>SE DESCARGO EN UAM 1080 CAJAS DE ECUADOR EL DIA 26/8/2026</t>
  </si>
  <si>
    <t xml:space="preserve">Se descargo en CRaiz  PEPE 20/08/26</t>
  </si>
  <si>
    <t>Se descargo en CRaiz PEPE 26/08/26</t>
  </si>
  <si>
    <t>15982/</t>
  </si>
  <si>
    <t>Se descargo en CRaiz BONITA</t>
  </si>
  <si>
    <t>3185/</t>
  </si>
  <si>
    <t>146/</t>
  </si>
  <si>
    <t>SE DESCRAGO EN UAM 1050 CAJAS DE BOLIVIA EL DIA 27/8/2026</t>
  </si>
  <si>
    <t>3184/</t>
  </si>
  <si>
    <t>Se descargo en CRaiz PEPE 27/08/2026</t>
  </si>
  <si>
    <t>432/</t>
  </si>
  <si>
    <t>Se descargo en CRaiz palta mission 60 27/8/26</t>
  </si>
  <si>
    <t>Se descargo en CRaiz BONITA 27/8/26</t>
  </si>
  <si>
    <t>SE DESCARGO EN UAM 1049 CAJAS DE BOLIVIA EL DIA 1/9/2026</t>
  </si>
  <si>
    <t>313/-</t>
  </si>
  <si>
    <t>SE DESCARGO EN UAM 1050 LOS CUALES VINIERON 188 CAJAS DE PLATANO Y 862 CAJAS DE SUPREMA EL DIA 3/9/2026</t>
  </si>
  <si>
    <t xml:space="preserve">04/09 SE DESCARGO EN RIQUEZA NATURAL 2160 CAJAS DE PEPEP FRUTA BIEN </t>
  </si>
  <si>
    <t>446/</t>
  </si>
  <si>
    <t xml:space="preserve">Se descargo en CRaiz palta mission 60  04/09/2026</t>
  </si>
  <si>
    <t>48272/</t>
  </si>
  <si>
    <t>SE DESCARGO CR KIWI FRUTA EN BUEN ESTADO 04/09/2026</t>
  </si>
  <si>
    <t xml:space="preserve">SE DESCARGO EN  CR BANANA PEPE FRUTA EN BUEN ESTADO 05/09</t>
  </si>
  <si>
    <t>16103/</t>
  </si>
  <si>
    <t>16149/</t>
  </si>
  <si>
    <t>3221/</t>
  </si>
  <si>
    <t xml:space="preserve">08/09 SE DESACRGO EN CR 540  CAJAS DE PEPE FRUTA BIEN</t>
  </si>
  <si>
    <t>12801/</t>
  </si>
  <si>
    <t>SE DESCARGO EN ZAC PIÑA EL DIATotal de cajas 1600. Calibre 8: 80 cajas. Calibre 7: 320 cajas. Calibre 6: 720 cajas. Calibre 5: 480 cajas.</t>
  </si>
  <si>
    <t>16094/</t>
  </si>
  <si>
    <t xml:space="preserve">08/09 SE DESCARGO EN CR 1080 CAJAS DE BONIT FRUTA BIEN </t>
  </si>
  <si>
    <t>FVF26/194</t>
  </si>
  <si>
    <t>CIRUELA</t>
  </si>
  <si>
    <t>STP5496</t>
  </si>
  <si>
    <t xml:space="preserve">09/09 SE DESCARGO EN CR 2324 CAJAS DE CIRUELA PULPA AMARILLA FRUTA BIEN </t>
  </si>
  <si>
    <t>48388/</t>
  </si>
  <si>
    <t xml:space="preserve">09/09 SE DESCARGO EN CR 2288 CAJAS DE KIWI </t>
  </si>
  <si>
    <t>09/09 SE DESCARGO EN CR 1080 CAJAS DE BONITA FRUTA BIEN</t>
  </si>
  <si>
    <t>JHFS80-PJJR57-VFZH90</t>
  </si>
  <si>
    <t xml:space="preserve">09/09SE DESCARGO EN CR 3186 CAJAS DED BONITA FRUTA BIEN </t>
  </si>
  <si>
    <t>3249/</t>
  </si>
  <si>
    <t>RHDL55-VFZH91-RBXC26</t>
  </si>
  <si>
    <t>09/09 SE DESCARGO EN CR 3240 CAJAS DE PEPEFRUTA BIEN</t>
  </si>
  <si>
    <t>455/</t>
  </si>
  <si>
    <t xml:space="preserve">PALTA  MISSION</t>
  </si>
  <si>
    <t>VFZH93</t>
  </si>
  <si>
    <t xml:space="preserve">14/09 SE DESCARGO EN CR 1920 CAJAS DE PALTA MISSION VINO FRUTA MADURAS  CAL 60</t>
  </si>
  <si>
    <t>318/</t>
  </si>
  <si>
    <t xml:space="preserve">SE DESCARGO EN ZAC 1050 CAJAS DE BOL SUPREMA </t>
  </si>
  <si>
    <t>45/-</t>
  </si>
  <si>
    <t>PALTA CHILENA</t>
  </si>
  <si>
    <t>14/09 SE DFESCARGO EN CR 2112 CAJAS DE PALTA CHILENA FRUTA BIEN</t>
  </si>
  <si>
    <t>48467/</t>
  </si>
  <si>
    <t>KIWI CHILE</t>
  </si>
  <si>
    <t>15/09 SE DECARGO EN CR 2216 CAJAS DE KIWI FRUTA BIEN</t>
  </si>
  <si>
    <t>321/-</t>
  </si>
  <si>
    <t>175 cajas de platano y 974 cajas de bolivia 17/09/26</t>
  </si>
  <si>
    <t>3315/</t>
  </si>
  <si>
    <t>19/09 SE VDESCARGO EN CR 1080 CAJAS DE PEPE FRUTA BIEN</t>
  </si>
  <si>
    <t>12856/</t>
  </si>
  <si>
    <t>KFPF32</t>
  </si>
  <si>
    <t>19/09 SE DESCARGO EN CR 1680 CAJAS DE PIÑA FRUTA BIEN</t>
  </si>
  <si>
    <t>49/</t>
  </si>
  <si>
    <t>CFKP64</t>
  </si>
  <si>
    <t>19/09 SE DFESCARGO EN CR 2112 CAJAS DE PALTA CHILENA FRUTA BIEN</t>
  </si>
  <si>
    <t>EC PEPE</t>
  </si>
  <si>
    <t xml:space="preserve">21/09 SE DECARGO EN CR UN CAMION DE ECUADOR PEPE FRUTA BIEN </t>
  </si>
  <si>
    <t>16242/</t>
  </si>
  <si>
    <t>LXVT17</t>
  </si>
  <si>
    <t>25/09 SE DESCARGO EN CR 1080 CAJAS DE BINITA FRUTA BIEN</t>
  </si>
  <si>
    <t>323/</t>
  </si>
  <si>
    <t>SE DESCARGO EN UAM 300 CAJAS DE PLATANO Y 750 CAJAS DE BOLIVIA EL DIA 25/9/2026</t>
  </si>
  <si>
    <t>3335/</t>
  </si>
  <si>
    <t>PYCJ24-VFZH88</t>
  </si>
  <si>
    <t xml:space="preserve">26/09 SE DESCARGO EN CR 2160 CAJAS DE PEPE FRUTA BIEN </t>
  </si>
  <si>
    <t>JHFS80-PYCJ23-VFZH91-VFZH90</t>
  </si>
  <si>
    <t>26/09 SE DESCARGO EN CR 4320 CAJAS DE BONITA FRUTA BIEN</t>
  </si>
  <si>
    <t>29/09 SE DESCARGO EN CR 1080 CAJAS DE PEPE FRUTA BIEN</t>
  </si>
  <si>
    <t>12894/</t>
  </si>
  <si>
    <t>LXVT16</t>
  </si>
  <si>
    <t xml:space="preserve">02/10 SE DESCARGO EN CR 1680 CAJAS DE PIÑA FRUTA BIEN </t>
  </si>
  <si>
    <t>327/</t>
  </si>
  <si>
    <t>SE DESCARGO EN UAM 1050 CAJAS EL DIA 5/10/2026</t>
  </si>
  <si>
    <t>18610/</t>
  </si>
  <si>
    <t>07/10 SE DESCARGO CR 1936 CAJAS DE PALTA EL PARQUE FRUTA BIEN</t>
  </si>
  <si>
    <t>55095/</t>
  </si>
  <si>
    <t>SHXD17</t>
  </si>
  <si>
    <t xml:space="preserve">07/10 SE DESCARGO EN CR PALTA PROPAL 2112 CAJAS FRUTA BIEN </t>
  </si>
  <si>
    <t>330/</t>
  </si>
  <si>
    <t>SE DESCARGO EN UAM 1049 CAJAS DE LAS CUALES 850 CORRESPONDEN A BOLIVIA Y 199 A PLATANO</t>
  </si>
  <si>
    <t>3374/</t>
  </si>
  <si>
    <t>SE DESCARGO EN UAM 2160 CAJAS DE ECUADOR PEPE EL DIA 9/10/2026</t>
  </si>
  <si>
    <t>16263/</t>
  </si>
  <si>
    <t>PYCJ24-VFZH93-KKWF65</t>
  </si>
  <si>
    <t xml:space="preserve">10/10 SE DECARGO EN CR 3240 CAJAS DE BONITA FRUTA BIEN </t>
  </si>
  <si>
    <t xml:space="preserve">10/10 SEDESCARGOEN CR1080 CAJAS DE PEPE FRUTA BIEN </t>
  </si>
  <si>
    <t>Cargado</t>
  </si>
  <si>
    <t>Liberado</t>
  </si>
  <si>
    <t>16288/</t>
  </si>
  <si>
    <t>Solicitado</t>
  </si>
  <si>
    <t>Chile</t>
  </si>
  <si>
    <t>122339/</t>
  </si>
  <si>
    <t>12943/</t>
  </si>
  <si>
    <t>16328/</t>
  </si>
  <si>
    <t>3393/</t>
  </si>
  <si>
    <t>|</t>
  </si>
  <si>
    <t>Si las letras están en color Rojo revisar OBSERVACIONES</t>
  </si>
  <si>
    <t xml:space="preserve">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</si>
  <si>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</si>
  <si>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</si>
  <si>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>CARPETAS DE IMPORTACIÓN - CONTROL DE CARGAS y SALDOS</t>
  </si>
  <si>
    <t>Fecha</t>
  </si>
  <si>
    <t>Fatura</t>
  </si>
  <si>
    <t>Carpeta</t>
  </si>
  <si>
    <t>Export</t>
  </si>
  <si>
    <t>Transp.</t>
  </si>
  <si>
    <t>Qtde</t>
  </si>
  <si>
    <t>Saldo</t>
  </si>
  <si>
    <t>Afidi</t>
  </si>
  <si>
    <t>DUA</t>
  </si>
  <si>
    <t>2062/</t>
  </si>
  <si>
    <t>ECE001</t>
  </si>
  <si>
    <t>Exporsweet</t>
  </si>
  <si>
    <t>Montevideo</t>
  </si>
  <si>
    <t>Ciatran</t>
  </si>
  <si>
    <t>3461/</t>
  </si>
  <si>
    <t>ECA001</t>
  </si>
  <si>
    <t>Agroeden</t>
  </si>
  <si>
    <t>Fray Bentos</t>
  </si>
  <si>
    <t>Andino</t>
  </si>
  <si>
    <t>5/8/</t>
  </si>
  <si>
    <t>ITK001</t>
  </si>
  <si>
    <t>RK</t>
  </si>
  <si>
    <t>4679/</t>
  </si>
  <si>
    <t>ECR001</t>
  </si>
  <si>
    <t>Truisfruit</t>
  </si>
  <si>
    <t>4685/</t>
  </si>
  <si>
    <t>2111/</t>
  </si>
  <si>
    <t>ECE002</t>
  </si>
  <si>
    <t>2121/</t>
  </si>
  <si>
    <t>ECE003</t>
  </si>
  <si>
    <t>4681/</t>
  </si>
  <si>
    <t>ECR002</t>
  </si>
  <si>
    <t>4686/</t>
  </si>
  <si>
    <t>ECB002</t>
  </si>
  <si>
    <t>2154/</t>
  </si>
  <si>
    <t>ECE004</t>
  </si>
  <si>
    <t>3517/</t>
  </si>
  <si>
    <t>ECA002</t>
  </si>
  <si>
    <t>4709/</t>
  </si>
  <si>
    <t>ECR003</t>
  </si>
  <si>
    <t>4710/</t>
  </si>
  <si>
    <t>ECB003</t>
  </si>
  <si>
    <t>33/8</t>
  </si>
  <si>
    <t>ITK002</t>
  </si>
  <si>
    <t>2192/</t>
  </si>
  <si>
    <t>ECE005</t>
  </si>
  <si>
    <t>188/</t>
  </si>
  <si>
    <t>CLP001</t>
  </si>
  <si>
    <t>Fruchac</t>
  </si>
  <si>
    <t>Nihuil</t>
  </si>
  <si>
    <t>4729/</t>
  </si>
  <si>
    <t>ECR004</t>
  </si>
  <si>
    <t>4750/</t>
  </si>
  <si>
    <t>ECR005</t>
  </si>
  <si>
    <t>4730/</t>
  </si>
  <si>
    <t>ECB004</t>
  </si>
  <si>
    <t>2229/</t>
  </si>
  <si>
    <t>ECE006</t>
  </si>
  <si>
    <t>3563/</t>
  </si>
  <si>
    <t>ECA003</t>
  </si>
  <si>
    <t>4751/</t>
  </si>
  <si>
    <t>ECB005</t>
  </si>
  <si>
    <t>2264/</t>
  </si>
  <si>
    <t>ECE007</t>
  </si>
  <si>
    <t>3581/</t>
  </si>
  <si>
    <t>ECA004</t>
  </si>
  <si>
    <t>4774/</t>
  </si>
  <si>
    <t>ECR006</t>
  </si>
  <si>
    <t>Uribe</t>
  </si>
  <si>
    <t>4775/</t>
  </si>
  <si>
    <t>ECB006</t>
  </si>
  <si>
    <t>194/</t>
  </si>
  <si>
    <t>CLP002</t>
  </si>
  <si>
    <t>Sarla y Ramón</t>
  </si>
  <si>
    <t>134.25.23</t>
  </si>
  <si>
    <t>2306/</t>
  </si>
  <si>
    <t>ECE008</t>
  </si>
  <si>
    <t>4808/</t>
  </si>
  <si>
    <t>ECR007</t>
  </si>
  <si>
    <t>4809/</t>
  </si>
  <si>
    <t>ECB007</t>
  </si>
  <si>
    <t>2344/</t>
  </si>
  <si>
    <t>ECE009</t>
  </si>
  <si>
    <t>3616/</t>
  </si>
  <si>
    <t>ECA005</t>
  </si>
  <si>
    <t>2348/</t>
  </si>
  <si>
    <t>ECE010</t>
  </si>
  <si>
    <t>4834/</t>
  </si>
  <si>
    <t>ECR008</t>
  </si>
  <si>
    <t>4835/</t>
  </si>
  <si>
    <t>ECB008</t>
  </si>
  <si>
    <t>197/</t>
  </si>
  <si>
    <t>CLP003</t>
  </si>
  <si>
    <t>134.33.85</t>
  </si>
  <si>
    <t>3635/</t>
  </si>
  <si>
    <t>ECA006</t>
  </si>
  <si>
    <t>BOER-RCT</t>
  </si>
  <si>
    <t>2385/</t>
  </si>
  <si>
    <t>ECE011</t>
  </si>
  <si>
    <t>2384/</t>
  </si>
  <si>
    <t>ECE012</t>
  </si>
  <si>
    <t>4846/</t>
  </si>
  <si>
    <t>ECR009</t>
  </si>
  <si>
    <t>4845/</t>
  </si>
  <si>
    <t>ECB009</t>
  </si>
  <si>
    <t>054/</t>
  </si>
  <si>
    <t>BOB001</t>
  </si>
  <si>
    <t>Expofrutast</t>
  </si>
  <si>
    <t>San Bernardo</t>
  </si>
  <si>
    <t>2418/</t>
  </si>
  <si>
    <t>ECE013</t>
  </si>
  <si>
    <t>063/</t>
  </si>
  <si>
    <t>BOB002</t>
  </si>
  <si>
    <t>3680/</t>
  </si>
  <si>
    <t>ECA007</t>
  </si>
  <si>
    <t>2434/</t>
  </si>
  <si>
    <t>ECE014</t>
  </si>
  <si>
    <t>4870/</t>
  </si>
  <si>
    <t>ECR010</t>
  </si>
  <si>
    <t>4871/</t>
  </si>
  <si>
    <t>ECB010</t>
  </si>
  <si>
    <t>2464/</t>
  </si>
  <si>
    <t>ECE015</t>
  </si>
  <si>
    <t>4919/</t>
  </si>
  <si>
    <t>ECB011</t>
  </si>
  <si>
    <t>2565/</t>
  </si>
  <si>
    <t>ECE016</t>
  </si>
  <si>
    <t>4948/</t>
  </si>
  <si>
    <t>ECB012</t>
  </si>
  <si>
    <t>4945/</t>
  </si>
  <si>
    <t>ECR011</t>
  </si>
  <si>
    <t>4946/</t>
  </si>
  <si>
    <t>ECR012</t>
  </si>
  <si>
    <t>202/</t>
  </si>
  <si>
    <t>4947/</t>
  </si>
  <si>
    <t>ECR010b</t>
  </si>
  <si>
    <t>2624/</t>
  </si>
  <si>
    <t>ECE017</t>
  </si>
  <si>
    <t>70//</t>
  </si>
  <si>
    <t>BOB003</t>
  </si>
  <si>
    <t>Urizar</t>
  </si>
  <si>
    <t>4971/</t>
  </si>
  <si>
    <t>ECB013</t>
  </si>
  <si>
    <t>4968/</t>
  </si>
  <si>
    <t>ECR013</t>
  </si>
  <si>
    <t xml:space="preserve">1344682
</t>
  </si>
  <si>
    <t>71/</t>
  </si>
  <si>
    <t>Trimar</t>
  </si>
  <si>
    <t>77/</t>
  </si>
  <si>
    <t>BOB005</t>
  </si>
  <si>
    <t>Colque Andia(Tradex)</t>
  </si>
  <si>
    <t>2641/</t>
  </si>
  <si>
    <t>ECE018</t>
  </si>
  <si>
    <t>5093/</t>
  </si>
  <si>
    <t>ECR018</t>
  </si>
  <si>
    <t>3741//</t>
  </si>
  <si>
    <t>ECA008</t>
  </si>
  <si>
    <t>4981/</t>
  </si>
  <si>
    <t>ECB014</t>
  </si>
  <si>
    <t>5024/</t>
  </si>
  <si>
    <t>ECB015</t>
  </si>
  <si>
    <t>2682/</t>
  </si>
  <si>
    <t>ECE019</t>
  </si>
  <si>
    <t>280//</t>
  </si>
  <si>
    <t>CLK001</t>
  </si>
  <si>
    <t>Philiphs</t>
  </si>
  <si>
    <t>12910/</t>
  </si>
  <si>
    <t>CLK002</t>
  </si>
  <si>
    <t>Coopefrut</t>
  </si>
  <si>
    <t>78/</t>
  </si>
  <si>
    <t>BOB006</t>
  </si>
  <si>
    <t>5023/</t>
  </si>
  <si>
    <t>ECR015</t>
  </si>
  <si>
    <t>80/</t>
  </si>
  <si>
    <t>BOB007</t>
  </si>
  <si>
    <t>5025/</t>
  </si>
  <si>
    <t>ECR014</t>
  </si>
  <si>
    <t>5047/</t>
  </si>
  <si>
    <t>ECR016</t>
  </si>
  <si>
    <t>5046/</t>
  </si>
  <si>
    <t>ECB016</t>
  </si>
  <si>
    <t>2719/</t>
  </si>
  <si>
    <t>ECE020</t>
  </si>
  <si>
    <t>1341/</t>
  </si>
  <si>
    <t>CLK004</t>
  </si>
  <si>
    <t>Mace</t>
  </si>
  <si>
    <t>081/</t>
  </si>
  <si>
    <t>BOB008</t>
  </si>
  <si>
    <t>1322/</t>
  </si>
  <si>
    <t>CLK003</t>
  </si>
  <si>
    <t>2765/</t>
  </si>
  <si>
    <t>ECE021</t>
  </si>
  <si>
    <t>5070/</t>
  </si>
  <si>
    <t>ECR017</t>
  </si>
  <si>
    <t>3795/</t>
  </si>
  <si>
    <t>ECA009</t>
  </si>
  <si>
    <t>5069/</t>
  </si>
  <si>
    <t>ECB017</t>
  </si>
  <si>
    <t>2802/</t>
  </si>
  <si>
    <t>ECE022</t>
  </si>
  <si>
    <t>5092/</t>
  </si>
  <si>
    <t>ECB018</t>
  </si>
  <si>
    <t>206/</t>
  </si>
  <si>
    <t>CLP005</t>
  </si>
  <si>
    <t>2830/</t>
  </si>
  <si>
    <t>ECE023</t>
  </si>
  <si>
    <t>5117/</t>
  </si>
  <si>
    <t>ECB019</t>
  </si>
  <si>
    <t>5118/</t>
  </si>
  <si>
    <t>ECR019</t>
  </si>
  <si>
    <t>2873/</t>
  </si>
  <si>
    <t>ECE024</t>
  </si>
  <si>
    <t>3854/</t>
  </si>
  <si>
    <t>ECA010</t>
  </si>
  <si>
    <t>5139/</t>
  </si>
  <si>
    <t>ECB020</t>
  </si>
  <si>
    <t>5138/</t>
  </si>
  <si>
    <t>ECR020</t>
  </si>
  <si>
    <t>2492/</t>
  </si>
  <si>
    <t>ECE025</t>
  </si>
  <si>
    <t>3889/</t>
  </si>
  <si>
    <t>ECA011</t>
  </si>
  <si>
    <t>5185/</t>
  </si>
  <si>
    <t>ECB021</t>
  </si>
  <si>
    <t>5186/</t>
  </si>
  <si>
    <t>ECR021</t>
  </si>
  <si>
    <t>5223/</t>
  </si>
  <si>
    <t>ECB022</t>
  </si>
  <si>
    <t>5224/</t>
  </si>
  <si>
    <t>ECR022</t>
  </si>
  <si>
    <t>3011/</t>
  </si>
  <si>
    <t>ECE027</t>
  </si>
  <si>
    <t>1351/</t>
  </si>
  <si>
    <t>CLK005</t>
  </si>
  <si>
    <t>3044/</t>
  </si>
  <si>
    <t>ECE028</t>
  </si>
  <si>
    <t>3107/</t>
  </si>
  <si>
    <t>ECE029</t>
  </si>
  <si>
    <t>6073/</t>
  </si>
  <si>
    <t>ECV001</t>
  </si>
  <si>
    <t>Vimticorp</t>
  </si>
  <si>
    <t>25890/</t>
  </si>
  <si>
    <t>CLK006</t>
  </si>
  <si>
    <t>Rucaray</t>
  </si>
  <si>
    <t>3073/</t>
  </si>
  <si>
    <t>ECE030</t>
  </si>
  <si>
    <t>3134/</t>
  </si>
  <si>
    <t>ECE031</t>
  </si>
  <si>
    <t>3131/</t>
  </si>
  <si>
    <t>ECE032</t>
  </si>
  <si>
    <t>3171/</t>
  </si>
  <si>
    <t>ECE033</t>
  </si>
  <si>
    <t>5318/</t>
  </si>
  <si>
    <t>ECB024</t>
  </si>
  <si>
    <t>5319/</t>
  </si>
  <si>
    <t>ECR024</t>
  </si>
  <si>
    <t>5348/</t>
  </si>
  <si>
    <t>ECR025</t>
  </si>
  <si>
    <t>3597/</t>
  </si>
  <si>
    <t>ECV003</t>
  </si>
  <si>
    <t>Mundoexport</t>
  </si>
  <si>
    <t>4018/</t>
  </si>
  <si>
    <t>ECA012</t>
  </si>
  <si>
    <t>5347/</t>
  </si>
  <si>
    <t>ECB025</t>
  </si>
  <si>
    <t>3208/</t>
  </si>
  <si>
    <t>ECE034</t>
  </si>
  <si>
    <t>349/</t>
  </si>
  <si>
    <t>ECV004</t>
  </si>
  <si>
    <t>Asopromarsu</t>
  </si>
  <si>
    <t>1355/</t>
  </si>
  <si>
    <t>CLK007</t>
  </si>
  <si>
    <t>5370/</t>
  </si>
  <si>
    <t>ECB026</t>
  </si>
  <si>
    <t>5371/</t>
  </si>
  <si>
    <t>ECR026</t>
  </si>
  <si>
    <t>3277/</t>
  </si>
  <si>
    <t>ECE035</t>
  </si>
  <si>
    <t>5400/</t>
  </si>
  <si>
    <t>ECB027</t>
  </si>
  <si>
    <t>5401/</t>
  </si>
  <si>
    <t>ECR027</t>
  </si>
  <si>
    <t>3263/</t>
  </si>
  <si>
    <t>ECE036</t>
  </si>
  <si>
    <t>5603/</t>
  </si>
  <si>
    <t>ECR034</t>
  </si>
  <si>
    <t>5417/</t>
  </si>
  <si>
    <t>ECB028</t>
  </si>
  <si>
    <t>5418/</t>
  </si>
  <si>
    <t>ECR028</t>
  </si>
  <si>
    <t>3300/</t>
  </si>
  <si>
    <t>ECE037</t>
  </si>
  <si>
    <t>3318/</t>
  </si>
  <si>
    <t>ECE038</t>
  </si>
  <si>
    <t>5451/</t>
  </si>
  <si>
    <t>ECR029</t>
  </si>
  <si>
    <t>5450/</t>
  </si>
  <si>
    <t>ECB029</t>
  </si>
  <si>
    <t>3319/</t>
  </si>
  <si>
    <t>ECE039</t>
  </si>
  <si>
    <t>4156/</t>
  </si>
  <si>
    <t>ECA013</t>
  </si>
  <si>
    <t>5473/</t>
  </si>
  <si>
    <t>ECB030</t>
  </si>
  <si>
    <t>3369/</t>
  </si>
  <si>
    <t>ECE040</t>
  </si>
  <si>
    <t>5474/</t>
  </si>
  <si>
    <t>ECR030</t>
  </si>
  <si>
    <t>1365/</t>
  </si>
  <si>
    <t>CLK008</t>
  </si>
  <si>
    <t>3412/</t>
  </si>
  <si>
    <t>ECE041</t>
  </si>
  <si>
    <t>5511/</t>
  </si>
  <si>
    <t>ECB031</t>
  </si>
  <si>
    <t>3378/</t>
  </si>
  <si>
    <t>ECE042</t>
  </si>
  <si>
    <t>5512/</t>
  </si>
  <si>
    <t>ECR031</t>
  </si>
  <si>
    <t>3406/</t>
  </si>
  <si>
    <t>ECE045</t>
  </si>
  <si>
    <t>3379/</t>
  </si>
  <si>
    <t>ECE043</t>
  </si>
  <si>
    <t>3404/</t>
  </si>
  <si>
    <t>ECE044</t>
  </si>
  <si>
    <t>5544/</t>
  </si>
  <si>
    <t>ECB032</t>
  </si>
  <si>
    <t>5545/</t>
  </si>
  <si>
    <t>ECR032</t>
  </si>
  <si>
    <t>3707/</t>
  </si>
  <si>
    <t>ECV006</t>
  </si>
  <si>
    <t>1366/</t>
  </si>
  <si>
    <t>CLK009</t>
  </si>
  <si>
    <t>3446/</t>
  </si>
  <si>
    <t>ECE046</t>
  </si>
  <si>
    <t>232/</t>
  </si>
  <si>
    <t>CLP006</t>
  </si>
  <si>
    <t>4213/</t>
  </si>
  <si>
    <t>ECA014</t>
  </si>
  <si>
    <t>5574/</t>
  </si>
  <si>
    <t>ECB033</t>
  </si>
  <si>
    <t>3454/</t>
  </si>
  <si>
    <t>ECE047</t>
  </si>
  <si>
    <t>5575/</t>
  </si>
  <si>
    <t>ECR033</t>
  </si>
  <si>
    <t>3495/</t>
  </si>
  <si>
    <t>ECE048</t>
  </si>
  <si>
    <t>5602/</t>
  </si>
  <si>
    <t>ECB034</t>
  </si>
  <si>
    <t>0057/</t>
  </si>
  <si>
    <t>BOC001</t>
  </si>
  <si>
    <t>Chapare</t>
  </si>
  <si>
    <t>El Palomar</t>
  </si>
  <si>
    <t>3505/</t>
  </si>
  <si>
    <t>ECE049</t>
  </si>
  <si>
    <t>5636/</t>
  </si>
  <si>
    <t>ECB035</t>
  </si>
  <si>
    <t>3476/</t>
  </si>
  <si>
    <t>ECE050</t>
  </si>
  <si>
    <t>5637/</t>
  </si>
  <si>
    <t>ECR035</t>
  </si>
  <si>
    <t>062/</t>
  </si>
  <si>
    <t>BOC002</t>
  </si>
  <si>
    <t>1241/</t>
  </si>
  <si>
    <t>ITK003</t>
  </si>
  <si>
    <t>Fruttaviva</t>
  </si>
  <si>
    <t>3522/</t>
  </si>
  <si>
    <t>ECE051</t>
  </si>
  <si>
    <t>4287/</t>
  </si>
  <si>
    <t>ECA015</t>
  </si>
  <si>
    <t>5654/</t>
  </si>
  <si>
    <t>ECB036</t>
  </si>
  <si>
    <t>5655/</t>
  </si>
  <si>
    <t>ECR036</t>
  </si>
  <si>
    <t>006/</t>
  </si>
  <si>
    <t>BOB009</t>
  </si>
  <si>
    <t>transur</t>
  </si>
  <si>
    <t>068/</t>
  </si>
  <si>
    <t>BOC003</t>
  </si>
  <si>
    <t>046/</t>
  </si>
  <si>
    <t>BOB010</t>
  </si>
  <si>
    <t>3576/</t>
  </si>
  <si>
    <t>ECE052a</t>
  </si>
  <si>
    <t>5680/</t>
  </si>
  <si>
    <t>ECB037</t>
  </si>
  <si>
    <t>11/</t>
  </si>
  <si>
    <t>BOB011</t>
  </si>
  <si>
    <t>074/</t>
  </si>
  <si>
    <t>BOC004</t>
  </si>
  <si>
    <t>3606/</t>
  </si>
  <si>
    <t>ECE052b</t>
  </si>
  <si>
    <t>3597//</t>
  </si>
  <si>
    <t>ECE053</t>
  </si>
  <si>
    <t>4318/</t>
  </si>
  <si>
    <t>ECA016</t>
  </si>
  <si>
    <t>5709/</t>
  </si>
  <si>
    <t>ECB038</t>
  </si>
  <si>
    <t>5710/</t>
  </si>
  <si>
    <t>ECR038</t>
  </si>
  <si>
    <t>244/8/</t>
  </si>
  <si>
    <t>ITK004</t>
  </si>
  <si>
    <t>3600/</t>
  </si>
  <si>
    <t>ECE054</t>
  </si>
  <si>
    <t>5732/</t>
  </si>
  <si>
    <t>ECB039</t>
  </si>
  <si>
    <t>5733/</t>
  </si>
  <si>
    <t>ECR039</t>
  </si>
  <si>
    <t>3633/</t>
  </si>
  <si>
    <t>ECE055</t>
  </si>
  <si>
    <t>4354/</t>
  </si>
  <si>
    <t>ECA017</t>
  </si>
  <si>
    <t>252/</t>
  </si>
  <si>
    <t>CLP007</t>
  </si>
  <si>
    <t>5759/</t>
  </si>
  <si>
    <t>ECB040</t>
  </si>
  <si>
    <t>5760/</t>
  </si>
  <si>
    <t>ECR040</t>
  </si>
  <si>
    <t>273/8</t>
  </si>
  <si>
    <t>ITK005</t>
  </si>
  <si>
    <t>3656/</t>
  </si>
  <si>
    <t>ECE056</t>
  </si>
  <si>
    <t>5789/</t>
  </si>
  <si>
    <t>ECB041</t>
  </si>
  <si>
    <t>5788/</t>
  </si>
  <si>
    <t>ECB042</t>
  </si>
  <si>
    <t>5790/</t>
  </si>
  <si>
    <t>ECR041</t>
  </si>
  <si>
    <t>1369/</t>
  </si>
  <si>
    <t>ITK007</t>
  </si>
  <si>
    <t>3680//</t>
  </si>
  <si>
    <t>ECE057</t>
  </si>
  <si>
    <t>289/8</t>
  </si>
  <si>
    <t>ITK006</t>
  </si>
  <si>
    <t>69VI-00767</t>
  </si>
  <si>
    <t>ITP001</t>
  </si>
  <si>
    <t>Opera</t>
  </si>
  <si>
    <t>4396/</t>
  </si>
  <si>
    <t>ECA018</t>
  </si>
  <si>
    <t>5827/</t>
  </si>
  <si>
    <t>ECB043</t>
  </si>
  <si>
    <t>3727/</t>
  </si>
  <si>
    <t>ECE059</t>
  </si>
  <si>
    <t>5828/</t>
  </si>
  <si>
    <t>ECR042</t>
  </si>
  <si>
    <t>3734/</t>
  </si>
  <si>
    <t>ECE058</t>
  </si>
  <si>
    <t>4433/</t>
  </si>
  <si>
    <t>ECA019</t>
  </si>
  <si>
    <t>5851/</t>
  </si>
  <si>
    <t>ECB044</t>
  </si>
  <si>
    <t>3754/</t>
  </si>
  <si>
    <t>ECE061</t>
  </si>
  <si>
    <t>5852/</t>
  </si>
  <si>
    <t>ECR043</t>
  </si>
  <si>
    <t>3758/</t>
  </si>
  <si>
    <t>ECE060</t>
  </si>
  <si>
    <t>5884/</t>
  </si>
  <si>
    <t>ECB045</t>
  </si>
  <si>
    <t>5885/</t>
  </si>
  <si>
    <t>ECR044</t>
  </si>
  <si>
    <t>5993/</t>
  </si>
  <si>
    <t>CLP008</t>
  </si>
  <si>
    <t>SantaCruz</t>
  </si>
  <si>
    <t>3806/</t>
  </si>
  <si>
    <t>ECE062</t>
  </si>
  <si>
    <t>3776/</t>
  </si>
  <si>
    <t>ECE063</t>
  </si>
  <si>
    <t>4480/</t>
  </si>
  <si>
    <t>ECA020</t>
  </si>
  <si>
    <t>5904/</t>
  </si>
  <si>
    <t>ECB046</t>
  </si>
  <si>
    <t>5905/</t>
  </si>
  <si>
    <t>ECR045</t>
  </si>
  <si>
    <t>23/</t>
  </si>
  <si>
    <t>BOB012</t>
  </si>
  <si>
    <t>24/</t>
  </si>
  <si>
    <t>BOB013</t>
  </si>
  <si>
    <t>3820/</t>
  </si>
  <si>
    <t>ECE064</t>
  </si>
  <si>
    <t>5936/</t>
  </si>
  <si>
    <t>ECB047</t>
  </si>
  <si>
    <t>5937/</t>
  </si>
  <si>
    <t>ECR046</t>
  </si>
  <si>
    <t>3843/</t>
  </si>
  <si>
    <t>ECE065</t>
  </si>
  <si>
    <t>4506/</t>
  </si>
  <si>
    <t>ECA021</t>
  </si>
  <si>
    <t>5956/</t>
  </si>
  <si>
    <t>ECB048</t>
  </si>
  <si>
    <t>Noboa Trading</t>
  </si>
  <si>
    <t>5957/</t>
  </si>
  <si>
    <t>ECR047</t>
  </si>
  <si>
    <t>1619/</t>
  </si>
  <si>
    <t>ITK009</t>
  </si>
  <si>
    <t>326/8</t>
  </si>
  <si>
    <t>ITK010</t>
  </si>
  <si>
    <t>3855/</t>
  </si>
  <si>
    <t>ECE066</t>
  </si>
  <si>
    <t>4522/</t>
  </si>
  <si>
    <t>5980/</t>
  </si>
  <si>
    <t>5981/</t>
  </si>
  <si>
    <t>309/8</t>
  </si>
  <si>
    <t>ITK008</t>
  </si>
  <si>
    <t>36205/</t>
  </si>
  <si>
    <t>Propal</t>
  </si>
  <si>
    <t>11/8/</t>
  </si>
  <si>
    <t>13/8/</t>
  </si>
  <si>
    <t>4559/</t>
  </si>
  <si>
    <t>6018/</t>
  </si>
  <si>
    <t>6019/</t>
  </si>
  <si>
    <t>3930/</t>
  </si>
  <si>
    <t>Eporsweet</t>
  </si>
  <si>
    <t>4601/</t>
  </si>
  <si>
    <t>6031/</t>
  </si>
  <si>
    <t>6032/</t>
  </si>
  <si>
    <t>6144/</t>
  </si>
  <si>
    <t>36525/</t>
  </si>
  <si>
    <t>3971/</t>
  </si>
  <si>
    <t>3988/</t>
  </si>
  <si>
    <t>93/8</t>
  </si>
  <si>
    <t>4010/</t>
  </si>
  <si>
    <t>6064/</t>
  </si>
  <si>
    <t>4035/</t>
  </si>
  <si>
    <t>6082/</t>
  </si>
  <si>
    <t>4037/</t>
  </si>
  <si>
    <t>6081/</t>
  </si>
  <si>
    <t>4075/</t>
  </si>
  <si>
    <t>36580/</t>
  </si>
  <si>
    <t>6096/</t>
  </si>
  <si>
    <t>6097/</t>
  </si>
  <si>
    <t>4076/</t>
  </si>
  <si>
    <t>4678/</t>
  </si>
  <si>
    <t>4093/</t>
  </si>
  <si>
    <t>6116/</t>
  </si>
  <si>
    <t>6117/</t>
  </si>
  <si>
    <t>4117/</t>
  </si>
  <si>
    <t>4706/</t>
  </si>
  <si>
    <t>6134/</t>
  </si>
  <si>
    <t>4118/</t>
  </si>
  <si>
    <t>6133/</t>
  </si>
  <si>
    <t>4143/</t>
  </si>
  <si>
    <t>6149/</t>
  </si>
  <si>
    <t>4761/</t>
  </si>
  <si>
    <t>4163/</t>
  </si>
  <si>
    <t>6150/</t>
  </si>
  <si>
    <t>4191/</t>
  </si>
  <si>
    <t>36823/</t>
  </si>
  <si>
    <t>6154/</t>
  </si>
  <si>
    <t>6155/</t>
  </si>
  <si>
    <t>4201/</t>
  </si>
  <si>
    <t>16678/</t>
  </si>
  <si>
    <t>4209/</t>
  </si>
  <si>
    <t>725/</t>
  </si>
  <si>
    <t>CLPA001</t>
  </si>
  <si>
    <t>Huerto del Ranco</t>
  </si>
  <si>
    <t>136.98.65</t>
  </si>
  <si>
    <t>6224/</t>
  </si>
  <si>
    <t>25895/</t>
  </si>
  <si>
    <t>732/</t>
  </si>
  <si>
    <t>CLPA002</t>
  </si>
  <si>
    <t>136.98.66</t>
  </si>
  <si>
    <t>6242/</t>
  </si>
  <si>
    <t>4255/</t>
  </si>
  <si>
    <t>6243/</t>
  </si>
  <si>
    <t>736/</t>
  </si>
  <si>
    <t>CLPA003</t>
  </si>
  <si>
    <t>137.04.94</t>
  </si>
  <si>
    <t>6264/</t>
  </si>
  <si>
    <t>6292/</t>
  </si>
  <si>
    <t>4280/</t>
  </si>
  <si>
    <t>Exposweet</t>
  </si>
  <si>
    <t>321/</t>
  </si>
  <si>
    <t>Grupo Metro</t>
  </si>
  <si>
    <t>6316/</t>
  </si>
  <si>
    <t>6317/</t>
  </si>
  <si>
    <t>4884/</t>
  </si>
  <si>
    <t>4326/</t>
  </si>
  <si>
    <t>25898/</t>
  </si>
  <si>
    <t>6339/</t>
  </si>
  <si>
    <t>17359/</t>
  </si>
  <si>
    <t>6340/</t>
  </si>
  <si>
    <t>6358/</t>
  </si>
  <si>
    <t>4373/</t>
  </si>
  <si>
    <t>6391/</t>
  </si>
  <si>
    <t>0612167/</t>
  </si>
  <si>
    <t>CLC001</t>
  </si>
  <si>
    <t>Cabexport</t>
  </si>
  <si>
    <t>6409/</t>
  </si>
  <si>
    <t>6410/</t>
  </si>
  <si>
    <t>ECR015/2</t>
  </si>
  <si>
    <t>133/</t>
  </si>
  <si>
    <t>ARP001</t>
  </si>
  <si>
    <t>Guayal</t>
  </si>
  <si>
    <t>CDC</t>
  </si>
  <si>
    <t>4427/</t>
  </si>
  <si>
    <t>4958/</t>
  </si>
  <si>
    <t>6426/</t>
  </si>
  <si>
    <t>4449/</t>
  </si>
  <si>
    <t>6427/</t>
  </si>
  <si>
    <t>324/</t>
  </si>
  <si>
    <t>CLC002</t>
  </si>
  <si>
    <t>17780/</t>
  </si>
  <si>
    <t>2081/</t>
  </si>
  <si>
    <t>ARC001</t>
  </si>
  <si>
    <t>Proarco</t>
  </si>
  <si>
    <t>Transebe</t>
  </si>
  <si>
    <t>325/</t>
  </si>
  <si>
    <t>CLC003</t>
  </si>
  <si>
    <t>2084/</t>
  </si>
  <si>
    <t>ARC002</t>
  </si>
  <si>
    <t>Teske</t>
  </si>
  <si>
    <t>2085/</t>
  </si>
  <si>
    <t>ARC003</t>
  </si>
  <si>
    <t>2086/</t>
  </si>
  <si>
    <t>ARC004</t>
  </si>
  <si>
    <t>2087/</t>
  </si>
  <si>
    <t>ARC005</t>
  </si>
  <si>
    <t>4983/</t>
  </si>
  <si>
    <t>4482/</t>
  </si>
  <si>
    <t>333/</t>
  </si>
  <si>
    <t>CLC004</t>
  </si>
  <si>
    <t>18000/</t>
  </si>
  <si>
    <t>6443/</t>
  </si>
  <si>
    <t>4511/</t>
  </si>
  <si>
    <t>28/</t>
  </si>
  <si>
    <t>4533/</t>
  </si>
  <si>
    <t>18191/</t>
  </si>
  <si>
    <t>139/</t>
  </si>
  <si>
    <t>ARP002</t>
  </si>
  <si>
    <t>5042/</t>
  </si>
  <si>
    <t>6501/</t>
  </si>
  <si>
    <t>4554/</t>
  </si>
  <si>
    <t>ECE026</t>
  </si>
  <si>
    <t>54/</t>
  </si>
  <si>
    <t>ARB001</t>
  </si>
  <si>
    <t>AgoTaurizano</t>
  </si>
  <si>
    <t>4575/</t>
  </si>
  <si>
    <t>6517/</t>
  </si>
  <si>
    <t>ARB002</t>
  </si>
  <si>
    <t>6532/</t>
  </si>
  <si>
    <t>ECB023</t>
  </si>
  <si>
    <t>4597/</t>
  </si>
  <si>
    <t>4617/</t>
  </si>
  <si>
    <t>6565/</t>
  </si>
  <si>
    <t>35/</t>
  </si>
  <si>
    <t>CLK010</t>
  </si>
  <si>
    <t>6567/</t>
  </si>
  <si>
    <t>4642/</t>
  </si>
  <si>
    <t>4665/</t>
  </si>
  <si>
    <t>andino</t>
  </si>
  <si>
    <t>6582/</t>
  </si>
  <si>
    <t>068//</t>
  </si>
  <si>
    <t>ARB003</t>
  </si>
  <si>
    <t>071/</t>
  </si>
  <si>
    <t>ARB004</t>
  </si>
  <si>
    <t>5169/</t>
  </si>
  <si>
    <t>6609/</t>
  </si>
  <si>
    <t>4686//</t>
  </si>
  <si>
    <t>ECE032a</t>
  </si>
  <si>
    <t>4685//</t>
  </si>
  <si>
    <t>ECE032b</t>
  </si>
  <si>
    <t>6610/</t>
  </si>
  <si>
    <t>20plt008/</t>
  </si>
  <si>
    <t>Baika</t>
  </si>
  <si>
    <t>72/</t>
  </si>
  <si>
    <t>ARB005</t>
  </si>
  <si>
    <t>4713/</t>
  </si>
  <si>
    <t>ECE033b</t>
  </si>
  <si>
    <t>4705/</t>
  </si>
  <si>
    <t>ECE034b</t>
  </si>
  <si>
    <t>79/</t>
  </si>
  <si>
    <t>ARB006</t>
  </si>
  <si>
    <t>4706//</t>
  </si>
  <si>
    <t>ECE033a</t>
  </si>
  <si>
    <t>39403/</t>
  </si>
  <si>
    <t>5214/</t>
  </si>
  <si>
    <t>6626/</t>
  </si>
  <si>
    <t>4728/</t>
  </si>
  <si>
    <t>ECE034a</t>
  </si>
  <si>
    <t>6627/</t>
  </si>
  <si>
    <t>6655/</t>
  </si>
  <si>
    <t>4753/</t>
  </si>
  <si>
    <t>6656/</t>
  </si>
  <si>
    <t>6668/</t>
  </si>
  <si>
    <t>4784/</t>
  </si>
  <si>
    <t>6669/</t>
  </si>
  <si>
    <t>1445/</t>
  </si>
  <si>
    <t>6672/</t>
  </si>
  <si>
    <t>4802/</t>
  </si>
  <si>
    <t>6673/</t>
  </si>
  <si>
    <t>39712/</t>
  </si>
  <si>
    <t>4822/</t>
  </si>
  <si>
    <t>5297/</t>
  </si>
  <si>
    <t>6692/</t>
  </si>
  <si>
    <t>4823/</t>
  </si>
  <si>
    <t>4824/</t>
  </si>
  <si>
    <t>6689/</t>
  </si>
  <si>
    <t>119/8</t>
  </si>
  <si>
    <t>4867/</t>
  </si>
  <si>
    <t>6723/</t>
  </si>
  <si>
    <t>4841/</t>
  </si>
  <si>
    <t>4864/</t>
  </si>
  <si>
    <t>6724/</t>
  </si>
  <si>
    <t>6727/</t>
  </si>
  <si>
    <t>4860/</t>
  </si>
  <si>
    <t>6728/</t>
  </si>
  <si>
    <t>306875/</t>
  </si>
  <si>
    <t>MXP001</t>
  </si>
  <si>
    <t>Mission</t>
  </si>
  <si>
    <t>6764/</t>
  </si>
  <si>
    <t>4897/</t>
  </si>
  <si>
    <t>4890/</t>
  </si>
  <si>
    <t>6765/</t>
  </si>
  <si>
    <t>145/20</t>
  </si>
  <si>
    <t>92/</t>
  </si>
  <si>
    <t>ARB007</t>
  </si>
  <si>
    <t>6783/</t>
  </si>
  <si>
    <t>4923/</t>
  </si>
  <si>
    <t>4934/</t>
  </si>
  <si>
    <t>6784/</t>
  </si>
  <si>
    <t>423/8</t>
  </si>
  <si>
    <t>40090/</t>
  </si>
  <si>
    <t>CLP009</t>
  </si>
  <si>
    <t>5405/</t>
  </si>
  <si>
    <t>6787/</t>
  </si>
  <si>
    <t>6788/</t>
  </si>
  <si>
    <t>4938/</t>
  </si>
  <si>
    <t>4939/</t>
  </si>
  <si>
    <t>4963/</t>
  </si>
  <si>
    <t>095/20</t>
  </si>
  <si>
    <t>ARB008</t>
  </si>
  <si>
    <t>6817/</t>
  </si>
  <si>
    <t>4956/</t>
  </si>
  <si>
    <t>4955/</t>
  </si>
  <si>
    <t>4957/</t>
  </si>
  <si>
    <t>ECE067</t>
  </si>
  <si>
    <t>4958//</t>
  </si>
  <si>
    <t>ECE068</t>
  </si>
  <si>
    <t>6818/</t>
  </si>
  <si>
    <t>163/20</t>
  </si>
  <si>
    <t>164/20</t>
  </si>
  <si>
    <t>097/</t>
  </si>
  <si>
    <t>ARB009</t>
  </si>
  <si>
    <t>5468/</t>
  </si>
  <si>
    <t>6835/</t>
  </si>
  <si>
    <t>4984/</t>
  </si>
  <si>
    <t>ECE069</t>
  </si>
  <si>
    <t>4983//</t>
  </si>
  <si>
    <t>ECE070</t>
  </si>
  <si>
    <t>4985/</t>
  </si>
  <si>
    <t>ECE071</t>
  </si>
  <si>
    <t>4979/</t>
  </si>
  <si>
    <t>ECE072</t>
  </si>
  <si>
    <t>6836/</t>
  </si>
  <si>
    <t>312537/</t>
  </si>
  <si>
    <t>MXP002</t>
  </si>
  <si>
    <t>33314/</t>
  </si>
  <si>
    <t>CLL001</t>
  </si>
  <si>
    <t>Rosales</t>
  </si>
  <si>
    <t>40261</t>
  </si>
  <si>
    <t>CLP010</t>
  </si>
  <si>
    <t>6888/</t>
  </si>
  <si>
    <t>5011/</t>
  </si>
  <si>
    <t>ECE073</t>
  </si>
  <si>
    <t>6889/</t>
  </si>
  <si>
    <t>313127//</t>
  </si>
  <si>
    <t>MXP003</t>
  </si>
  <si>
    <t>6868/</t>
  </si>
  <si>
    <t>5001/</t>
  </si>
  <si>
    <t>ECE074</t>
  </si>
  <si>
    <t>6869/</t>
  </si>
  <si>
    <t>ECR037</t>
  </si>
  <si>
    <t>6886/</t>
  </si>
  <si>
    <t>5023//</t>
  </si>
  <si>
    <t>ECE075</t>
  </si>
  <si>
    <t>6887/</t>
  </si>
  <si>
    <t>6804/</t>
  </si>
  <si>
    <t>ECA024</t>
  </si>
  <si>
    <t>279/</t>
  </si>
  <si>
    <t>Finca Verde</t>
  </si>
  <si>
    <t>Transporte CDC</t>
  </si>
  <si>
    <t>013/</t>
  </si>
  <si>
    <t>5872/</t>
  </si>
  <si>
    <t>ECE082</t>
  </si>
  <si>
    <t>039/</t>
  </si>
  <si>
    <t>ARK001</t>
  </si>
  <si>
    <t>Donkiwi</t>
  </si>
  <si>
    <t>048/</t>
  </si>
  <si>
    <t>ARK002</t>
  </si>
  <si>
    <t>5945</t>
  </si>
  <si>
    <t>ECE092</t>
  </si>
  <si>
    <t>5947</t>
  </si>
  <si>
    <t>ECE093</t>
  </si>
  <si>
    <t>1071/</t>
  </si>
  <si>
    <t>PEP002</t>
  </si>
  <si>
    <t>Pampa Baja</t>
  </si>
  <si>
    <t>5946</t>
  </si>
  <si>
    <t>ECE091</t>
  </si>
  <si>
    <t>117/</t>
  </si>
  <si>
    <t>Metro</t>
  </si>
  <si>
    <t>123/</t>
  </si>
  <si>
    <t>129/</t>
  </si>
  <si>
    <t>5944</t>
  </si>
  <si>
    <t>ECE094</t>
  </si>
  <si>
    <t>163/21</t>
  </si>
  <si>
    <t>CLK012</t>
  </si>
  <si>
    <t>280/</t>
  </si>
  <si>
    <t>Transporte Moro</t>
  </si>
  <si>
    <t>181/8</t>
  </si>
  <si>
    <t>189/8</t>
  </si>
  <si>
    <t>2011399/</t>
  </si>
  <si>
    <t>EGP001</t>
  </si>
  <si>
    <t>Gelila</t>
  </si>
  <si>
    <t>284/</t>
  </si>
  <si>
    <t>285/</t>
  </si>
  <si>
    <t>293/</t>
  </si>
  <si>
    <t>202/9</t>
  </si>
  <si>
    <t>20893/</t>
  </si>
  <si>
    <t>Copefrut</t>
  </si>
  <si>
    <t>139.87.94</t>
  </si>
  <si>
    <t>229/8</t>
  </si>
  <si>
    <t>6852/</t>
  </si>
  <si>
    <t>ECA025</t>
  </si>
  <si>
    <t>5963</t>
  </si>
  <si>
    <t>ECE097</t>
  </si>
  <si>
    <t>295/</t>
  </si>
  <si>
    <t>25905/</t>
  </si>
  <si>
    <t>25906/</t>
  </si>
  <si>
    <t>25907/</t>
  </si>
  <si>
    <t>25909/</t>
  </si>
  <si>
    <t>25912/</t>
  </si>
  <si>
    <t>25913/</t>
  </si>
  <si>
    <t>25915/</t>
  </si>
  <si>
    <t>CLK011</t>
  </si>
  <si>
    <t>5964</t>
  </si>
  <si>
    <t>ECE098</t>
  </si>
  <si>
    <t>5965</t>
  </si>
  <si>
    <t>ECE095</t>
  </si>
  <si>
    <t>31200/</t>
  </si>
  <si>
    <t>CLL002</t>
  </si>
  <si>
    <t>317216/</t>
  </si>
  <si>
    <t>319839/</t>
  </si>
  <si>
    <t>321476/</t>
  </si>
  <si>
    <t>322539/</t>
  </si>
  <si>
    <t>MXP004</t>
  </si>
  <si>
    <t>323712/</t>
  </si>
  <si>
    <t>MXP005</t>
  </si>
  <si>
    <t>324772/</t>
  </si>
  <si>
    <t>MXP006</t>
  </si>
  <si>
    <t>326718/</t>
  </si>
  <si>
    <t>MXP007</t>
  </si>
  <si>
    <t>329489/</t>
  </si>
  <si>
    <t>MXP008</t>
  </si>
  <si>
    <t>5966</t>
  </si>
  <si>
    <t>ECE096</t>
  </si>
  <si>
    <t>331355/</t>
  </si>
  <si>
    <t>MXP009b</t>
  </si>
  <si>
    <t>331358/</t>
  </si>
  <si>
    <t>MXP009a</t>
  </si>
  <si>
    <t>333024/</t>
  </si>
  <si>
    <t>MXP010</t>
  </si>
  <si>
    <t>42/8</t>
  </si>
  <si>
    <t>44154/</t>
  </si>
  <si>
    <t>44722/</t>
  </si>
  <si>
    <t>44848/</t>
  </si>
  <si>
    <t>45002/</t>
  </si>
  <si>
    <t>45263/</t>
  </si>
  <si>
    <t>45380/</t>
  </si>
  <si>
    <t>45417/</t>
  </si>
  <si>
    <t>5950/</t>
  </si>
  <si>
    <t>ECE087</t>
  </si>
  <si>
    <t>239/8</t>
  </si>
  <si>
    <t>296/</t>
  </si>
  <si>
    <t>2712/</t>
  </si>
  <si>
    <t>Proarcoo</t>
  </si>
  <si>
    <t>2716/</t>
  </si>
  <si>
    <t>6000/</t>
  </si>
  <si>
    <t>6001/</t>
  </si>
  <si>
    <t>5999/</t>
  </si>
  <si>
    <t>2011495/</t>
  </si>
  <si>
    <t>EGP003</t>
  </si>
  <si>
    <t>2719//</t>
  </si>
  <si>
    <t>2011416/</t>
  </si>
  <si>
    <t>EGP002</t>
  </si>
  <si>
    <t>2720/</t>
  </si>
  <si>
    <t>2721/</t>
  </si>
  <si>
    <t>2722/</t>
  </si>
  <si>
    <t>ARC006</t>
  </si>
  <si>
    <t>2723/</t>
  </si>
  <si>
    <t>ARC007</t>
  </si>
  <si>
    <t>2727/</t>
  </si>
  <si>
    <t>ARC008</t>
  </si>
  <si>
    <t>2728/</t>
  </si>
  <si>
    <t>ARC009</t>
  </si>
  <si>
    <t>280/8</t>
  </si>
  <si>
    <t>2730/</t>
  </si>
  <si>
    <t>ARC010</t>
  </si>
  <si>
    <t>2731/</t>
  </si>
  <si>
    <t>ARC011</t>
  </si>
  <si>
    <t>0071/</t>
  </si>
  <si>
    <t>Chapare Eporta</t>
  </si>
  <si>
    <t>5//8</t>
  </si>
  <si>
    <t>5/FC21</t>
  </si>
  <si>
    <t>ESC001</t>
  </si>
  <si>
    <t>Belcaire</t>
  </si>
  <si>
    <t>5037/</t>
  </si>
  <si>
    <t>5065/</t>
  </si>
  <si>
    <t>5116/</t>
  </si>
  <si>
    <t>5138//</t>
  </si>
  <si>
    <t>ECE005a</t>
  </si>
  <si>
    <t>5139//</t>
  </si>
  <si>
    <t>ECE005b</t>
  </si>
  <si>
    <t>5163/</t>
  </si>
  <si>
    <t>ECE006a</t>
  </si>
  <si>
    <t>5172/</t>
  </si>
  <si>
    <t>ECE006b</t>
  </si>
  <si>
    <t>5180/</t>
  </si>
  <si>
    <t>5195/</t>
  </si>
  <si>
    <t>5196/</t>
  </si>
  <si>
    <t>5208/</t>
  </si>
  <si>
    <t>5209/</t>
  </si>
  <si>
    <t>5216/</t>
  </si>
  <si>
    <t>5233/</t>
  </si>
  <si>
    <t>5259/</t>
  </si>
  <si>
    <t>5266/</t>
  </si>
  <si>
    <t>5281/</t>
  </si>
  <si>
    <t>5305/</t>
  </si>
  <si>
    <t>5322/</t>
  </si>
  <si>
    <t>5335/</t>
  </si>
  <si>
    <t>5363/</t>
  </si>
  <si>
    <t>5381/</t>
  </si>
  <si>
    <t>5410/</t>
  </si>
  <si>
    <t>5421/</t>
  </si>
  <si>
    <t>5425/</t>
  </si>
  <si>
    <t>5440/</t>
  </si>
  <si>
    <t>5455/</t>
  </si>
  <si>
    <t>5456/</t>
  </si>
  <si>
    <t>5467/</t>
  </si>
  <si>
    <t>5483/</t>
  </si>
  <si>
    <t>5484/</t>
  </si>
  <si>
    <t>5492/</t>
  </si>
  <si>
    <t>5503/</t>
  </si>
  <si>
    <t>5504/</t>
  </si>
  <si>
    <t>5527/</t>
  </si>
  <si>
    <t>5545//</t>
  </si>
  <si>
    <t>5560/</t>
  </si>
  <si>
    <t>5568/</t>
  </si>
  <si>
    <t>5571/</t>
  </si>
  <si>
    <t>5590/</t>
  </si>
  <si>
    <t>5601/</t>
  </si>
  <si>
    <t>5602//</t>
  </si>
  <si>
    <t>5603//</t>
  </si>
  <si>
    <t>5616/</t>
  </si>
  <si>
    <t>5617/</t>
  </si>
  <si>
    <t>5623/</t>
  </si>
  <si>
    <t>5633/</t>
  </si>
  <si>
    <t>5635/</t>
  </si>
  <si>
    <t>5643/</t>
  </si>
  <si>
    <t>5646/</t>
  </si>
  <si>
    <t>5647/</t>
  </si>
  <si>
    <t>5650/</t>
  </si>
  <si>
    <t>ECE052</t>
  </si>
  <si>
    <t>5661/</t>
  </si>
  <si>
    <t>5665/</t>
  </si>
  <si>
    <t>5668/</t>
  </si>
  <si>
    <t>5670/</t>
  </si>
  <si>
    <t>5671/</t>
  </si>
  <si>
    <t>5672/</t>
  </si>
  <si>
    <t>5701/</t>
  </si>
  <si>
    <t>5706/</t>
  </si>
  <si>
    <t>5707/</t>
  </si>
  <si>
    <t>5715/</t>
  </si>
  <si>
    <t>5723/</t>
  </si>
  <si>
    <t>5733//</t>
  </si>
  <si>
    <t>5737/</t>
  </si>
  <si>
    <t>5738/</t>
  </si>
  <si>
    <t>5739/</t>
  </si>
  <si>
    <t>5757/</t>
  </si>
  <si>
    <t>5768/</t>
  </si>
  <si>
    <t>5788//</t>
  </si>
  <si>
    <t>5789//</t>
  </si>
  <si>
    <t>5790//</t>
  </si>
  <si>
    <t>5814/</t>
  </si>
  <si>
    <t>5815/</t>
  </si>
  <si>
    <t>5816/</t>
  </si>
  <si>
    <t>5831/</t>
  </si>
  <si>
    <t>5832/</t>
  </si>
  <si>
    <t>ECE073a</t>
  </si>
  <si>
    <t>5833/</t>
  </si>
  <si>
    <t>ECE073b</t>
  </si>
  <si>
    <t>5836/</t>
  </si>
  <si>
    <t>5855/</t>
  </si>
  <si>
    <t>5859/</t>
  </si>
  <si>
    <t>ECE078</t>
  </si>
  <si>
    <t>5860/</t>
  </si>
  <si>
    <t>5860//</t>
  </si>
  <si>
    <t>ECE077</t>
  </si>
  <si>
    <t>5861/</t>
  </si>
  <si>
    <t>ECE076a</t>
  </si>
  <si>
    <t>5871/</t>
  </si>
  <si>
    <t>ECE076b</t>
  </si>
  <si>
    <t>0072/</t>
  </si>
  <si>
    <t>031/</t>
  </si>
  <si>
    <t>085/22</t>
  </si>
  <si>
    <t>086/22</t>
  </si>
  <si>
    <t>33/22</t>
  </si>
  <si>
    <t>99/22</t>
  </si>
  <si>
    <t>114/22</t>
  </si>
  <si>
    <t>BOB08</t>
  </si>
  <si>
    <t>610/</t>
  </si>
  <si>
    <t>611/</t>
  </si>
  <si>
    <t>613/</t>
  </si>
  <si>
    <t>25104/</t>
  </si>
  <si>
    <t>286/</t>
  </si>
  <si>
    <t>GrupoMetro</t>
  </si>
  <si>
    <t>25947/</t>
  </si>
  <si>
    <t>297/</t>
  </si>
  <si>
    <t>171/</t>
  </si>
  <si>
    <t>Itahue</t>
  </si>
  <si>
    <t>306/</t>
  </si>
  <si>
    <t>186/</t>
  </si>
  <si>
    <t>187/</t>
  </si>
  <si>
    <t>313/</t>
  </si>
  <si>
    <t>316/</t>
  </si>
  <si>
    <t>45782/</t>
  </si>
  <si>
    <t>6015/</t>
  </si>
  <si>
    <t>45878/</t>
  </si>
  <si>
    <t>45919/</t>
  </si>
  <si>
    <t>6056/</t>
  </si>
  <si>
    <t>46110/</t>
  </si>
  <si>
    <t>46172/</t>
  </si>
  <si>
    <t>46245/</t>
  </si>
  <si>
    <t>6112/</t>
  </si>
  <si>
    <t>46321/</t>
  </si>
  <si>
    <t>46403/</t>
  </si>
  <si>
    <t>46501/</t>
  </si>
  <si>
    <t>807/</t>
  </si>
  <si>
    <t>808/</t>
  </si>
  <si>
    <t>806/</t>
  </si>
  <si>
    <t>815/</t>
  </si>
  <si>
    <t>816/</t>
  </si>
  <si>
    <t>46596/</t>
  </si>
  <si>
    <t>46620/</t>
  </si>
  <si>
    <t>CLP011</t>
  </si>
  <si>
    <t>48084/</t>
  </si>
  <si>
    <t>CLP012</t>
  </si>
  <si>
    <t>6183/</t>
  </si>
  <si>
    <t>36923/</t>
  </si>
  <si>
    <t>CLP013</t>
  </si>
  <si>
    <t>62/FC21</t>
  </si>
  <si>
    <t>ESC003</t>
  </si>
  <si>
    <t>ARB010</t>
  </si>
  <si>
    <t>ARZ001</t>
  </si>
  <si>
    <t>Beller</t>
  </si>
  <si>
    <t>37035/</t>
  </si>
  <si>
    <t>CLP014</t>
  </si>
  <si>
    <t>37036/</t>
  </si>
  <si>
    <t>CLP015</t>
  </si>
  <si>
    <t>37129/</t>
  </si>
  <si>
    <t>CLP016</t>
  </si>
  <si>
    <t>1786/</t>
  </si>
  <si>
    <t>CLP017</t>
  </si>
  <si>
    <t>A5</t>
  </si>
  <si>
    <t>49218/</t>
  </si>
  <si>
    <t>CLP018</t>
  </si>
  <si>
    <t>49219/</t>
  </si>
  <si>
    <t>CLP019</t>
  </si>
  <si>
    <t>1792/</t>
  </si>
  <si>
    <t>CLP020</t>
  </si>
  <si>
    <t>1802/</t>
  </si>
  <si>
    <t>CLP021</t>
  </si>
  <si>
    <t>1446884/1446886</t>
  </si>
  <si>
    <t>49356/332</t>
  </si>
  <si>
    <t>CLP022</t>
  </si>
  <si>
    <t>Propal/Grupo Metro</t>
  </si>
  <si>
    <t>1447810/1447811</t>
  </si>
  <si>
    <t>237698/237679</t>
  </si>
  <si>
    <t>49444/</t>
  </si>
  <si>
    <t>CLP023</t>
  </si>
  <si>
    <t xml:space="preserve">Propal  </t>
  </si>
  <si>
    <t>49490/</t>
  </si>
  <si>
    <t>CLP024</t>
  </si>
  <si>
    <t>49529/</t>
  </si>
  <si>
    <t>CLP025</t>
  </si>
  <si>
    <t>CHA001</t>
  </si>
  <si>
    <t>Jingin Brother</t>
  </si>
  <si>
    <t>CLA001</t>
  </si>
  <si>
    <t>Rengo SA</t>
  </si>
  <si>
    <t>6261/</t>
  </si>
  <si>
    <t>CLA002</t>
  </si>
  <si>
    <t>CLA003</t>
  </si>
  <si>
    <t>CLA004</t>
  </si>
  <si>
    <t>6869//</t>
  </si>
  <si>
    <t>6911/</t>
  </si>
  <si>
    <t>817/</t>
  </si>
  <si>
    <t>Don Primo</t>
  </si>
  <si>
    <t>836/</t>
  </si>
  <si>
    <t>143309/148479</t>
  </si>
  <si>
    <t>835/</t>
  </si>
  <si>
    <t>00002-0005/23</t>
  </si>
  <si>
    <t>834/</t>
  </si>
  <si>
    <t>832/</t>
  </si>
  <si>
    <t>824/</t>
  </si>
  <si>
    <t>ARC012</t>
  </si>
  <si>
    <t>823/</t>
  </si>
  <si>
    <t>ARC013</t>
  </si>
  <si>
    <t>6940/</t>
  </si>
  <si>
    <t>6984/</t>
  </si>
  <si>
    <t>7057/</t>
  </si>
  <si>
    <t>7071/</t>
  </si>
  <si>
    <t>7119/</t>
  </si>
  <si>
    <t>7187/</t>
  </si>
  <si>
    <t>6324/</t>
  </si>
  <si>
    <t>6376/</t>
  </si>
  <si>
    <t>6454/</t>
  </si>
  <si>
    <t>6473/</t>
  </si>
  <si>
    <t>6526/</t>
  </si>
  <si>
    <t>6546/</t>
  </si>
  <si>
    <t>6576/</t>
  </si>
  <si>
    <t>6604/</t>
  </si>
  <si>
    <t>6634-6635/</t>
  </si>
  <si>
    <t>210288/210287</t>
  </si>
  <si>
    <t>6690/</t>
  </si>
  <si>
    <t>7254/</t>
  </si>
  <si>
    <t>6717/</t>
  </si>
  <si>
    <t>ECA022</t>
  </si>
  <si>
    <t>7293/</t>
  </si>
  <si>
    <t>7294/</t>
  </si>
  <si>
    <t>7370/</t>
  </si>
  <si>
    <t>7400/</t>
  </si>
  <si>
    <t>7467/</t>
  </si>
  <si>
    <t>7515/</t>
  </si>
  <si>
    <t>0002-0021/23</t>
  </si>
  <si>
    <t>ARC014</t>
  </si>
  <si>
    <t>anulado</t>
  </si>
  <si>
    <t>0002-0022/23</t>
  </si>
  <si>
    <t>ARC015</t>
  </si>
  <si>
    <t>7582/</t>
  </si>
  <si>
    <t>7643/</t>
  </si>
  <si>
    <t>7699/</t>
  </si>
  <si>
    <t>6902/</t>
  </si>
  <si>
    <t>6903/</t>
  </si>
  <si>
    <t>7753/</t>
  </si>
  <si>
    <t>6970/</t>
  </si>
  <si>
    <t>6971/</t>
  </si>
  <si>
    <t>6988/</t>
  </si>
  <si>
    <t>6989/</t>
  </si>
  <si>
    <t>7025/</t>
  </si>
  <si>
    <t>7026/</t>
  </si>
  <si>
    <t>7824/</t>
  </si>
  <si>
    <t>7834/</t>
  </si>
  <si>
    <t>7868/</t>
  </si>
  <si>
    <t>7895/</t>
  </si>
  <si>
    <t>ECA023</t>
  </si>
  <si>
    <t>7940/</t>
  </si>
  <si>
    <t>7984/</t>
  </si>
  <si>
    <t>8050/</t>
  </si>
  <si>
    <t>ECA026</t>
  </si>
  <si>
    <t>8609/</t>
  </si>
  <si>
    <t>8655/</t>
  </si>
  <si>
    <t>8696/</t>
  </si>
  <si>
    <t>8698/</t>
  </si>
  <si>
    <t>8717/</t>
  </si>
  <si>
    <t>8736/</t>
  </si>
  <si>
    <t>8772/</t>
  </si>
  <si>
    <t>7084/</t>
  </si>
  <si>
    <t>7085/</t>
  </si>
  <si>
    <t>7114/</t>
  </si>
  <si>
    <t>7115/</t>
  </si>
  <si>
    <t>8831/</t>
  </si>
  <si>
    <t>7134/</t>
  </si>
  <si>
    <t>7135/</t>
  </si>
  <si>
    <t>7137/</t>
  </si>
  <si>
    <t>8851/</t>
  </si>
  <si>
    <t>16/</t>
  </si>
  <si>
    <t>Garzon</t>
  </si>
  <si>
    <t>5926/</t>
  </si>
  <si>
    <t>ECE089</t>
  </si>
  <si>
    <t>7138/</t>
  </si>
  <si>
    <t>45716/</t>
  </si>
  <si>
    <t>236470/236472</t>
  </si>
  <si>
    <t>18/</t>
  </si>
  <si>
    <t>5878/</t>
  </si>
  <si>
    <t>ECE079</t>
  </si>
  <si>
    <t>5890/</t>
  </si>
  <si>
    <t>ECE080</t>
  </si>
  <si>
    <t>5891/</t>
  </si>
  <si>
    <t>ECE081</t>
  </si>
  <si>
    <t>5906/</t>
  </si>
  <si>
    <t>ECE084</t>
  </si>
  <si>
    <t>5925/</t>
  </si>
  <si>
    <t>ECE088</t>
  </si>
  <si>
    <t>7175/</t>
  </si>
  <si>
    <t>7176/</t>
  </si>
  <si>
    <t>7183/</t>
  </si>
  <si>
    <t>5927/</t>
  </si>
  <si>
    <t>ECE090</t>
  </si>
  <si>
    <t>7217/</t>
  </si>
  <si>
    <t>7236/</t>
  </si>
  <si>
    <t>5930/</t>
  </si>
  <si>
    <t>ECE083</t>
  </si>
  <si>
    <t>5931/</t>
  </si>
  <si>
    <t>ECE085</t>
  </si>
  <si>
    <t>6742/</t>
  </si>
  <si>
    <t>CLC005</t>
  </si>
  <si>
    <t>CLC006</t>
  </si>
  <si>
    <t>CLC007</t>
  </si>
  <si>
    <t>CLC008</t>
  </si>
  <si>
    <t>CLC009</t>
  </si>
  <si>
    <t>CLC010</t>
  </si>
  <si>
    <t>Summerland</t>
  </si>
  <si>
    <t>Exportadora Rengo</t>
  </si>
  <si>
    <t>Cisternas</t>
  </si>
  <si>
    <t>Linea Sudamericana</t>
  </si>
  <si>
    <t>7258/</t>
  </si>
  <si>
    <t>7275/</t>
  </si>
  <si>
    <t>7296/</t>
  </si>
  <si>
    <t>7327/</t>
  </si>
  <si>
    <t>7358/</t>
  </si>
  <si>
    <t>7393/</t>
  </si>
  <si>
    <t>7394/</t>
  </si>
  <si>
    <t>7428/</t>
  </si>
  <si>
    <t>7429/</t>
  </si>
  <si>
    <t>75971/</t>
  </si>
  <si>
    <t>MXP011</t>
  </si>
  <si>
    <t>76089/</t>
  </si>
  <si>
    <t>MXP012</t>
  </si>
  <si>
    <t>76576/</t>
  </si>
  <si>
    <t>MXP013</t>
  </si>
  <si>
    <t>76590/</t>
  </si>
  <si>
    <t>MXP014</t>
  </si>
  <si>
    <t>76942/</t>
  </si>
  <si>
    <t>MXP015</t>
  </si>
  <si>
    <t>78045/</t>
  </si>
  <si>
    <t>MXP016</t>
  </si>
  <si>
    <t>Merotruck</t>
  </si>
  <si>
    <t>5980//</t>
  </si>
  <si>
    <t>6024/</t>
  </si>
  <si>
    <t>6045/</t>
  </si>
  <si>
    <t>6056//</t>
  </si>
  <si>
    <t>6071/</t>
  </si>
  <si>
    <t>6087/</t>
  </si>
  <si>
    <t>6119/</t>
  </si>
  <si>
    <t>6127/</t>
  </si>
  <si>
    <t>6104/</t>
  </si>
  <si>
    <t>6140/</t>
  </si>
  <si>
    <t>6135/</t>
  </si>
  <si>
    <t>6129/</t>
  </si>
  <si>
    <t>87/FA21</t>
  </si>
  <si>
    <t>ESC002</t>
  </si>
  <si>
    <t>Agrofresh</t>
  </si>
  <si>
    <t>981/</t>
  </si>
  <si>
    <t>PEP001</t>
  </si>
  <si>
    <t>6128/</t>
  </si>
  <si>
    <t>6150//</t>
  </si>
  <si>
    <t>6151/</t>
  </si>
  <si>
    <t>6165/</t>
  </si>
  <si>
    <t>6196/</t>
  </si>
  <si>
    <t>6166/</t>
  </si>
  <si>
    <t>6167/</t>
  </si>
  <si>
    <t>6201/</t>
  </si>
  <si>
    <t>6206/</t>
  </si>
  <si>
    <t>6193/</t>
  </si>
  <si>
    <t>6202/</t>
  </si>
  <si>
    <t>6203/</t>
  </si>
  <si>
    <t>6243//</t>
  </si>
  <si>
    <t>6233/</t>
  </si>
  <si>
    <t>6244/</t>
  </si>
  <si>
    <t>6245/</t>
  </si>
  <si>
    <t>6235/</t>
  </si>
  <si>
    <t>6234/</t>
  </si>
  <si>
    <t>6263/</t>
  </si>
  <si>
    <t>6264//</t>
  </si>
  <si>
    <t>6262/</t>
  </si>
  <si>
    <t>6277/</t>
  </si>
  <si>
    <t>6300/</t>
  </si>
  <si>
    <t>6305/</t>
  </si>
  <si>
    <t>6318/</t>
  </si>
  <si>
    <t>6329/</t>
  </si>
  <si>
    <t>6330/</t>
  </si>
  <si>
    <t>6339//</t>
  </si>
  <si>
    <t>6360/</t>
  </si>
  <si>
    <t>6361/</t>
  </si>
  <si>
    <t>Sumerland</t>
  </si>
  <si>
    <t>6357/</t>
  </si>
  <si>
    <t>RCT</t>
  </si>
  <si>
    <t>6373/</t>
  </si>
  <si>
    <t>6374/</t>
  </si>
  <si>
    <t>6393/</t>
  </si>
  <si>
    <t>6394/</t>
  </si>
  <si>
    <t>Banexfrut</t>
  </si>
  <si>
    <t>Banexport</t>
  </si>
  <si>
    <t>Sur Central</t>
  </si>
  <si>
    <t>CLCE001</t>
  </si>
  <si>
    <t>CLCE002</t>
  </si>
  <si>
    <t>6397/</t>
  </si>
  <si>
    <t>148.30.99</t>
  </si>
  <si>
    <t>6412/</t>
  </si>
  <si>
    <t>6398/</t>
  </si>
  <si>
    <t>6414/</t>
  </si>
  <si>
    <t>6413/</t>
  </si>
  <si>
    <t>6428/</t>
  </si>
  <si>
    <t>6429/</t>
  </si>
  <si>
    <t>259/</t>
  </si>
  <si>
    <t>1479809/1480373</t>
  </si>
  <si>
    <t>6430/</t>
  </si>
  <si>
    <t>6442/</t>
  </si>
  <si>
    <t>88138-88139/</t>
  </si>
  <si>
    <t>Always Food</t>
  </si>
  <si>
    <t>378/</t>
  </si>
  <si>
    <t>229/</t>
  </si>
  <si>
    <t>390/</t>
  </si>
  <si>
    <t>397/</t>
  </si>
  <si>
    <t>30549/</t>
  </si>
  <si>
    <t>00253/</t>
  </si>
  <si>
    <t>49588/</t>
  </si>
  <si>
    <t>2200388/</t>
  </si>
  <si>
    <t>52083/</t>
  </si>
  <si>
    <t>2300223/</t>
  </si>
  <si>
    <t>52678/</t>
  </si>
  <si>
    <t>FN23/0068</t>
  </si>
  <si>
    <t>Beltran</t>
  </si>
  <si>
    <t>FN23/0077</t>
  </si>
  <si>
    <t>FN23/0087</t>
  </si>
  <si>
    <t>ESC004</t>
  </si>
  <si>
    <t>FN23/0105</t>
  </si>
  <si>
    <t>ESC005</t>
  </si>
  <si>
    <t>FN23/0114</t>
  </si>
  <si>
    <t>ESC006</t>
  </si>
  <si>
    <t>53218/</t>
  </si>
  <si>
    <t>53408/</t>
  </si>
  <si>
    <t>53526/</t>
  </si>
  <si>
    <t>405/</t>
  </si>
  <si>
    <t>53749/</t>
  </si>
  <si>
    <t>256/</t>
  </si>
  <si>
    <t>53835/</t>
  </si>
  <si>
    <t>257/</t>
  </si>
  <si>
    <t>53883/</t>
  </si>
  <si>
    <t>258/</t>
  </si>
  <si>
    <t>FF2300479/</t>
  </si>
  <si>
    <t>FF2300486/</t>
  </si>
  <si>
    <t>1046/</t>
  </si>
  <si>
    <t>Huertos del Ranco</t>
  </si>
  <si>
    <t>1048/</t>
  </si>
  <si>
    <t>1050/</t>
  </si>
  <si>
    <t>1051/</t>
  </si>
  <si>
    <t>CLPA004</t>
  </si>
  <si>
    <t>1058/</t>
  </si>
  <si>
    <t>CLPA005</t>
  </si>
  <si>
    <t>1061/</t>
  </si>
  <si>
    <t>CLPA006</t>
  </si>
  <si>
    <t>796/</t>
  </si>
  <si>
    <t>CLPA007</t>
  </si>
  <si>
    <t>795/</t>
  </si>
  <si>
    <t>CLPA008</t>
  </si>
  <si>
    <t>6463/</t>
  </si>
  <si>
    <t>6462/</t>
  </si>
  <si>
    <t>6461/</t>
  </si>
  <si>
    <t>6464/</t>
  </si>
  <si>
    <t>6488/</t>
  </si>
  <si>
    <t>6508/</t>
  </si>
  <si>
    <t>6507/</t>
  </si>
  <si>
    <t>6494/</t>
  </si>
  <si>
    <t>6516/</t>
  </si>
  <si>
    <t>6499/</t>
  </si>
  <si>
    <t>798/</t>
  </si>
  <si>
    <t>CLPA009</t>
  </si>
  <si>
    <t>802/</t>
  </si>
  <si>
    <t>CLPA010</t>
  </si>
  <si>
    <t>803/</t>
  </si>
  <si>
    <t>CLPA011</t>
  </si>
  <si>
    <t>804/</t>
  </si>
  <si>
    <t>CLPA012</t>
  </si>
  <si>
    <t>805/</t>
  </si>
  <si>
    <t>CLPA013</t>
  </si>
  <si>
    <t>8091/</t>
  </si>
  <si>
    <t>8150/</t>
  </si>
  <si>
    <t>8181/</t>
  </si>
  <si>
    <t>8241/</t>
  </si>
  <si>
    <t>8268/</t>
  </si>
  <si>
    <t>8317/</t>
  </si>
  <si>
    <t>8370/</t>
  </si>
  <si>
    <t>8418/</t>
  </si>
  <si>
    <t>8495/</t>
  </si>
  <si>
    <t>8554/</t>
  </si>
  <si>
    <t>8596/</t>
  </si>
  <si>
    <t>8635/</t>
  </si>
  <si>
    <t>8704/</t>
  </si>
  <si>
    <t>8788/</t>
  </si>
  <si>
    <t>8880/</t>
  </si>
  <si>
    <t>8970/</t>
  </si>
  <si>
    <t>9039/</t>
  </si>
  <si>
    <t>9104/</t>
  </si>
  <si>
    <t>9166/</t>
  </si>
  <si>
    <t>9286/</t>
  </si>
  <si>
    <t>9311/</t>
  </si>
  <si>
    <t>9346/</t>
  </si>
  <si>
    <t>9386/</t>
  </si>
  <si>
    <t>9425/</t>
  </si>
  <si>
    <t>001-404-10111</t>
  </si>
  <si>
    <t>Noboa</t>
  </si>
  <si>
    <t>001-404-10159</t>
  </si>
  <si>
    <t>150,28,76</t>
  </si>
  <si>
    <t>150.26.50</t>
  </si>
  <si>
    <t>001-404-10188</t>
  </si>
  <si>
    <t>001-404-10285</t>
  </si>
  <si>
    <t>1476523/1477033</t>
  </si>
  <si>
    <t>001-404-10298</t>
  </si>
  <si>
    <t>001-404-10299</t>
  </si>
  <si>
    <t>001-404-10324</t>
  </si>
  <si>
    <t>001-404-10370</t>
  </si>
  <si>
    <t>001-404-10385</t>
  </si>
  <si>
    <t>001-404-10441</t>
  </si>
  <si>
    <t>001-404-10442</t>
  </si>
  <si>
    <t>6836//</t>
  </si>
  <si>
    <t>6854/</t>
  </si>
  <si>
    <t>6856/</t>
  </si>
  <si>
    <t>6855/</t>
  </si>
  <si>
    <t>6867/</t>
  </si>
  <si>
    <t>6868//</t>
  </si>
  <si>
    <t>6880/</t>
  </si>
  <si>
    <t>6881/</t>
  </si>
  <si>
    <t>6905/</t>
  </si>
  <si>
    <t>6906/</t>
  </si>
  <si>
    <t>6911//</t>
  </si>
  <si>
    <t>6912/</t>
  </si>
  <si>
    <t>6913/</t>
  </si>
  <si>
    <t>6936/</t>
  </si>
  <si>
    <t>6935/</t>
  </si>
  <si>
    <t>6953/</t>
  </si>
  <si>
    <t>6955//</t>
  </si>
  <si>
    <t>6969/</t>
  </si>
  <si>
    <t>6970//</t>
  </si>
  <si>
    <t>6971//</t>
  </si>
  <si>
    <t>6996/</t>
  </si>
  <si>
    <t>6995/</t>
  </si>
  <si>
    <t>7012/</t>
  </si>
  <si>
    <t>7010/</t>
  </si>
  <si>
    <t>7011/</t>
  </si>
  <si>
    <t>7059/</t>
  </si>
  <si>
    <t>7060/</t>
  </si>
  <si>
    <t>7061/</t>
  </si>
  <si>
    <t>7081/</t>
  </si>
  <si>
    <t>7080/</t>
  </si>
  <si>
    <t>7090/</t>
  </si>
  <si>
    <t>7091/</t>
  </si>
  <si>
    <t>7110/</t>
  </si>
  <si>
    <t>7111/</t>
  </si>
  <si>
    <t>7112/</t>
  </si>
  <si>
    <t>7127/</t>
  </si>
  <si>
    <t>7128/</t>
  </si>
  <si>
    <t>31102289/</t>
  </si>
  <si>
    <t>31102325/</t>
  </si>
  <si>
    <t>7159/</t>
  </si>
  <si>
    <t>7158/</t>
  </si>
  <si>
    <t>7173/</t>
  </si>
  <si>
    <t>7179/</t>
  </si>
  <si>
    <t>7188/</t>
  </si>
  <si>
    <t>13468/</t>
  </si>
  <si>
    <t>PEA008</t>
  </si>
  <si>
    <t>7225/</t>
  </si>
  <si>
    <t>7226/</t>
  </si>
  <si>
    <t>7235/</t>
  </si>
  <si>
    <t>7228/</t>
  </si>
  <si>
    <t>7229/</t>
  </si>
  <si>
    <t>7251/</t>
  </si>
  <si>
    <t>7252/</t>
  </si>
  <si>
    <t>7250/</t>
  </si>
  <si>
    <t>7272/</t>
  </si>
  <si>
    <t>FC008-00005161</t>
  </si>
  <si>
    <t>PEA001</t>
  </si>
  <si>
    <t>FC08-00005216</t>
  </si>
  <si>
    <t>PEA002</t>
  </si>
  <si>
    <t>FC08-00005285</t>
  </si>
  <si>
    <t>PEA003</t>
  </si>
  <si>
    <t>FC08-00005398</t>
  </si>
  <si>
    <t>PEA004</t>
  </si>
  <si>
    <t>FC08-00005436</t>
  </si>
  <si>
    <t>PEA005</t>
  </si>
  <si>
    <t>145.81.91</t>
  </si>
  <si>
    <t>FC08-00005469</t>
  </si>
  <si>
    <t>PEA006</t>
  </si>
  <si>
    <t>145.84.39</t>
  </si>
  <si>
    <t>075254/</t>
  </si>
  <si>
    <t>FC08-00005491</t>
  </si>
  <si>
    <t>PEA007</t>
  </si>
  <si>
    <t>145.93.27</t>
  </si>
  <si>
    <t>08-00005569/</t>
  </si>
  <si>
    <t>PEA009</t>
  </si>
  <si>
    <t>191/</t>
  </si>
  <si>
    <t>Itauhe</t>
  </si>
  <si>
    <t>193/</t>
  </si>
  <si>
    <t>CHA002</t>
  </si>
  <si>
    <t>7271/</t>
  </si>
  <si>
    <t>7314/</t>
  </si>
  <si>
    <t>7306/</t>
  </si>
  <si>
    <t>7307/</t>
  </si>
  <si>
    <t>7324/</t>
  </si>
  <si>
    <t>7325/</t>
  </si>
  <si>
    <t>7333/</t>
  </si>
  <si>
    <t>7334/</t>
  </si>
  <si>
    <t>7346/</t>
  </si>
  <si>
    <t>7336/</t>
  </si>
  <si>
    <t>7365/</t>
  </si>
  <si>
    <t>7366/</t>
  </si>
  <si>
    <t>7392/</t>
  </si>
  <si>
    <t>7398/</t>
  </si>
  <si>
    <t>7391/</t>
  </si>
  <si>
    <t>7407/</t>
  </si>
  <si>
    <t>7408/</t>
  </si>
  <si>
    <t>7424/</t>
  </si>
  <si>
    <t>7425/</t>
  </si>
  <si>
    <t>7433/</t>
  </si>
  <si>
    <t>7453/</t>
  </si>
  <si>
    <t>7454/</t>
  </si>
  <si>
    <t>7455/</t>
  </si>
  <si>
    <t>7464/</t>
  </si>
  <si>
    <t>7465/</t>
  </si>
  <si>
    <t>7478/</t>
  </si>
  <si>
    <t>ECE076</t>
  </si>
  <si>
    <t>7492/</t>
  </si>
  <si>
    <t>7493/</t>
  </si>
  <si>
    <t>4506</t>
  </si>
  <si>
    <t>7522/</t>
  </si>
  <si>
    <t>7528/</t>
  </si>
  <si>
    <t>7550/</t>
  </si>
  <si>
    <t>7551/</t>
  </si>
  <si>
    <t>7561/</t>
  </si>
  <si>
    <t>7645/</t>
  </si>
  <si>
    <t>7646/</t>
  </si>
  <si>
    <t>ECE086</t>
  </si>
  <si>
    <t>7605/</t>
  </si>
  <si>
    <t>7618/</t>
  </si>
  <si>
    <t>7628/</t>
  </si>
  <si>
    <t>7629/</t>
  </si>
  <si>
    <t>88A/</t>
  </si>
  <si>
    <t>Natura</t>
  </si>
  <si>
    <t>89A/</t>
  </si>
  <si>
    <t>5798/</t>
  </si>
  <si>
    <t>ECM001</t>
  </si>
  <si>
    <t>Mendoexport</t>
  </si>
  <si>
    <t>5808/</t>
  </si>
  <si>
    <t>ECM002</t>
  </si>
  <si>
    <t>003-001-000000010/</t>
  </si>
  <si>
    <t>ECM003</t>
  </si>
  <si>
    <t>003-001-034</t>
  </si>
  <si>
    <t>ECM004</t>
  </si>
  <si>
    <t>003-001-045</t>
  </si>
  <si>
    <t>ECM005</t>
  </si>
  <si>
    <t>Beller Export</t>
  </si>
  <si>
    <t>CLPA014</t>
  </si>
  <si>
    <t>CLPA015</t>
  </si>
  <si>
    <t>CLPA016</t>
  </si>
  <si>
    <t>CLZ001</t>
  </si>
  <si>
    <t>148.82,27</t>
  </si>
  <si>
    <t>CLZ002</t>
  </si>
  <si>
    <t>COB001</t>
  </si>
  <si>
    <t>COB002</t>
  </si>
  <si>
    <t>Tropical</t>
  </si>
  <si>
    <t>COB003</t>
  </si>
  <si>
    <t>COB004</t>
  </si>
  <si>
    <t>COB005</t>
  </si>
  <si>
    <t>COB006</t>
  </si>
  <si>
    <t>COB007</t>
  </si>
  <si>
    <t>COB008</t>
  </si>
  <si>
    <t>COB009</t>
  </si>
  <si>
    <t>COB014</t>
  </si>
  <si>
    <t>COB010</t>
  </si>
  <si>
    <t>COB011</t>
  </si>
  <si>
    <t>COB012</t>
  </si>
  <si>
    <t>COB013</t>
  </si>
  <si>
    <t>COB015</t>
  </si>
  <si>
    <t>COB016</t>
  </si>
  <si>
    <t>COB017</t>
  </si>
  <si>
    <t>9454/</t>
  </si>
  <si>
    <t>148,61,97</t>
  </si>
  <si>
    <t>COB018</t>
  </si>
  <si>
    <t>BOB014</t>
  </si>
  <si>
    <t>BOB015</t>
  </si>
  <si>
    <t>BOB016</t>
  </si>
  <si>
    <t>COB019</t>
  </si>
  <si>
    <t>Nobora Trading Group</t>
  </si>
  <si>
    <t>6539/</t>
  </si>
  <si>
    <t>6553/</t>
  </si>
  <si>
    <t>6572/</t>
  </si>
  <si>
    <t>6573/</t>
  </si>
  <si>
    <t>6585/</t>
  </si>
  <si>
    <t>6632/</t>
  </si>
  <si>
    <t>6609//</t>
  </si>
  <si>
    <t>6608/</t>
  </si>
  <si>
    <t>6631/</t>
  </si>
  <si>
    <t>ECB031/A</t>
  </si>
  <si>
    <t>ECB031/B</t>
  </si>
  <si>
    <t>ECB049</t>
  </si>
  <si>
    <t>ECB050</t>
  </si>
  <si>
    <t>ECB051</t>
  </si>
  <si>
    <t>COB020</t>
  </si>
  <si>
    <t>COB021</t>
  </si>
  <si>
    <t>BOB017</t>
  </si>
  <si>
    <t>BOB018</t>
  </si>
  <si>
    <t>BOB019</t>
  </si>
  <si>
    <t>Chapere</t>
  </si>
  <si>
    <t>CLCE003</t>
  </si>
  <si>
    <t>ECB052</t>
  </si>
  <si>
    <t>ECB053</t>
  </si>
  <si>
    <t>ECB054</t>
  </si>
  <si>
    <t>ECB055</t>
  </si>
  <si>
    <t>ECB056</t>
  </si>
  <si>
    <t>ECB057</t>
  </si>
  <si>
    <t>ECB058</t>
  </si>
  <si>
    <t>ECB059</t>
  </si>
  <si>
    <t>ECB060</t>
  </si>
  <si>
    <t>148.18.43</t>
  </si>
  <si>
    <t>6597/</t>
  </si>
  <si>
    <t>6610//</t>
  </si>
  <si>
    <t>6613/</t>
  </si>
  <si>
    <t>6618/</t>
  </si>
  <si>
    <t>6619/</t>
  </si>
  <si>
    <t>6633/</t>
  </si>
  <si>
    <t>ECE038-A</t>
  </si>
  <si>
    <t>ECE038-B</t>
  </si>
  <si>
    <t>ECA027</t>
  </si>
  <si>
    <t>ECB061</t>
  </si>
  <si>
    <t>ECB062</t>
  </si>
  <si>
    <t>6636/</t>
  </si>
  <si>
    <t>6637/</t>
  </si>
  <si>
    <t>6638/</t>
  </si>
  <si>
    <t>6666/</t>
  </si>
  <si>
    <t>6667/</t>
  </si>
  <si>
    <t>6668//</t>
  </si>
  <si>
    <t>6669//</t>
  </si>
  <si>
    <t>ECB063</t>
  </si>
  <si>
    <t>ECB065</t>
  </si>
  <si>
    <t>ECB066</t>
  </si>
  <si>
    <t>ARL001-26</t>
  </si>
  <si>
    <t>ARP001-26</t>
  </si>
  <si>
    <t>BOB022/26</t>
  </si>
  <si>
    <t>Befrut</t>
  </si>
  <si>
    <t>ESTRACOND S.R.L</t>
  </si>
  <si>
    <t>BOB001-26</t>
  </si>
  <si>
    <t>BOB002-26</t>
  </si>
  <si>
    <t>CEVA</t>
  </si>
  <si>
    <t>Explum</t>
  </si>
  <si>
    <t>6679/</t>
  </si>
  <si>
    <t>6680/</t>
  </si>
  <si>
    <t>6681/</t>
  </si>
  <si>
    <t>6696/</t>
  </si>
  <si>
    <t>6697/</t>
  </si>
  <si>
    <t>MXP009</t>
  </si>
  <si>
    <t>ECB067</t>
  </si>
  <si>
    <t>BOB003-26</t>
  </si>
  <si>
    <t>COB022</t>
  </si>
  <si>
    <t>COB023</t>
  </si>
  <si>
    <t>COB024</t>
  </si>
  <si>
    <t>COB025a</t>
  </si>
  <si>
    <t>151.19.18</t>
  </si>
  <si>
    <t>COB025b</t>
  </si>
  <si>
    <t>151,41,18</t>
  </si>
  <si>
    <t>BOB004-26</t>
  </si>
  <si>
    <t>151,44,49</t>
  </si>
  <si>
    <t>BOB005-26</t>
  </si>
  <si>
    <t>Delifuit</t>
  </si>
  <si>
    <t xml:space="preserve">Sintercargas </t>
  </si>
  <si>
    <t>ECA028</t>
  </si>
  <si>
    <t>ECA029</t>
  </si>
  <si>
    <t>EGP004</t>
  </si>
  <si>
    <t>EGL001</t>
  </si>
  <si>
    <t>GRK001</t>
  </si>
  <si>
    <t>Ananias</t>
  </si>
  <si>
    <t>GRK002</t>
  </si>
  <si>
    <t>Frueat</t>
  </si>
  <si>
    <t>GRK003</t>
  </si>
  <si>
    <t>ECB068</t>
  </si>
  <si>
    <t>ECB069</t>
  </si>
  <si>
    <t>ECB070</t>
  </si>
  <si>
    <t>Sarla Y Ramón</t>
  </si>
  <si>
    <t>Tuli</t>
  </si>
  <si>
    <t>Banaexfrut</t>
  </si>
  <si>
    <t>BOB020</t>
  </si>
  <si>
    <t>BOB021</t>
  </si>
  <si>
    <t>Berfrut</t>
  </si>
  <si>
    <t>1537305.</t>
  </si>
  <si>
    <t>Agricom</t>
  </si>
  <si>
    <t>El Parque</t>
  </si>
  <si>
    <t>BOB006-26</t>
  </si>
  <si>
    <t>West Falia</t>
  </si>
  <si>
    <t>x</t>
  </si>
  <si>
    <t>EGL002</t>
  </si>
  <si>
    <t>EGL003</t>
  </si>
  <si>
    <t>EGN001</t>
  </si>
  <si>
    <t>EGN002</t>
  </si>
  <si>
    <t>ECES001</t>
  </si>
  <si>
    <t>ProAgrotorres</t>
  </si>
  <si>
    <t>Carrasco</t>
  </si>
  <si>
    <t>ECES002</t>
  </si>
  <si>
    <t>EGN001/25</t>
  </si>
  <si>
    <t>GRK004</t>
  </si>
  <si>
    <t>GRK006</t>
  </si>
  <si>
    <t>EGN002/25</t>
  </si>
  <si>
    <t>EGN003</t>
  </si>
  <si>
    <t>GRK001/25</t>
  </si>
  <si>
    <t>BOB022</t>
  </si>
  <si>
    <t>BOB007-26</t>
  </si>
  <si>
    <t>BOB008-26</t>
  </si>
  <si>
    <t>BOB009-26</t>
  </si>
  <si>
    <t>BOB010-26</t>
  </si>
  <si>
    <t>BOB011-26</t>
  </si>
  <si>
    <t>Delifrut</t>
  </si>
  <si>
    <t>BOB012-26</t>
  </si>
  <si>
    <t>Tradex</t>
  </si>
  <si>
    <t>BOB034</t>
  </si>
  <si>
    <t>BOB035</t>
  </si>
  <si>
    <t>BOB025</t>
  </si>
  <si>
    <t>BOB036</t>
  </si>
  <si>
    <t>BOB037</t>
  </si>
  <si>
    <t>Transvictoria</t>
  </si>
  <si>
    <t>BOB038</t>
  </si>
  <si>
    <t>BOB039</t>
  </si>
  <si>
    <t>BOB023</t>
  </si>
  <si>
    <t>BOB024</t>
  </si>
  <si>
    <t>BOB026</t>
  </si>
  <si>
    <t>BOB027</t>
  </si>
  <si>
    <t>BOB028</t>
  </si>
  <si>
    <t>BOB029</t>
  </si>
  <si>
    <t>BOB030</t>
  </si>
  <si>
    <t>BOB031</t>
  </si>
  <si>
    <t>BOB032</t>
  </si>
  <si>
    <t>BOB033</t>
  </si>
  <si>
    <t>BOB040</t>
  </si>
  <si>
    <t>BOB041</t>
  </si>
  <si>
    <t>BOB042</t>
  </si>
  <si>
    <t>BOB043</t>
  </si>
  <si>
    <t>BOB044</t>
  </si>
  <si>
    <t>BOB045</t>
  </si>
  <si>
    <t>BOB013-26</t>
  </si>
  <si>
    <t>BOB014-26</t>
  </si>
  <si>
    <t>29/12/202</t>
  </si>
  <si>
    <t>BOB046</t>
  </si>
  <si>
    <t>BOB015/26</t>
  </si>
  <si>
    <t>BOB016/26</t>
  </si>
  <si>
    <t>BOB017/26</t>
  </si>
  <si>
    <t>BOB018/26</t>
  </si>
  <si>
    <t>BOB019/26</t>
  </si>
  <si>
    <t>BOB020/26</t>
  </si>
  <si>
    <t>CLP029</t>
  </si>
  <si>
    <t>CLP030</t>
  </si>
  <si>
    <t>CLP031</t>
  </si>
  <si>
    <t>CLP032</t>
  </si>
  <si>
    <t>BOB021/26</t>
  </si>
  <si>
    <t>BOB023-26</t>
  </si>
  <si>
    <t>BOB024-26</t>
  </si>
  <si>
    <t>BOB025/26</t>
  </si>
  <si>
    <t>BOB026-26</t>
  </si>
  <si>
    <t>Transur</t>
  </si>
  <si>
    <t>BOB027-26</t>
  </si>
  <si>
    <t>BOB028-26</t>
  </si>
  <si>
    <t>BOB029-26</t>
  </si>
  <si>
    <t>BOB030-26</t>
  </si>
  <si>
    <t>BOB031-26</t>
  </si>
  <si>
    <t>ECA007-26</t>
  </si>
  <si>
    <t>ECA008-26</t>
  </si>
  <si>
    <t>CLA001-26</t>
  </si>
  <si>
    <t>CLA002-26</t>
  </si>
  <si>
    <t>CLP001-26</t>
  </si>
  <si>
    <t>CLP002-26</t>
  </si>
  <si>
    <t>CLP003-26</t>
  </si>
  <si>
    <t>ECA002/26</t>
  </si>
  <si>
    <t>ECA003/26</t>
  </si>
  <si>
    <t>CLP033</t>
  </si>
  <si>
    <t>CLP026</t>
  </si>
  <si>
    <t>CLP027</t>
  </si>
  <si>
    <t>CLP028</t>
  </si>
  <si>
    <t>ECA004/26</t>
  </si>
  <si>
    <t>ECA005-26</t>
  </si>
  <si>
    <t>ECA030</t>
  </si>
  <si>
    <t>ECA031</t>
  </si>
  <si>
    <t>151,87,91</t>
  </si>
  <si>
    <t>ECA032</t>
  </si>
  <si>
    <t>1./1</t>
  </si>
  <si>
    <t>xxxx</t>
  </si>
  <si>
    <t>1./2</t>
  </si>
  <si>
    <t>xxx</t>
  </si>
  <si>
    <t>Fruticola del Sur</t>
  </si>
  <si>
    <t>PEP003</t>
  </si>
  <si>
    <t>PEP004</t>
  </si>
  <si>
    <t>PEP005</t>
  </si>
  <si>
    <t>PEP006</t>
  </si>
  <si>
    <t>PEP007</t>
  </si>
  <si>
    <t>ECES003</t>
  </si>
  <si>
    <t>ProagroTorres</t>
  </si>
  <si>
    <t>Cirex</t>
  </si>
  <si>
    <t>Montevide</t>
  </si>
  <si>
    <t>ECA001/26</t>
  </si>
  <si>
    <t>ECA006-26</t>
  </si>
  <si>
    <t>BOB032-26</t>
  </si>
  <si>
    <t>BOB033/26</t>
  </si>
  <si>
    <t>Surcentral</t>
  </si>
  <si>
    <t>BOB034/26</t>
  </si>
  <si>
    <t>BOB035/26</t>
  </si>
  <si>
    <t>BOB036/26</t>
  </si>
  <si>
    <t>CLK001/26</t>
  </si>
  <si>
    <t>ECB008-26</t>
  </si>
  <si>
    <t>ECB001-26</t>
  </si>
  <si>
    <t>ECB002-26</t>
  </si>
  <si>
    <t>ECB003-26</t>
  </si>
  <si>
    <t>ECB004/26</t>
  </si>
  <si>
    <t>ECB005-26</t>
  </si>
  <si>
    <t>ECB006-26</t>
  </si>
  <si>
    <t>1./4</t>
  </si>
  <si>
    <t>ECB050a</t>
  </si>
  <si>
    <t>ECB050b</t>
  </si>
  <si>
    <t>ECB007-26</t>
  </si>
  <si>
    <t>ECB009-26</t>
  </si>
  <si>
    <t>ECB010-26</t>
  </si>
  <si>
    <t>ECB011/26</t>
  </si>
  <si>
    <t>ECB012-26</t>
  </si>
  <si>
    <t>ECBP001-26</t>
  </si>
  <si>
    <t>ECE001-26</t>
  </si>
  <si>
    <t>ECE002-26</t>
  </si>
  <si>
    <t>ECE003-26</t>
  </si>
  <si>
    <t>CLK002-26</t>
  </si>
  <si>
    <t>BOB037/26</t>
  </si>
  <si>
    <t>BOB039-26</t>
  </si>
  <si>
    <t>BOB040-26</t>
  </si>
  <si>
    <t>BOB041/26</t>
  </si>
  <si>
    <t>CLK003/26</t>
  </si>
  <si>
    <t>CLK004/26</t>
  </si>
  <si>
    <t>BOB042-26</t>
  </si>
  <si>
    <t>BOB043-26</t>
  </si>
  <si>
    <t>CLK005-26</t>
  </si>
  <si>
    <t>BOB044-26</t>
  </si>
  <si>
    <t>BOB045-26</t>
  </si>
  <si>
    <t>BOB046/26</t>
  </si>
  <si>
    <t>BOB047/26</t>
  </si>
  <si>
    <t>CLK006-26</t>
  </si>
  <si>
    <t>CLK007-26</t>
  </si>
  <si>
    <t>Nihuill</t>
  </si>
  <si>
    <t>CLK008-26</t>
  </si>
  <si>
    <t>CLK009-26</t>
  </si>
  <si>
    <t>CLP004-26</t>
  </si>
  <si>
    <t>Comercial Superior</t>
  </si>
  <si>
    <t>CLP005-26</t>
  </si>
  <si>
    <t>ECA011-26</t>
  </si>
  <si>
    <t>ECA009-26</t>
  </si>
  <si>
    <t>ECA010-26</t>
  </si>
  <si>
    <t>ECA012-26</t>
  </si>
  <si>
    <t>ECA013-26</t>
  </si>
  <si>
    <t>ECA014-26</t>
  </si>
  <si>
    <t>ECB013/26</t>
  </si>
  <si>
    <t>ECB014-26</t>
  </si>
  <si>
    <t>ECB015-26</t>
  </si>
  <si>
    <t>ECB016-26</t>
  </si>
  <si>
    <t>ECB017/26</t>
  </si>
  <si>
    <t>ECB018a/26</t>
  </si>
  <si>
    <t>ECB018b/26</t>
  </si>
  <si>
    <t>ECB019/26</t>
  </si>
  <si>
    <t>ECE004-26</t>
  </si>
  <si>
    <t>ECE005-26</t>
  </si>
  <si>
    <t>ECES004</t>
  </si>
  <si>
    <t>Prestinegos</t>
  </si>
  <si>
    <t>ECES005</t>
  </si>
  <si>
    <t>ECE006-26</t>
  </si>
  <si>
    <t>ECI002-26</t>
  </si>
  <si>
    <t>Interbanana</t>
  </si>
  <si>
    <t>ECI003-26</t>
  </si>
  <si>
    <t>ECI004-26</t>
  </si>
  <si>
    <t>ECI005-26</t>
  </si>
  <si>
    <t>ECI001</t>
  </si>
  <si>
    <t>ECI002</t>
  </si>
  <si>
    <t>ECI004</t>
  </si>
  <si>
    <t>ECI003</t>
  </si>
  <si>
    <t>ECI001-26</t>
  </si>
  <si>
    <t>ECI005</t>
  </si>
  <si>
    <t>ECI006</t>
  </si>
  <si>
    <t>ECI007</t>
  </si>
  <si>
    <t>ECI006-26</t>
  </si>
  <si>
    <t>ECI007-26</t>
  </si>
  <si>
    <t>ECI008-26</t>
  </si>
  <si>
    <t>ECI009-26</t>
  </si>
  <si>
    <t>ECB020/26</t>
  </si>
  <si>
    <t>ECB021/26</t>
  </si>
  <si>
    <t>ECB022/26</t>
  </si>
  <si>
    <t>ECB023/26</t>
  </si>
  <si>
    <t>ECB024/26</t>
  </si>
  <si>
    <t>CLP006-26</t>
  </si>
  <si>
    <t>CLP007-26</t>
  </si>
  <si>
    <t>CLP008-26</t>
  </si>
  <si>
    <t>ECA015/26</t>
  </si>
  <si>
    <t>ECA016/26</t>
  </si>
  <si>
    <t>ECB025/26</t>
  </si>
  <si>
    <t>ECB026/26</t>
  </si>
  <si>
    <t>ECBP002-26</t>
  </si>
  <si>
    <t>ECB027/26</t>
  </si>
  <si>
    <t>ECBP003-26</t>
  </si>
  <si>
    <t>ECBP004-26</t>
  </si>
  <si>
    <t>ECI010-26</t>
  </si>
  <si>
    <t>ECI011-26</t>
  </si>
  <si>
    <t>GRK007</t>
  </si>
  <si>
    <t>Gliortofrutti</t>
  </si>
  <si>
    <t>Zeoli</t>
  </si>
  <si>
    <t>GRK008</t>
  </si>
  <si>
    <t>GRK009</t>
  </si>
  <si>
    <t>ECI012-26</t>
  </si>
  <si>
    <t>ECI013-26</t>
  </si>
  <si>
    <t>ECI014-26</t>
  </si>
  <si>
    <t>ECI015/26</t>
  </si>
  <si>
    <t>ECI016/26</t>
  </si>
  <si>
    <t>ECE007-26</t>
  </si>
  <si>
    <t>ECE008-26</t>
  </si>
  <si>
    <t>ECI017/26</t>
  </si>
  <si>
    <t>ECI018-26</t>
  </si>
  <si>
    <t>ECI019-26</t>
  </si>
  <si>
    <t>ECI020-26</t>
  </si>
  <si>
    <t>MXP003-26</t>
  </si>
  <si>
    <t>ECP001-26</t>
  </si>
  <si>
    <t>EGN001-26</t>
  </si>
  <si>
    <t>EGN002-26</t>
  </si>
  <si>
    <t>MXP001-26</t>
  </si>
  <si>
    <t>MXP002-26</t>
  </si>
  <si>
    <t>ECI021-26</t>
  </si>
  <si>
    <t>ECI022-26</t>
  </si>
  <si>
    <t>ECI023-26</t>
  </si>
  <si>
    <t>ECI024/26</t>
  </si>
  <si>
    <t>ECI025/26</t>
  </si>
  <si>
    <t>PEA002-26</t>
  </si>
  <si>
    <t>Exfrusur</t>
  </si>
  <si>
    <t>PEA001-26</t>
  </si>
  <si>
    <t>PEA003-26</t>
  </si>
  <si>
    <t>Green Harvest</t>
  </si>
  <si>
    <t>ECI026/27</t>
  </si>
  <si>
    <t>ECA017/26</t>
  </si>
  <si>
    <t>ECA018/26</t>
  </si>
  <si>
    <t>ECA019/26</t>
  </si>
  <si>
    <t>ECB028/26</t>
  </si>
  <si>
    <t>ECB029/26</t>
  </si>
  <si>
    <t>ECB030/26</t>
  </si>
  <si>
    <t>ECI028/26</t>
  </si>
  <si>
    <t>ECI029/26</t>
  </si>
  <si>
    <t>ECI027/26</t>
  </si>
  <si>
    <t>ECI030/26</t>
  </si>
  <si>
    <t>ECI031/26</t>
  </si>
  <si>
    <t>ECI032/26</t>
  </si>
  <si>
    <t>ECB031/26</t>
  </si>
  <si>
    <t>ECB032/26</t>
  </si>
  <si>
    <t>ECB033/26</t>
  </si>
  <si>
    <t>ECB034/26</t>
  </si>
  <si>
    <t>ECI033/26</t>
  </si>
  <si>
    <t>ECI034/26</t>
  </si>
  <si>
    <t>ECI035/26</t>
  </si>
  <si>
    <t>ECI036/26</t>
  </si>
  <si>
    <t>ECI037/26</t>
  </si>
  <si>
    <t>ECI038/26</t>
  </si>
  <si>
    <t>ESC002/26</t>
  </si>
  <si>
    <t>MXP004/26</t>
  </si>
  <si>
    <t>MXP005/26</t>
  </si>
  <si>
    <t>MXP006/26</t>
  </si>
  <si>
    <t>MXP007/26</t>
  </si>
  <si>
    <t>ESC001/26</t>
  </si>
  <si>
    <t>CIREX</t>
  </si>
  <si>
    <t>PEA004-26</t>
  </si>
  <si>
    <t>PEA005-26</t>
  </si>
  <si>
    <t>PEA006-26</t>
  </si>
  <si>
    <t>PEA007-26</t>
  </si>
  <si>
    <t>Camposol</t>
  </si>
  <si>
    <t>PEA008-26</t>
  </si>
  <si>
    <t>PEA009-26</t>
  </si>
  <si>
    <t>PEA010-26</t>
  </si>
  <si>
    <t>PEP001-26</t>
  </si>
  <si>
    <t>Tambo Sur</t>
  </si>
  <si>
    <t>PEP008</t>
  </si>
  <si>
    <t>PEP009</t>
  </si>
  <si>
    <t>PEP010</t>
  </si>
  <si>
    <t>Prize</t>
  </si>
  <si>
    <t>Padword</t>
  </si>
  <si>
    <t>129975/131625</t>
  </si>
  <si>
    <t>143622/144224</t>
  </si>
  <si>
    <t>PEA010</t>
  </si>
  <si>
    <t>PEA011</t>
  </si>
  <si>
    <t>6698/</t>
  </si>
  <si>
    <t>ECE099</t>
  </si>
  <si>
    <t>6699/</t>
  </si>
  <si>
    <t>ECE100</t>
  </si>
  <si>
    <t>6706/</t>
  </si>
  <si>
    <t>ECE101</t>
  </si>
  <si>
    <t>6714/</t>
  </si>
  <si>
    <t>ECE102</t>
  </si>
  <si>
    <t>6747/</t>
  </si>
  <si>
    <t>ECE104</t>
  </si>
  <si>
    <t>6746/</t>
  </si>
  <si>
    <t>ECE105</t>
  </si>
  <si>
    <t>6748/</t>
  </si>
  <si>
    <t>ECE106</t>
  </si>
  <si>
    <t>6757/</t>
  </si>
  <si>
    <t>ECE107</t>
  </si>
  <si>
    <t>6758/</t>
  </si>
  <si>
    <t>ECE108</t>
  </si>
  <si>
    <t>6759/</t>
  </si>
  <si>
    <t>ECE109</t>
  </si>
  <si>
    <t>6771/</t>
  </si>
  <si>
    <t>ECE110</t>
  </si>
  <si>
    <t>6783//</t>
  </si>
  <si>
    <t>ECE111</t>
  </si>
  <si>
    <t>6813/</t>
  </si>
  <si>
    <t>ECE112</t>
  </si>
  <si>
    <t>6815/</t>
  </si>
  <si>
    <t>ECE113</t>
  </si>
  <si>
    <t>6814/</t>
  </si>
  <si>
    <t>ECE114</t>
  </si>
  <si>
    <t>003-001-057</t>
  </si>
  <si>
    <t>ECM006</t>
  </si>
  <si>
    <t>003-001-066</t>
  </si>
  <si>
    <t>ECM007</t>
  </si>
  <si>
    <t>003-001-075/</t>
  </si>
  <si>
    <t>ECM008</t>
  </si>
  <si>
    <t>003-001-087/</t>
  </si>
  <si>
    <t>ECM009</t>
  </si>
  <si>
    <t>003-001-098/</t>
  </si>
  <si>
    <t>ECM010</t>
  </si>
  <si>
    <t>003-001-1198</t>
  </si>
  <si>
    <t>ECM011</t>
  </si>
  <si>
    <t>003-001-0137</t>
  </si>
  <si>
    <t>ECM012</t>
  </si>
  <si>
    <t>003-001-00166</t>
  </si>
  <si>
    <t>ECM013</t>
  </si>
  <si>
    <t>86170/</t>
  </si>
  <si>
    <t>86407/</t>
  </si>
  <si>
    <t>86724/</t>
  </si>
  <si>
    <t>87041/</t>
  </si>
  <si>
    <t>87418/</t>
  </si>
  <si>
    <t>87699/</t>
  </si>
  <si>
    <t>87911/</t>
  </si>
  <si>
    <t>88475/</t>
  </si>
  <si>
    <t>88788</t>
  </si>
  <si>
    <t>89011</t>
  </si>
  <si>
    <t>89263/</t>
  </si>
  <si>
    <t>92242/</t>
  </si>
  <si>
    <t>93106/</t>
  </si>
  <si>
    <t>93264/</t>
  </si>
  <si>
    <t>31102350/</t>
  </si>
  <si>
    <t>94385/</t>
  </si>
  <si>
    <t>94853/</t>
  </si>
  <si>
    <t>94854/</t>
  </si>
  <si>
    <t>MXP017</t>
  </si>
  <si>
    <t>95047/</t>
  </si>
  <si>
    <t>MXP018</t>
  </si>
  <si>
    <t>95048/</t>
  </si>
  <si>
    <t>MXP019</t>
  </si>
  <si>
    <t>95301/</t>
  </si>
  <si>
    <t>MXP020</t>
  </si>
  <si>
    <t>31102452/</t>
  </si>
  <si>
    <t>31102477/</t>
  </si>
  <si>
    <t>EGP005</t>
  </si>
  <si>
    <t>FT3/133</t>
  </si>
  <si>
    <t>FT3/147</t>
  </si>
  <si>
    <t>FT3/153</t>
  </si>
  <si>
    <t>Jolly</t>
  </si>
  <si>
    <t>95259/</t>
  </si>
  <si>
    <t>MXP021</t>
  </si>
  <si>
    <t>E001-171</t>
  </si>
  <si>
    <t>E001-168</t>
  </si>
  <si>
    <t>F10000009205/</t>
  </si>
  <si>
    <t>F100 00009273</t>
  </si>
  <si>
    <t>E001-199/</t>
  </si>
  <si>
    <t>F100 00009508/</t>
  </si>
  <si>
    <t>F100 00009642/</t>
  </si>
  <si>
    <t>FT3/2</t>
  </si>
  <si>
    <t>FT3/15</t>
  </si>
  <si>
    <t>F100 00009898/</t>
  </si>
  <si>
    <t>76548/</t>
  </si>
  <si>
    <t>E001-277</t>
  </si>
  <si>
    <t>6827/</t>
  </si>
  <si>
    <t>ECE115</t>
  </si>
  <si>
    <t>6826/</t>
  </si>
  <si>
    <t>ECE116</t>
  </si>
  <si>
    <t>2011614/</t>
  </si>
  <si>
    <t>31100007/</t>
  </si>
  <si>
    <t>31100072/</t>
  </si>
  <si>
    <t>31100162/</t>
  </si>
  <si>
    <t>31100297/</t>
  </si>
  <si>
    <t>FN23/0062</t>
  </si>
  <si>
    <t>29/FC21</t>
  </si>
  <si>
    <t>8/8/</t>
  </si>
  <si>
    <t>25/8/</t>
  </si>
  <si>
    <t>63/8</t>
  </si>
  <si>
    <t>697/8</t>
  </si>
  <si>
    <t>108A/</t>
  </si>
  <si>
    <t>916/8</t>
  </si>
  <si>
    <t>122/A</t>
  </si>
  <si>
    <t>FT2/695</t>
  </si>
  <si>
    <t>1116/8</t>
  </si>
  <si>
    <t>69V122-00152/</t>
  </si>
  <si>
    <t>82834/</t>
  </si>
  <si>
    <t>84236/</t>
  </si>
  <si>
    <t>84462/</t>
  </si>
  <si>
    <t>F100 00006771</t>
  </si>
  <si>
    <t>F100 00006930</t>
  </si>
  <si>
    <t>F100 00007063</t>
  </si>
  <si>
    <t>F100 00007210</t>
  </si>
  <si>
    <t>F100 - 00007347</t>
  </si>
  <si>
    <t>F100 00007478</t>
  </si>
  <si>
    <t>F100 00007744</t>
  </si>
  <si>
    <t>F100 00007877</t>
  </si>
  <si>
    <t>F100 00008043</t>
  </si>
  <si>
    <t>F100 00008220</t>
  </si>
  <si>
    <t>F100 0000 4823</t>
  </si>
  <si>
    <t>F100 00004607/</t>
  </si>
  <si>
    <t>F100 00005013/</t>
  </si>
  <si>
    <t>F100 00005164/</t>
  </si>
  <si>
    <t>F100 00005380</t>
  </si>
  <si>
    <t>F100 00005455</t>
  </si>
  <si>
    <t>F100 00005815</t>
  </si>
  <si>
    <t>F100 00005896</t>
  </si>
  <si>
    <t>F100 00006157</t>
  </si>
  <si>
    <t>PEP011</t>
  </si>
  <si>
    <t>F100 00006395/</t>
  </si>
  <si>
    <t>PEP012</t>
  </si>
  <si>
    <t>F100 00006551</t>
  </si>
  <si>
    <t>PEP013</t>
  </si>
  <si>
    <t>PEE002</t>
  </si>
  <si>
    <t>BerryCO</t>
  </si>
  <si>
    <t>177/20</t>
  </si>
  <si>
    <t>x4</t>
  </si>
  <si>
    <t>Listas para validación de datos</t>
  </si>
  <si>
    <t>Transporte</t>
  </si>
  <si>
    <t>Cajas x Viaje</t>
  </si>
  <si>
    <t>Fronteras</t>
  </si>
  <si>
    <t>Iniciales</t>
  </si>
  <si>
    <t>Carrusel</t>
  </si>
  <si>
    <t>Manzana</t>
  </si>
  <si>
    <t>Mz</t>
  </si>
  <si>
    <t>Confirmado</t>
  </si>
  <si>
    <t>Pa</t>
  </si>
  <si>
    <t>Ba</t>
  </si>
  <si>
    <t>Cr</t>
  </si>
  <si>
    <t>Cordoba</t>
  </si>
  <si>
    <t>Kw</t>
  </si>
  <si>
    <t>Pl</t>
  </si>
  <si>
    <t>Cigliuti</t>
  </si>
  <si>
    <t>CB</t>
  </si>
  <si>
    <t>Decre</t>
  </si>
  <si>
    <t>Pera</t>
  </si>
  <si>
    <t>Pr</t>
  </si>
  <si>
    <t>Bo</t>
  </si>
  <si>
    <t>Arribado</t>
  </si>
  <si>
    <t>Allen</t>
  </si>
  <si>
    <t>Lm</t>
  </si>
  <si>
    <t>Puerto</t>
  </si>
  <si>
    <t>CSAV</t>
  </si>
  <si>
    <t>Varios</t>
  </si>
  <si>
    <t>Vr</t>
  </si>
  <si>
    <t>Mar</t>
  </si>
  <si>
    <t>Nj</t>
  </si>
  <si>
    <t>Tierra</t>
  </si>
  <si>
    <t>Pm</t>
  </si>
  <si>
    <t>Aeropuerto</t>
  </si>
  <si>
    <t>Arcadian ltda</t>
  </si>
  <si>
    <t>TCP</t>
  </si>
  <si>
    <t>Zn</t>
  </si>
  <si>
    <t>Es</t>
  </si>
  <si>
    <t>U-Log</t>
  </si>
  <si>
    <t>Los Primos</t>
  </si>
  <si>
    <t>Pn</t>
  </si>
  <si>
    <t>Montecon</t>
  </si>
  <si>
    <t>Lobraus</t>
  </si>
  <si>
    <t>Dervalix</t>
  </si>
  <si>
    <t>Villavicencio</t>
  </si>
  <si>
    <t>Joanico</t>
  </si>
  <si>
    <t>1 Sarla / 1 Nihuil</t>
  </si>
  <si>
    <t>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</si>
</sst>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#,##0;[Red]#,##0"/>
    <numFmt numFmtId="167" formatCode="d/m/yy;@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8"/>
      <color theme="3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4"/>
      <name val="Arial"/>
      <family val="2"/>
    </font>
    <font>
      <i/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0" fontId="9" fillId="0" borderId="0"/>
    <xf numFmtId="0" fontId="3" fillId="0" borderId="0">
      <alignment vertical="top"/>
      <protection locked="0"/>
    </xf>
    <xf numFmtId="164" fontId="2" fillId="0" borderId="0"/>
  </cellStyleXfs>
  <cellXfs count="144">
    <xf numFmtId="0" applyNumberFormat="1" fontId="0" applyFont="1" fillId="0" applyFill="1" borderId="0" applyBorder="1" xfId="0" applyProtection="1"/>
    <xf numFmtId="0" applyNumberFormat="1" fontId="9" applyFont="1" fillId="0" applyFill="1" borderId="0" applyBorder="1" xfId="1" applyProtection="1"/>
    <xf numFmtId="0" applyNumberFormat="1" fontId="3" applyFont="1" fillId="0" applyFill="1" borderId="0" applyBorder="1" xfId="2" applyAlignment="1">
      <alignment vertical="top"/>
      <protection locked="0"/>
    </xf>
    <xf numFmtId="164" applyNumberFormat="1" fontId="2" applyFont="1" fillId="0" applyFill="1" borderId="0" applyBorder="1" xfId="3" applyProtection="1"/>
    <xf numFmtId="0" applyNumberFormat="1" fontId="3" applyFont="1" fillId="0" applyFill="1" borderId="0" applyBorder="1" xfId="2" applyProtection="1"/>
    <xf numFmtId="0" applyNumberFormat="1" fontId="0" applyFont="1" fillId="0" applyFill="1" borderId="1" applyBorder="1" xfId="0" applyProtection="1"/>
    <xf numFmtId="0" applyNumberFormat="1" fontId="4" applyFont="1" fillId="0" applyFill="1" borderId="3" applyBorder="1" xfId="0" applyProtection="1" applyAlignment="1">
      <alignment horizontal="left"/>
    </xf>
    <xf numFmtId="165" applyNumberFormat="1" fontId="4" applyFont="1" fillId="0" applyFill="1" borderId="3" applyBorder="1" xfId="3" applyProtection="1" applyAlignment="1">
      <alignment horizontal="left"/>
    </xf>
    <xf numFmtId="165" applyNumberFormat="1" fontId="4" applyFont="1" fillId="0" applyFill="1" borderId="2" applyBorder="1" xfId="3" applyProtection="1" applyAlignment="1">
      <alignment horizontal="left"/>
    </xf>
    <xf numFmtId="49" applyNumberFormat="1" fontId="4" applyFont="1" fillId="0" applyFill="1" borderId="3" applyBorder="1" xfId="0" applyProtection="1" applyAlignment="1">
      <alignment horizontal="center"/>
    </xf>
    <xf numFmtId="0" applyNumberFormat="1" fontId="0" applyFont="1" fillId="0" applyFill="1" borderId="7" applyBorder="1" xfId="0" applyProtection="1"/>
    <xf numFmtId="0" applyNumberFormat="1" fontId="0" applyFont="1" fillId="0" applyFill="1" borderId="7" applyBorder="1" xfId="0" applyProtection="1" applyAlignment="1">
      <alignment horizontal="left"/>
    </xf>
    <xf numFmtId="0" applyNumberFormat="1" fontId="0" applyFont="1" fillId="0" applyFill="1" borderId="8" applyBorder="1" xfId="0" applyProtection="1" applyAlignment="1">
      <alignment horizontal="left"/>
    </xf>
    <xf numFmtId="0" applyNumberFormat="1" fontId="0" applyFont="1" fillId="0" applyFill="1" borderId="8" applyBorder="1" xfId="0" applyProtection="1"/>
    <xf numFmtId="0" applyNumberFormat="1" fontId="10" applyFont="1" fillId="0" applyFill="1" borderId="0" applyBorder="1" xfId="0" applyProtection="1"/>
    <xf numFmtId="0" applyNumberFormat="1" fontId="0" applyFont="1" fillId="0" applyFill="1" borderId="7" applyBorder="1" xfId="0" applyProtection="1" applyAlignment="1">
      <alignment horizontal="center"/>
    </xf>
    <xf numFmtId="0" applyNumberFormat="1" fontId="0" applyFont="1" fillId="0" applyFill="1" borderId="8" applyBorder="1" xfId="0" applyProtection="1" applyAlignment="1">
      <alignment horizontal="center"/>
    </xf>
    <xf numFmtId="166" applyNumberFormat="1" fontId="4" applyFont="1" fillId="0" applyFill="1" borderId="2" applyBorder="1" xfId="3" applyProtection="1" applyAlignment="1">
      <alignment horizontal="right"/>
    </xf>
    <xf numFmtId="0" applyNumberFormat="1" fontId="0" applyFont="1" fillId="0" applyFill="1" borderId="9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6" applyFont="1" fillId="3" applyFill="1" borderId="10" applyBorder="1" xfId="0" applyProtection="1" applyAlignment="1">
      <alignment horizontal="center"/>
    </xf>
    <xf numFmtId="0" applyNumberFormat="1" fontId="7" applyFont="1" fillId="3" applyFill="1" borderId="10" applyBorder="1" xfId="0" applyProtection="1" applyAlignment="1">
      <alignment horizontal="center"/>
    </xf>
    <xf numFmtId="0" applyNumberFormat="1" fontId="0" applyFont="1" fillId="2" applyFill="1" borderId="12" applyBorder="1" xfId="0" applyProtection="1"/>
    <xf numFmtId="0" applyNumberFormat="1" fontId="0" applyFont="1" fillId="2" applyFill="1" borderId="13" applyBorder="1" xfId="0" applyProtection="1"/>
    <xf numFmtId="0" applyNumberFormat="1" fontId="0" applyFont="1" fillId="2" applyFill="1" borderId="11" applyBorder="1" xfId="0" applyProtection="1"/>
    <xf numFmtId="0" applyNumberFormat="1" fontId="0" applyFont="1" fillId="0" applyFill="1" borderId="14" applyBorder="1" xfId="0" applyProtection="1"/>
    <xf numFmtId="0" applyNumberFormat="1" fontId="0" applyFont="1" fillId="0" applyFill="1" borderId="12" applyBorder="1" xfId="0" applyProtection="1"/>
    <xf numFmtId="0" applyNumberFormat="1" fontId="0" applyFont="1" fillId="0" applyFill="1" borderId="14" applyBorder="1" xfId="0" applyProtection="1" applyAlignment="1">
      <alignment horizontal="center"/>
    </xf>
    <xf numFmtId="0" applyNumberFormat="1" fontId="11" applyFont="1" fillId="0" applyFill="1" borderId="0" applyBorder="1" xfId="2" applyProtection="1"/>
    <xf numFmtId="0" applyNumberFormat="1" fontId="0" applyFont="1" fillId="0" applyFill="1" borderId="9" applyBorder="1" xfId="0" applyProtection="1"/>
    <xf numFmtId="0" applyNumberFormat="1" fontId="13" applyFont="1" fillId="2" applyFill="1" borderId="5" applyBorder="1" xfId="0" applyAlignment="1">
      <alignment vertical="center"/>
      <protection locked="0"/>
    </xf>
    <xf numFmtId="0" applyNumberFormat="1" fontId="16" applyFont="1" fillId="0" applyFill="1" borderId="0" applyBorder="1" xfId="0" applyProtection="1"/>
    <xf numFmtId="0" applyNumberFormat="1" fontId="16" applyFont="1" fillId="2" applyFill="1" borderId="5" applyBorder="1" xfId="0" applyAlignment="1">
      <alignment vertical="center"/>
      <protection locked="0"/>
    </xf>
    <xf numFmtId="0" applyNumberFormat="1" fontId="4" applyFont="1" fillId="0" applyFill="1" borderId="3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8" applyFont="1" fillId="0" applyFill="1" borderId="0" applyBorder="1" xfId="0" applyProtection="1"/>
    <xf numFmtId="0" applyNumberFormat="1" fontId="13" applyFont="1" fillId="0" applyFill="1" borderId="6" applyBorder="1" xfId="0" applyAlignment="1">
      <alignment vertical="center"/>
      <protection locked="0"/>
    </xf>
    <xf numFmtId="0" applyNumberFormat="1" fontId="13" applyFont="1" fillId="0" applyFill="1" borderId="4" applyBorder="1" xfId="0" applyProtection="1" applyAlignment="1">
      <alignment vertical="center"/>
    </xf>
    <xf numFmtId="16" applyNumberFormat="1" fontId="13" applyFont="1" fillId="0" applyFill="1" borderId="4" applyBorder="1" xfId="0" applyProtection="1" applyAlignment="1">
      <alignment vertical="center"/>
    </xf>
    <xf numFmtId="0" applyNumberFormat="1" fontId="16" applyFont="1" fillId="0" applyFill="1" borderId="4" applyBorder="1" xfId="0" applyProtection="1" applyAlignment="1">
      <alignment vertical="center"/>
    </xf>
    <xf numFmtId="16" applyNumberFormat="1" fontId="16" applyFont="1" fillId="0" applyFill="1" borderId="4" applyBorder="1" xfId="0" applyProtection="1" applyAlignment="1">
      <alignment vertical="center"/>
    </xf>
    <xf numFmtId="16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/>
    </xf>
    <xf numFmtId="0" applyNumberFormat="1" fontId="13" applyFont="1" fillId="0" applyFill="1" borderId="4" applyBorder="1" xfId="0" applyProtection="1" applyAlignment="1">
      <alignment horizontal="left" vertical="center"/>
    </xf>
    <xf numFmtId="0" applyNumberFormat="1" fontId="16" applyFont="1" fillId="0" applyFill="1" borderId="4" applyBorder="1" xfId="0" applyProtection="1" applyAlignment="1">
      <alignment horizontal="left" vertical="center"/>
    </xf>
    <xf numFmtId="0" applyNumberFormat="1" fontId="4" applyFont="1" fillId="0" applyFill="1" borderId="3" applyBorder="1" xfId="0" applyProtection="1" applyAlignment="1">
      <alignment horizontal="center" wrapText="1"/>
    </xf>
    <xf numFmtId="0" applyNumberFormat="1" fontId="0" applyFont="1" fillId="0" applyFill="1" borderId="12" applyBorder="1" xfId="0" applyProtection="1" applyAlignment="1">
      <alignment horizontal="center"/>
    </xf>
    <xf numFmtId="0" applyNumberFormat="1" fontId="0" applyFont="1" fillId="0" applyFill="1" borderId="1" applyBorder="1" xfId="0" applyProtection="1" applyAlignment="1">
      <alignment horizontal="center"/>
    </xf>
    <xf numFmtId="16" applyNumberFormat="1" fontId="16" applyFont="1" fillId="0" applyFill="1" borderId="4" applyBorder="1" xfId="0" applyAlignment="1">
      <alignment horizontal="center" vertical="center"/>
      <protection locked="0"/>
    </xf>
    <xf numFmtId="16" applyNumberFormat="1" fontId="13" applyFont="1" fillId="0" applyFill="1" borderId="4" applyBorder="1" xfId="0" applyAlignment="1">
      <alignment horizontal="center" vertical="center"/>
      <protection locked="0"/>
    </xf>
    <xf numFmtId="0" applyNumberFormat="1" fontId="13" applyFont="1" fillId="0" applyFill="1" borderId="4" applyBorder="1" xfId="0" applyAlignment="1">
      <alignment horizontal="center" vertical="center"/>
      <protection locked="0"/>
    </xf>
    <xf numFmtId="1" applyNumberFormat="1" fontId="17" applyFont="1" fillId="0" applyFill="1" borderId="4" applyBorder="1" xfId="0" applyProtection="1" applyAlignment="1">
      <alignment horizontal="center" vertical="center"/>
    </xf>
    <xf numFmtId="1" applyNumberFormat="1" fontId="14" applyFont="1" fillId="0" applyFill="1" borderId="4" applyBorder="1" xfId="0" applyProtection="1" applyAlignment="1">
      <alignment horizontal="center" vertical="center"/>
    </xf>
    <xf numFmtId="16" applyNumberFormat="1" fontId="15" applyFont="1" fillId="0" applyFill="1" borderId="12" applyBorder="1" xfId="1" applyAlignment="1">
      <alignment horizontal="center" vertical="center"/>
      <protection locked="0"/>
    </xf>
    <xf numFmtId="16" applyNumberFormat="1" fontId="12" applyFont="1" fillId="0" applyFill="1" borderId="12" applyBorder="1" xfId="1" applyAlignment="1">
      <alignment horizontal="center" vertical="center"/>
      <protection locked="0"/>
    </xf>
    <xf numFmtId="16" applyNumberFormat="1" fontId="16" applyFont="1" fillId="2" applyFill="1" borderId="4" applyBorder="1" xfId="0" applyAlignment="1">
      <alignment horizontal="center" vertical="center"/>
      <protection locked="0"/>
    </xf>
    <xf numFmtId="16" applyNumberFormat="1" fontId="13" applyFont="1" fillId="2" applyFill="1" borderId="4" applyBorder="1" xfId="0" applyAlignment="1">
      <alignment horizontal="center" vertical="center"/>
      <protection locked="0"/>
    </xf>
    <xf numFmtId="0" applyNumberFormat="1" fontId="0" applyFont="1" fillId="0" applyFill="1" borderId="9" applyBorder="1" xfId="0" applyProtection="1" applyAlignment="1">
      <alignment horizontal="center"/>
    </xf>
    <xf numFmtId="0" applyNumberFormat="1" fontId="13" applyFont="1" fillId="2" applyFill="1" borderId="4" applyBorder="1" xfId="0" applyAlignment="1">
      <alignment horizontal="center" vertical="center"/>
      <protection locked="0"/>
    </xf>
    <xf numFmtId="0" applyNumberFormat="1" fontId="16" applyFont="1" fillId="2" applyFill="1" borderId="4" applyBorder="1" xfId="0" applyAlignment="1">
      <alignment horizontal="center" vertical="center"/>
      <protection locked="0"/>
    </xf>
    <xf numFmtId="14" applyNumberFormat="1" fontId="0" applyFont="1" fillId="0" applyFill="1" borderId="0" applyBorder="1" xfId="0" applyProtection="1"/>
    <xf numFmtId="14" applyNumberFormat="1" fontId="10" applyFont="1" fillId="0" applyFill="1" borderId="0" applyBorder="1" xfId="0" applyProtection="1"/>
    <xf numFmtId="14" applyNumberFormat="1" fontId="6" applyFont="1" fillId="3" applyFill="1" borderId="15" applyBorder="1" xfId="0" applyProtection="1" applyAlignment="1">
      <alignment horizontal="center"/>
    </xf>
    <xf numFmtId="14" applyNumberFormat="1" fontId="4" applyFont="1" fillId="0" applyFill="1" borderId="3" applyBorder="1" xfId="0" applyProtection="1" applyAlignment="1">
      <alignment horizontal="center"/>
    </xf>
    <xf numFmtId="0" applyNumberFormat="1" fontId="13" applyFont="1" fillId="0" applyFill="1" borderId="4" applyBorder="1" xfId="0" applyAlignment="1">
      <alignment vertical="center"/>
      <protection locked="0"/>
    </xf>
    <xf numFmtId="16" applyNumberFormat="1" fontId="13" applyFont="1" fillId="0" applyFill="1" borderId="4" applyBorder="1" xfId="0" applyAlignment="1">
      <alignment vertical="center" wrapText="1"/>
      <protection locked="0"/>
    </xf>
    <xf numFmtId="167" applyNumberFormat="1" fontId="0" applyFont="1" fillId="0" applyFill="1" borderId="0" applyBorder="1" xfId="0" applyProtection="1"/>
    <xf numFmtId="167" applyNumberFormat="1" fontId="0" applyFont="1" fillId="0" applyFill="1" borderId="0" applyBorder="1" xfId="0" applyProtection="1" applyAlignment="1">
      <alignment vertical="center"/>
    </xf>
    <xf numFmtId="0" applyNumberFormat="1" fontId="11" applyFont="1" fillId="0" applyFill="1" borderId="0" applyBorder="1" xfId="2" applyProtection="1"/>
    <xf numFmtId="0" applyNumberFormat="1" fontId="18" applyFont="1" fillId="0" applyFill="1" borderId="0" applyBorder="1" xfId="2" applyProtection="1"/>
    <xf numFmtId="0" applyNumberFormat="1" fontId="16" applyFont="1" fillId="0" applyFill="1" borderId="3" applyBorder="1" xfId="0" applyProtection="1" applyAlignment="1">
      <alignment horizontal="right" vertical="center" wrapText="1"/>
    </xf>
    <xf numFmtId="14" applyNumberFormat="1" fontId="19" applyFont="1" fillId="0" applyFill="1" borderId="3" applyBorder="1" xfId="0" applyProtection="1" applyAlignment="1">
      <alignment horizontal="center"/>
    </xf>
    <xf numFmtId="1" applyNumberFormat="1" fontId="19" applyFont="1" fillId="0" applyFill="1" borderId="3" applyBorder="1" xfId="0" applyProtection="1" applyAlignment="1">
      <alignment horizontal="center"/>
    </xf>
    <xf numFmtId="0" applyNumberFormat="1" fontId="19" applyFont="1" fillId="0" applyFill="1" borderId="3" applyBorder="1" xfId="0" applyProtection="1" applyAlignment="1">
      <alignment horizontal="left"/>
    </xf>
    <xf numFmtId="165" applyNumberFormat="1" fontId="19" applyFont="1" fillId="0" applyFill="1" borderId="3" applyBorder="1" xfId="3" applyProtection="1" applyAlignment="1">
      <alignment horizontal="left"/>
    </xf>
    <xf numFmtId="165" applyNumberFormat="1" fontId="19" applyFont="1" fillId="0" applyFill="1" borderId="2" applyBorder="1" xfId="3" applyProtection="1" applyAlignment="1">
      <alignment horizontal="left"/>
    </xf>
    <xf numFmtId="166" applyNumberFormat="1" fontId="19" applyFont="1" fillId="0" applyFill="1" borderId="2" applyBorder="1" xfId="3" applyProtection="1" applyAlignment="1">
      <alignment horizontal="right"/>
    </xf>
    <xf numFmtId="0" applyNumberFormat="1" fontId="19" applyFont="1" fillId="0" applyFill="1" borderId="3" applyBorder="1" xfId="0" applyProtection="1" applyAlignment="1">
      <alignment horizontal="center"/>
    </xf>
    <xf numFmtId="16" applyNumberFormat="1" fontId="16" applyFont="1" fillId="0" applyFill="1" borderId="0" applyBorder="1" xfId="0" applyProtection="1"/>
    <xf numFmtId="14" applyNumberFormat="1" fontId="20" applyFont="1" fillId="0" applyFill="1" borderId="3" applyBorder="1" xfId="0" applyProtection="1" applyAlignment="1">
      <alignment horizontal="center"/>
    </xf>
    <xf numFmtId="1" applyNumberFormat="1" fontId="20" applyFont="1" fillId="0" applyFill="1" borderId="3" applyBorder="1" xfId="0" applyProtection="1" applyAlignment="1">
      <alignment horizontal="center"/>
    </xf>
    <xf numFmtId="0" applyNumberFormat="1" fontId="20" applyFont="1" fillId="0" applyFill="1" borderId="3" applyBorder="1" xfId="0" applyProtection="1" applyAlignment="1">
      <alignment horizontal="left"/>
    </xf>
    <xf numFmtId="165" applyNumberFormat="1" fontId="20" applyFont="1" fillId="0" applyFill="1" borderId="3" applyBorder="1" xfId="3" applyProtection="1" applyAlignment="1">
      <alignment horizontal="left"/>
    </xf>
    <xf numFmtId="165" applyNumberFormat="1" fontId="20" applyFont="1" fillId="0" applyFill="1" borderId="2" applyBorder="1" xfId="3" applyProtection="1" applyAlignment="1">
      <alignment horizontal="left"/>
    </xf>
    <xf numFmtId="166" applyNumberFormat="1" fontId="20" applyFont="1" fillId="0" applyFill="1" borderId="2" applyBorder="1" xfId="3" applyProtection="1" applyAlignment="1">
      <alignment horizontal="right"/>
    </xf>
    <xf numFmtId="0" applyNumberFormat="1" fontId="20" applyFont="1" fillId="0" applyFill="1" borderId="3" applyBorder="1" xfId="0" applyProtection="1" applyAlignment="1">
      <alignment horizontal="center"/>
    </xf>
    <xf numFmtId="0" applyNumberFormat="1" fontId="13" applyFont="1" fillId="2" applyFill="1" borderId="5" applyBorder="1" xfId="0" applyAlignment="1">
      <alignment horizontal="center" vertical="center"/>
      <protection locked="0"/>
    </xf>
    <xf numFmtId="0" applyNumberFormat="1" fontId="0" applyFont="1" fillId="0" applyFill="1" borderId="16" applyBorder="1" xfId="0" applyProtection="1"/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3" applyBorder="1" xfId="0" applyProtection="1"/>
    <xf numFmtId="0" applyNumberFormat="1" fontId="13" applyFont="1" fillId="0" applyFill="1" borderId="17" applyBorder="1" xfId="0" applyAlignment="1">
      <alignment horizontal="center" vertical="center"/>
      <protection locked="0"/>
    </xf>
    <xf numFmtId="0" applyNumberFormat="1" fontId="13" applyFont="1" fillId="0" applyFill="1" borderId="21" applyBorder="1" xfId="0" applyAlignment="1">
      <alignment vertical="center"/>
      <protection locked="0"/>
    </xf>
    <xf numFmtId="0" applyNumberFormat="1" fontId="13" applyFont="1" fillId="2" applyFill="1" borderId="22" applyBorder="1" xfId="0" applyAlignment="1">
      <alignment vertical="center"/>
      <protection locked="0"/>
    </xf>
    <xf numFmtId="0" applyNumberFormat="1" fontId="13" applyFont="1" fillId="2" applyFill="1" borderId="17" applyBorder="1" xfId="0" applyAlignment="1">
      <alignment horizontal="center" vertical="center"/>
      <protection locked="0"/>
    </xf>
    <xf numFmtId="16" applyNumberFormat="1" fontId="13" applyFont="1" fillId="2" applyFill="1" borderId="17" applyBorder="1" xfId="0" applyAlignment="1">
      <alignment horizontal="center" vertical="center"/>
      <protection locked="0"/>
    </xf>
    <xf numFmtId="0" applyNumberFormat="1" fontId="13" applyFont="1" fillId="0" applyFill="1" borderId="17" applyBorder="1" xfId="0" applyProtection="1" applyAlignment="1">
      <alignment vertical="center"/>
    </xf>
    <xf numFmtId="0" applyNumberFormat="1" fontId="13" applyFont="1" fillId="0" applyFill="1" borderId="17" applyBorder="1" xfId="0" applyProtection="1" applyAlignment="1">
      <alignment horizontal="left" vertical="center"/>
    </xf>
    <xf numFmtId="16" applyNumberFormat="1" fontId="13" applyFont="1" fillId="0" applyFill="1" borderId="17" applyBorder="1" xfId="0" applyAlignment="1">
      <alignment horizontal="center" vertical="center"/>
      <protection locked="0"/>
    </xf>
    <xf numFmtId="16" applyNumberFormat="1" fontId="13" applyFont="1" fillId="0" applyFill="1" borderId="17" applyBorder="1" xfId="0" applyProtection="1" applyAlignment="1">
      <alignment vertical="center"/>
    </xf>
    <xf numFmtId="16" applyNumberFormat="1" fontId="12" applyFont="1" fillId="0" applyFill="1" borderId="23" applyBorder="1" xfId="1" applyAlignment="1">
      <alignment horizontal="center" vertical="center"/>
      <protection locked="0"/>
    </xf>
    <xf numFmtId="0" applyNumberFormat="1" fontId="13" applyFont="1" fillId="0" applyFill="1" borderId="17" applyBorder="1" xfId="0" applyAlignment="1">
      <alignment vertical="center"/>
      <protection locked="0"/>
    </xf>
    <xf numFmtId="16" applyNumberFormat="1" fontId="13" applyFont="1" fillId="0" applyFill="1" borderId="17" applyBorder="1" xfId="0" applyAlignment="1">
      <alignment vertical="center" wrapText="1"/>
      <protection locked="0"/>
    </xf>
    <xf numFmtId="0" applyNumberFormat="1" fontId="16" applyFont="1" fillId="0" applyFill="1" borderId="4" applyBorder="1" xfId="0" applyAlignment="1">
      <alignment horizontal="center" vertical="center"/>
      <protection locked="0"/>
    </xf>
    <xf numFmtId="0" applyNumberFormat="1" fontId="23" applyFont="1" fillId="5" applyFill="1" borderId="0" applyBorder="1" xfId="0" applyProtection="1"/>
    <xf numFmtId="0" applyNumberFormat="1" fontId="3" applyFont="1" fillId="5" applyFill="1" borderId="0" applyBorder="1" xfId="2" applyProtection="1"/>
    <xf numFmtId="0" applyNumberFormat="1" fontId="0" applyFont="1" fillId="5" applyFill="1" borderId="0" applyBorder="1" xfId="0" applyProtection="1"/>
    <xf numFmtId="0" applyNumberFormat="1" fontId="5" applyFont="1" fillId="6" applyFill="1" borderId="27" applyBorder="1" xfId="0" applyProtection="1" applyAlignment="1">
      <alignment horizontal="center" vertical="center" wrapText="1"/>
    </xf>
    <xf numFmtId="0" applyNumberFormat="1" fontId="21" applyFont="1" fillId="4" applyFill="1" borderId="25" applyBorder="1" xfId="0" applyProtection="1" applyAlignment="1">
      <alignment horizontal="center" vertical="center" wrapText="1"/>
    </xf>
    <xf numFmtId="0" applyNumberFormat="1" fontId="5" applyFont="1" fillId="6" applyFill="1" borderId="25" applyBorder="1" xfId="0" applyProtection="1" applyAlignment="1">
      <alignment horizontal="center" vertical="center" wrapText="1"/>
    </xf>
    <xf numFmtId="49" applyNumberFormat="1" fontId="5" applyFont="1" fillId="6" applyFill="1" borderId="25" applyBorder="1" xfId="0" applyProtection="1" applyAlignment="1">
      <alignment horizontal="center" vertical="center" wrapText="1"/>
    </xf>
    <xf numFmtId="0" applyNumberFormat="1" fontId="5" applyFont="1" fillId="6" applyFill="1" borderId="26" applyBorder="1" xfId="0" applyProtection="1" applyAlignment="1">
      <alignment horizontal="center" vertical="center" wrapText="1"/>
    </xf>
    <xf numFmtId="0" applyNumberFormat="1" fontId="12" applyFont="1" fillId="2" applyFill="1" borderId="25" applyBorder="1" xfId="0" applyAlignment="1">
      <alignment horizontal="center" vertical="center" wrapText="1"/>
      <protection locked="0"/>
    </xf>
    <xf numFmtId="0" applyNumberFormat="1" fontId="0" applyFont="1" fillId="0" applyFill="1" borderId="0" applyBorder="1" xfId="0" applyProtection="1" applyAlignment="1">
      <alignment horizontal="center" wrapText="1"/>
    </xf>
    <xf numFmtId="0" applyNumberFormat="1" fontId="0" applyFont="1" fillId="5" applyFill="1" borderId="0" applyBorder="1" xfId="0" applyProtection="1" applyAlignment="1">
      <alignment horizontal="center"/>
    </xf>
    <xf numFmtId="0" applyNumberFormat="1" fontId="11" applyFont="1" fillId="0" applyFill="1" borderId="0" applyBorder="1" xfId="2" applyProtection="1" applyAlignment="1">
      <alignment horizontal="center"/>
    </xf>
    <xf numFmtId="0" applyNumberFormat="1" fontId="22" applyFont="1" fillId="6" applyFill="1" borderId="24" applyBorder="1" xfId="0" applyProtection="1" applyAlignment="1">
      <alignment horizontal="center" vertical="center" wrapText="1"/>
    </xf>
    <xf numFmtId="0" applyNumberFormat="1" fontId="13" applyFont="1" fillId="0" applyFill="1" borderId="4" applyBorder="1" xfId="0" applyAlignment="1">
      <alignment vertical="center" wrapText="1"/>
      <protection locked="0"/>
    </xf>
    <xf numFmtId="16" applyNumberFormat="1" fontId="24" applyFont="1" fillId="0" applyFill="1" borderId="4" applyBorder="1" xfId="0" applyAlignment="1">
      <alignment vertical="center" wrapText="1"/>
      <protection locked="0"/>
    </xf>
    <xf numFmtId="0" applyNumberFormat="1" fontId="25" applyFont="1" fillId="0" applyFill="1" borderId="3" applyBorder="1" xfId="0" applyProtection="1" applyAlignment="1">
      <alignment horizontal="center"/>
    </xf>
    <xf numFmtId="167" applyNumberFormat="1" fontId="26" applyFont="1" fillId="6" applyFill="1" borderId="25" applyBorder="1" xfId="0" applyProtection="1" applyAlignment="1">
      <alignment horizontal="center" vertical="center" wrapText="1"/>
    </xf>
    <xf numFmtId="16" applyNumberFormat="1" fontId="13" applyFont="1" fillId="2" applyFill="1" borderId="4" applyBorder="1" xfId="0" applyAlignment="1">
      <alignment horizontal="center" vertical="center" wrapText="1"/>
      <protection locked="0"/>
    </xf>
    <xf numFmtId="0" applyNumberFormat="1" fontId="27" applyFont="1" fillId="0" applyFill="1" borderId="3" applyBorder="1" xfId="0" applyProtection="1" applyAlignment="1">
      <alignment horizontal="center"/>
    </xf>
    <xf numFmtId="0" applyNumberFormat="1" fontId="14" applyFont="1" fillId="0" applyFill="1" borderId="4" applyBorder="1" xfId="0" applyAlignment="1">
      <alignment horizontal="center" vertical="center"/>
      <protection locked="0"/>
    </xf>
    <xf numFmtId="16" applyNumberFormat="1" fontId="28" applyFont="1" fillId="0" applyFill="1" borderId="4" applyBorder="1" xfId="0" applyAlignment="1">
      <alignment vertical="center" wrapText="1"/>
      <protection locked="0"/>
    </xf>
    <xf numFmtId="1" applyNumberFormat="1" fontId="17" applyFont="1" fillId="0" applyFill="1" borderId="17" applyBorder="1" xfId="0" applyProtection="1" applyAlignment="1">
      <alignment horizontal="center" vertical="center"/>
    </xf>
    <xf numFmtId="0" applyNumberFormat="1" fontId="0" applyFont="1" fillId="0" applyFill="1" borderId="4" applyBorder="1" xfId="0" applyProtection="1" applyAlignment="1">
      <alignment vertical="center"/>
    </xf>
    <xf numFmtId="16" applyNumberFormat="1" fontId="1" applyFont="1" fillId="0" applyFill="1" borderId="12" applyBorder="1" xfId="1" applyAlignment="1">
      <alignment horizontal="center" vertical="center"/>
      <protection locked="0"/>
    </xf>
    <xf numFmtId="17" applyNumberFormat="1" fontId="13" applyFont="1" fillId="0" applyFill="1" borderId="4" applyBorder="1" xfId="0" applyAlignment="1">
      <alignment horizontal="center" vertical="center"/>
      <protection locked="0"/>
    </xf>
    <xf numFmtId="14" applyNumberFormat="1" fontId="13" applyFont="1" fillId="2" applyFill="1" borderId="4" applyBorder="1" xfId="0" applyAlignment="1">
      <alignment horizontal="center" vertical="center"/>
      <protection locked="0"/>
    </xf>
    <xf numFmtId="0" applyNumberFormat="1" fontId="29" applyFont="1" fillId="0" applyFill="1" borderId="4" applyBorder="1" xfId="0" applyProtection="1"/>
    <xf numFmtId="16" applyNumberFormat="1" fontId="13" applyFont="1" fillId="0" applyFill="1" borderId="0" applyBorder="1" xfId="0" applyAlignment="1">
      <alignment vertical="center" wrapText="1"/>
      <protection locked="0"/>
    </xf>
    <xf numFmtId="16" applyNumberFormat="1" fontId="14" applyFont="1" fillId="0" applyFill="1" borderId="4" applyBorder="1" xfId="0" applyAlignment="1">
      <alignment vertical="center" wrapText="1"/>
      <protection locked="0"/>
    </xf>
    <xf numFmtId="0" applyNumberFormat="1" fontId="4" applyFont="1" fillId="0" applyFill="1" borderId="12" applyBorder="1" xfId="0" applyProtection="1" applyAlignment="1">
      <alignment horizontal="center"/>
    </xf>
    <xf numFmtId="1" applyNumberFormat="1" fontId="4" applyFont="1" fillId="0" applyFill="1" borderId="3" applyBorder="1" xfId="0" applyProtection="1" applyAlignment="1">
      <alignment horizontal="center"/>
    </xf>
    <xf numFmtId="165" applyNumberFormat="1" fontId="4" applyFont="1" fillId="0" applyFill="1" borderId="3" applyBorder="1" xfId="3" applyProtection="1" applyAlignment="1">
      <alignment horizontal="left"/>
    </xf>
    <xf numFmtId="165" applyNumberFormat="1" fontId="4" applyFont="1" fillId="0" applyFill="1" borderId="2" applyBorder="1" xfId="3" applyProtection="1" applyAlignment="1">
      <alignment horizontal="left"/>
    </xf>
    <xf numFmtId="166" applyNumberFormat="1" fontId="4" applyFont="1" fillId="0" applyFill="1" borderId="2" applyBorder="1" xfId="3" applyProtection="1" applyAlignment="1">
      <alignment horizontal="right"/>
    </xf>
    <xf numFmtId="0" applyNumberFormat="1" fontId="4" applyFont="1" fillId="0" applyFill="1" borderId="0" applyBorder="1" xfId="0" applyProtection="1" applyAlignment="1">
      <alignment horizontal="center"/>
    </xf>
    <xf numFmtId="0" applyNumberFormat="1" fontId="4" applyFont="1" fillId="0" applyFill="1" borderId="3" applyBorder="1" xfId="0" applyProtection="1" applyAlignment="1">
      <alignment horizontal="left" wrapText="1"/>
    </xf>
    <xf numFmtId="49" applyNumberFormat="1" fontId="4" applyFont="1" fillId="0" applyFill="1" borderId="3" applyBorder="1" xfId="0" applyProtection="1" applyAlignment="1">
      <alignment horizontal="center" wrapText="1"/>
    </xf>
    <xf numFmtId="0" applyNumberFormat="1" fontId="22" applyFont="1" fillId="6" applyFill="1" borderId="20" applyBorder="1" xfId="0" applyProtection="1" applyAlignment="1">
      <alignment horizontal="center"/>
    </xf>
    <xf numFmtId="0" applyNumberFormat="1" fontId="22" applyFont="1" fillId="6" applyFill="1" borderId="18" applyBorder="1" xfId="0" applyProtection="1" applyAlignment="1">
      <alignment horizontal="center"/>
    </xf>
    <xf numFmtId="0" applyNumberFormat="1" fontId="22" applyFont="1" fillId="6" applyFill="1" borderId="19" applyBorder="1" xfId="0" applyProtection="1" applyAlignment="1">
      <alignment horizontal="center"/>
    </xf>
  </cellXfs>
  <cellStyles count="4">
    <cellStyle name="Excel Built-in Normal" xfId="1"/>
    <cellStyle name="Hipervínculo" xfId="2" builtinId="8"/>
    <cellStyle name="Millares" xfId="3" builtinId="3"/>
    <cellStyle name="Normal" xfId="0" builtinId="0"/>
  </cellStyles>
  <dxfs count="1026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FFFF1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85B"/>
        </patternFill>
      </fill>
    </dxf>
    <dxf>
      <fill>
        <patternFill>
          <bgColor theme="4" tint="0.59996337778862885"/>
        </patternFill>
      </fill>
    </dxf>
    <dxf>
      <font>
        <strike/>
        <color theme="0"/>
      </font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FFFF1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85B"/>
        </patternFill>
      </fill>
    </dxf>
    <dxf>
      <fill>
        <patternFill>
          <bgColor theme="4" tint="0.59996337778862885"/>
        </patternFill>
      </fill>
    </dxf>
    <dxf>
      <font>
        <strike/>
        <color theme="0"/>
      </font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FFFF1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85B"/>
        </patternFill>
      </fill>
    </dxf>
    <dxf>
      <fill>
        <patternFill>
          <bgColor theme="4" tint="0.59996337778862885"/>
        </patternFill>
      </fill>
    </dxf>
    <dxf>
      <font>
        <strike/>
        <color theme="0"/>
      </font>
      <fill>
        <patternFill>
          <bgColor theme="1" tint="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EDB311"/>
        </patternFill>
      </fill>
    </dxf>
    <dxf>
      <fill>
        <patternFill>
          <bgColor theme="7" tint="0.39994506668294322"/>
        </patternFill>
      </fill>
    </dxf>
    <dxf>
      <fill>
        <patternFill>
          <bgColor rgb="FFCBC0DA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A219"/>
      <color rgb="FFEDB311"/>
      <color rgb="FFCBC0DA"/>
      <color rgb="FFB4A3C9"/>
      <color rgb="FFBEB0D0"/>
      <color rgb="FFE9B011"/>
      <color rgb="FFCF9D0F"/>
      <color rgb="FFFFB13F"/>
      <color rgb="FFF68E38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962025</xdr:colOff>
      <xdr:row>0</xdr:row>
      <xdr:rowOff>28575</xdr:rowOff>
    </xdr:from>
    <xdr:to>
      <xdr:col>9</xdr:col>
      <xdr:colOff>0</xdr:colOff>
      <xdr:row>3</xdr:row>
      <xdr:rowOff>152400</xdr:rowOff>
    </xdr:to>
    <xdr:sp macro="" textlink="">
      <xdr:nvSpPr>
        <xdr:cNvPr id="4" name="Flecha arriba 1">
          <a:extLst>
            <a:ext uri="{FF2B5EF4-FFF2-40B4-BE49-F238E27FC236}">
              <a16:creationId xmlns:a16="http://schemas.microsoft.com/office/drawing/2014/main" id="{06F01989-ED37-A1FD-1ADB-E5C9064AAA4F}"/>
            </a:ext>
          </a:extLst>
        </xdr:cNvPr>
        <xdr:cNvSpPr/>
      </xdr:nvSpPr>
      <xdr:spPr>
        <a:xfrm rot="10834376">
          <a:off x="6467475" y="28575"/>
          <a:ext cx="371475" cy="44767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457200</xdr:colOff>
      <xdr:row>0</xdr:row>
      <xdr:rowOff>0</xdr:rowOff>
    </xdr:from>
    <xdr:to>
      <xdr:col>17</xdr:col>
      <xdr:colOff>171450</xdr:colOff>
      <xdr:row>2</xdr:row>
      <xdr:rowOff>209550</xdr:rowOff>
    </xdr:to>
    <xdr:sp macro="" textlink="">
      <xdr:nvSpPr>
        <xdr:cNvPr id="3" name="Flecha arriba 2">
          <a:extLst>
            <a:ext uri="{FF2B5EF4-FFF2-40B4-BE49-F238E27FC236}">
              <a16:creationId xmlns:a16="http://schemas.microsoft.com/office/drawing/2014/main" id="{79F3094F-4442-4221-88AE-03DF595344A0}"/>
            </a:ext>
            <a:ext uri="{147F2762-F138-4A5C-976F-8EAC2B608ADB}">
              <a16:predDERef xmlns:a16="http://schemas.microsoft.com/office/drawing/2014/main" pred="{06F01989-ED37-A1FD-1ADB-E5C9064AAA4F}"/>
            </a:ext>
          </a:extLst>
        </xdr:cNvPr>
        <xdr:cNvSpPr/>
      </xdr:nvSpPr>
      <xdr:spPr>
        <a:xfrm rot="10834376">
          <a:off x="12134850" y="0"/>
          <a:ext cx="428625" cy="314325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AB42781E-E149-4416-B65A-7447E27DE2E9}"/>
  <namedSheetView name="Ver2" id="{2D3FB2FE-DAFA-42B6-AC2B-B911E388A770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1.xml"/><Relationship Id="rId4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>
    <pageSetUpPr fitToPage="1"/>
  </sheetPr>
  <dimension ref="A1:Y1341"/>
  <sheetViews>
    <sheetView showGridLines="0" tabSelected="1" workbookViewId="0">
      <pane ySplit="5" topLeftCell="B1056" activePane="bottomLeft" state="frozen"/>
      <selection pane="bottomLeft" activeCell="M1057" sqref="M1057"/>
    </sheetView>
  </sheetViews>
  <sheetFormatPr defaultColWidth="11.42578125" defaultRowHeight="15" customHeight="1"/>
  <cols>
    <col min="1" max="1" width="10.28515625" customWidth="1"/>
    <col min="2" max="2" width="14.28515625" customWidth="1"/>
    <col min="3" max="3" bestFit="1" width="17.7109375" customWidth="1"/>
    <col min="4" max="4" width="9.85546875" customWidth="1" style="20"/>
    <col min="5" max="5" width="10.28515625" customWidth="1" style="20"/>
    <col min="6" max="6" width="12.5703125" customWidth="1"/>
    <col min="7" max="7" width="8.5703125" customWidth="1"/>
    <col min="8" max="8" width="12.140625" customWidth="1"/>
    <col min="9" max="9" width="27.85546875" customWidth="1" style="20"/>
    <col min="10" max="10" width="22.140625" customWidth="1" style="20"/>
    <col min="11" max="11" width="12.140625" customWidth="1"/>
    <col min="12" max="12" width="18.5703125" customWidth="1" style="35"/>
    <col min="13" max="13" width="11.5703125" customWidth="1" style="67"/>
    <col min="14" max="14" width="7.7109375" customWidth="1"/>
    <col min="15" max="15" width="10.7109375" customWidth="1"/>
    <col min="16" max="16" width="9.42578125" customWidth="1"/>
    <col min="17" max="17" bestFit="1" width="34.42578125" customWidth="1"/>
    <col min="18" max="19" width="11.140625" customWidth="1"/>
    <col min="20" max="20" width="8.85546875" customWidth="1" style="20"/>
    <col min="21" max="21" width="13.7109375" customWidth="1"/>
    <col min="22" max="22" width="16.140625" customWidth="1"/>
    <col min="23" max="23" width="23.85546875" customWidth="1"/>
    <col min="24" max="24" width="85.28515625" customWidth="1"/>
    <col min="25" max="32" width="11" customWidth="1"/>
  </cols>
  <sheetData>
    <row r="1" ht="8.65" customHeight="1">
      <c r="H1" s="0" t="s">
        <v>0</v>
      </c>
    </row>
    <row r="2" hidden="1" ht="9" customHeight="1">
      <c r="B2" s="36" t="s">
        <v>1</v>
      </c>
      <c r="C2" s="4"/>
    </row>
    <row r="3" ht="17.25" customHeight="1">
      <c r="B3" s="104" t="s">
        <v>2</v>
      </c>
      <c r="C3" s="105"/>
      <c r="D3" s="114"/>
      <c r="E3" s="114"/>
      <c r="F3" s="106"/>
    </row>
    <row r="4">
      <c r="O4" s="141" t="s">
        <v>3</v>
      </c>
      <c r="P4" s="142"/>
      <c r="Q4" s="142"/>
      <c r="R4" s="142"/>
      <c r="S4" s="143"/>
    </row>
    <row r="5" ht="46.5" customHeight="1" s="113" customFormat="1">
      <c r="A5" s="107" t="s">
        <v>4</v>
      </c>
      <c r="B5" s="108" t="s">
        <v>5</v>
      </c>
      <c r="C5" s="112" t="s">
        <v>6</v>
      </c>
      <c r="D5" s="108" t="s">
        <v>7</v>
      </c>
      <c r="E5" s="108" t="s">
        <v>8</v>
      </c>
      <c r="F5" s="109" t="s">
        <v>9</v>
      </c>
      <c r="G5" s="109" t="s">
        <v>10</v>
      </c>
      <c r="H5" s="109" t="s">
        <v>11</v>
      </c>
      <c r="I5" s="109" t="s">
        <v>12</v>
      </c>
      <c r="J5" s="109" t="s">
        <v>13</v>
      </c>
      <c r="K5" s="109" t="s">
        <v>14</v>
      </c>
      <c r="L5" s="109" t="s">
        <v>15</v>
      </c>
      <c r="M5" s="120" t="s">
        <v>16</v>
      </c>
      <c r="N5" s="109" t="s">
        <v>17</v>
      </c>
      <c r="O5" s="109" t="s">
        <v>18</v>
      </c>
      <c r="P5" s="109" t="s">
        <v>19</v>
      </c>
      <c r="Q5" s="109" t="s">
        <v>20</v>
      </c>
      <c r="R5" s="116" t="s">
        <v>21</v>
      </c>
      <c r="S5" s="116" t="s">
        <v>22</v>
      </c>
      <c r="T5" s="109" t="s">
        <v>23</v>
      </c>
      <c r="U5" s="109" t="s">
        <v>24</v>
      </c>
      <c r="V5" s="110" t="s">
        <v>25</v>
      </c>
      <c r="W5" s="109" t="s">
        <v>26</v>
      </c>
      <c r="X5" s="111" t="s">
        <v>27</v>
      </c>
    </row>
    <row r="6" hidden="1" ht="15.75" customHeight="1" s="32" customFormat="1">
      <c r="A6" s="92">
        <v>50</v>
      </c>
      <c r="B6" s="93" t="s">
        <v>28</v>
      </c>
      <c r="C6" s="95" t="s">
        <v>29</v>
      </c>
      <c r="D6" s="94" t="s">
        <v>30</v>
      </c>
      <c r="E6" s="95">
        <v>44553</v>
      </c>
      <c r="F6" s="96" t="str">
        <f>IF(C6&lt;&gt;"",VLOOKUP($C6,Carpetas!$C$5:$L$2060,2,FALSE),"")</f>
        <v>xx</v>
      </c>
      <c r="G6" s="96" t="s">
        <v>31</v>
      </c>
      <c r="H6" s="97" t="str">
        <f>IF(C6&lt;&gt;"",VLOOKUP($C6,Carpetas!$C$5:$L$2060,9,FALSE),"")</f>
        <v>xx</v>
      </c>
      <c r="I6" s="91" t="str">
        <f>IF(C6&lt;&gt;"",VLOOKUP($C6,Carpetas!$C$5:$L$2060,5,FALSE),"")</f>
        <v>xx</v>
      </c>
      <c r="J6" s="91"/>
      <c r="K6" s="98">
        <f>E6+5</f>
        <v>44558</v>
      </c>
      <c r="L6" s="99" t="str">
        <f>VLOOKUP($C6,Carpetas!$C$5:$L$2060,4,FALSE)</f>
        <v>xx</v>
      </c>
      <c r="M6" s="100">
        <f ref="M6:M12" t="shared" si="0">K6+1</f>
        <v>44559</v>
      </c>
      <c r="N6" s="125">
        <f ref="N6:N69" t="shared" si="1">IF(M6&lt;&gt;"",M6-E6,"-")</f>
        <v>6</v>
      </c>
      <c r="O6" s="91">
        <v>1000</v>
      </c>
      <c r="P6" s="91"/>
      <c r="Q6" s="91"/>
      <c r="R6" s="91"/>
      <c r="S6" s="91"/>
      <c r="T6" s="101"/>
      <c r="U6" s="101"/>
      <c r="V6" s="101"/>
      <c r="W6" s="91"/>
      <c r="X6" s="102"/>
    </row>
    <row r="7" hidden="1" ht="15.75" customHeight="1" s="32" customFormat="1">
      <c r="A7" s="37">
        <v>51</v>
      </c>
      <c r="B7" s="31" t="s">
        <v>28</v>
      </c>
      <c r="C7" s="57" t="s">
        <v>29</v>
      </c>
      <c r="D7" s="59" t="s">
        <v>30</v>
      </c>
      <c r="E7" s="57">
        <v>44554</v>
      </c>
      <c r="F7" s="38" t="str">
        <f>IF(C7&lt;&gt;"",VLOOKUP($C7,Carpetas!$C$5:$L$2060,2,FALSE),"")</f>
        <v>xx</v>
      </c>
      <c r="G7" s="38" t="s">
        <v>31</v>
      </c>
      <c r="H7" s="44" t="str">
        <f>IF(C7&lt;&gt;"",VLOOKUP($C7,Carpetas!$C$5:$L$2060,9,FALSE),"")</f>
        <v>xx</v>
      </c>
      <c r="I7" s="51" t="str">
        <f>IF(C7&lt;&gt;"",VLOOKUP($C7,Carpetas!$C$5:$L$2060,5,FALSE),"")</f>
        <v>xx</v>
      </c>
      <c r="J7" s="51"/>
      <c r="K7" s="50">
        <f>E7+5</f>
        <v>44559</v>
      </c>
      <c r="L7" s="39" t="str">
        <f>VLOOKUP($C7,Carpetas!$C$5:$L$2060,4,FALSE)</f>
        <v>xx</v>
      </c>
      <c r="M7" s="55">
        <f t="shared" si="0"/>
        <v>44560</v>
      </c>
      <c r="N7" s="52">
        <f t="shared" si="1"/>
        <v>6</v>
      </c>
      <c r="O7" s="51">
        <v>1000</v>
      </c>
      <c r="P7" s="51"/>
      <c r="Q7" s="51"/>
      <c r="R7" s="51"/>
      <c r="S7" s="51"/>
      <c r="T7" s="65"/>
      <c r="U7" s="65"/>
      <c r="V7" s="65"/>
      <c r="W7" s="51"/>
      <c r="X7" s="66"/>
    </row>
    <row r="8" hidden="1" ht="15.75" customHeight="1" s="32" customFormat="1">
      <c r="A8" s="37">
        <v>50</v>
      </c>
      <c r="B8" s="31" t="s">
        <v>28</v>
      </c>
      <c r="C8" s="57" t="s">
        <v>29</v>
      </c>
      <c r="D8" s="59" t="s">
        <v>30</v>
      </c>
      <c r="E8" s="57">
        <v>44555</v>
      </c>
      <c r="F8" s="38" t="str">
        <f>IF(C8&lt;&gt;"",VLOOKUP($C8,Carpetas!$C$5:$L$2060,2,FALSE),"")</f>
        <v>xx</v>
      </c>
      <c r="G8" s="38" t="s">
        <v>31</v>
      </c>
      <c r="H8" s="44" t="str">
        <f>IF(C8&lt;&gt;"",VLOOKUP($C8,Carpetas!$C$5:$L$2060,9,FALSE),"")</f>
        <v>xx</v>
      </c>
      <c r="I8" s="51" t="str">
        <f>IF(C8&lt;&gt;"",VLOOKUP($C8,Carpetas!$C$5:$L$2060,5,FALSE),"")</f>
        <v>xx</v>
      </c>
      <c r="J8" s="51"/>
      <c r="K8" s="50">
        <f>E8+5</f>
        <v>44560</v>
      </c>
      <c r="L8" s="39" t="str">
        <f>VLOOKUP($C8,Carpetas!$C$5:$L$2060,4,FALSE)</f>
        <v>xx</v>
      </c>
      <c r="M8" s="55">
        <f t="shared" si="0"/>
        <v>44561</v>
      </c>
      <c r="N8" s="52">
        <f t="shared" si="1"/>
        <v>6</v>
      </c>
      <c r="O8" s="51">
        <v>1000</v>
      </c>
      <c r="P8" s="51"/>
      <c r="Q8" s="51"/>
      <c r="R8" s="51"/>
      <c r="S8" s="51"/>
      <c r="T8" s="65"/>
      <c r="U8" s="65"/>
      <c r="V8" s="65"/>
      <c r="W8" s="51"/>
      <c r="X8" s="66"/>
    </row>
    <row r="9" hidden="1" ht="27.75" customHeight="1" s="32" customFormat="1">
      <c r="A9" s="37"/>
      <c r="B9" s="31" t="s">
        <v>32</v>
      </c>
      <c r="C9" s="59" t="s">
        <v>33</v>
      </c>
      <c r="D9" s="59" t="s">
        <v>34</v>
      </c>
      <c r="E9" s="57">
        <v>45307</v>
      </c>
      <c r="F9" s="38" t="str">
        <f>IF(C9&lt;&gt;"",VLOOKUP($C9,Carpetas!$C$5:$L$2060,2,FALSE),"")</f>
        <v>CLA001</v>
      </c>
      <c r="G9" s="38" t="s">
        <v>35</v>
      </c>
      <c r="H9" s="44">
        <f>IF(C9&lt;&gt;"",VLOOKUP($C9,Carpetas!$C$5:$L$2060,9,FALSE),"")</f>
        <v>0</v>
      </c>
      <c r="I9" s="51" t="str">
        <f>IF(C9&lt;&gt;"",VLOOKUP($C9,Carpetas!$C$5:$L$2060,5,FALSE),"")</f>
        <v>Nihuil</v>
      </c>
      <c r="J9" s="51"/>
      <c r="K9" s="50">
        <v>45310</v>
      </c>
      <c r="L9" s="39" t="str">
        <f>VLOOKUP($C9,Carpetas!$C$5:$L$2060,4,FALSE)</f>
        <v>Fray Bentos</v>
      </c>
      <c r="M9" s="55">
        <f t="shared" si="0"/>
        <v>45311</v>
      </c>
      <c r="N9" s="53">
        <f t="shared" si="1"/>
        <v>4</v>
      </c>
      <c r="O9" s="51">
        <v>2925</v>
      </c>
      <c r="P9" s="51"/>
      <c r="Q9" s="51"/>
      <c r="R9" s="51"/>
      <c r="S9" s="51"/>
      <c r="T9" s="65"/>
      <c r="U9" s="65"/>
      <c r="V9" s="65"/>
      <c r="W9" s="51"/>
      <c r="X9" s="66"/>
    </row>
    <row r="10" hidden="1" ht="27.75" customHeight="1" s="32" customFormat="1">
      <c r="A10" s="37"/>
      <c r="B10" s="31" t="s">
        <v>32</v>
      </c>
      <c r="C10" s="59" t="s">
        <v>36</v>
      </c>
      <c r="D10" s="59" t="s">
        <v>37</v>
      </c>
      <c r="E10" s="57">
        <v>45273</v>
      </c>
      <c r="F10" s="38" t="str">
        <f>IF(C10&lt;&gt;"",VLOOKUP($C10,Carpetas!$C$5:$L$2060,2,FALSE),"")</f>
        <v>ITK009</v>
      </c>
      <c r="G10" s="38" t="s">
        <v>38</v>
      </c>
      <c r="H10" s="44">
        <f>IF(C10&lt;&gt;"",VLOOKUP($C10,Carpetas!$C$5:$L$2060,9,FALSE),"")</f>
        <v>0</v>
      </c>
      <c r="I10" s="51" t="str">
        <f>IF(C10&lt;&gt;"",VLOOKUP($C10,Carpetas!$C$5:$L$2060,5,FALSE),"")</f>
        <v>Ciatran</v>
      </c>
      <c r="J10" s="51"/>
      <c r="K10" s="50">
        <v>45314</v>
      </c>
      <c r="L10" s="39" t="str">
        <f>VLOOKUP($C10,Carpetas!$C$5:$L$2060,4,FALSE)</f>
        <v>Montevideo</v>
      </c>
      <c r="M10" s="55">
        <f t="shared" si="0"/>
        <v>45315</v>
      </c>
      <c r="N10" s="53">
        <f t="shared" si="1"/>
        <v>42</v>
      </c>
      <c r="O10" s="51">
        <v>2310</v>
      </c>
      <c r="P10" s="51"/>
      <c r="Q10" s="51"/>
      <c r="R10" s="51"/>
      <c r="S10" s="51"/>
      <c r="T10" s="65"/>
      <c r="U10" s="65"/>
      <c r="V10" s="65"/>
      <c r="W10" s="51"/>
      <c r="X10" s="66"/>
    </row>
    <row r="11" hidden="1" ht="27.75" customHeight="1" s="32" customFormat="1">
      <c r="A11" s="37"/>
      <c r="B11" s="31" t="s">
        <v>32</v>
      </c>
      <c r="C11" s="59" t="s">
        <v>39</v>
      </c>
      <c r="D11" s="59" t="s">
        <v>37</v>
      </c>
      <c r="E11" s="57">
        <v>45276</v>
      </c>
      <c r="F11" s="38" t="str">
        <f>IF(C11&lt;&gt;"",VLOOKUP($C11,Carpetas!$C$5:$L$2060,2,FALSE),"")</f>
        <v>ITK010</v>
      </c>
      <c r="G11" s="38" t="s">
        <v>38</v>
      </c>
      <c r="H11" s="44">
        <f>IF(C11&lt;&gt;"",VLOOKUP($C11,Carpetas!$C$5:$L$2060,9,FALSE),"")</f>
        <v>0</v>
      </c>
      <c r="I11" s="51" t="str">
        <f>IF(C11&lt;&gt;"",VLOOKUP($C11,Carpetas!$C$5:$L$2060,5,FALSE),"")</f>
        <v>Ciatran</v>
      </c>
      <c r="J11" s="51"/>
      <c r="K11" s="50">
        <v>45314</v>
      </c>
      <c r="L11" s="39" t="str">
        <f>VLOOKUP($C11,Carpetas!$C$5:$L$2060,4,FALSE)</f>
        <v>Montevideo</v>
      </c>
      <c r="M11" s="55">
        <f t="shared" si="0"/>
        <v>45315</v>
      </c>
      <c r="N11" s="53">
        <f t="shared" si="1"/>
        <v>39</v>
      </c>
      <c r="O11" s="51">
        <v>2310</v>
      </c>
      <c r="P11" s="51"/>
      <c r="Q11" s="51">
        <v>2310</v>
      </c>
      <c r="R11" s="51"/>
      <c r="S11" s="51"/>
      <c r="T11" s="65"/>
      <c r="U11" s="65"/>
      <c r="V11" s="65"/>
      <c r="W11" s="51"/>
      <c r="X11" s="66" t="s">
        <v>40</v>
      </c>
    </row>
    <row r="12" hidden="1" ht="27.75" customHeight="1" s="32" customFormat="1">
      <c r="A12" s="37"/>
      <c r="B12" s="31" t="s">
        <v>32</v>
      </c>
      <c r="C12" s="59" t="s">
        <v>41</v>
      </c>
      <c r="D12" s="59" t="s">
        <v>42</v>
      </c>
      <c r="E12" s="57">
        <v>45300</v>
      </c>
      <c r="F12" s="38" t="str">
        <f>IF(C12&lt;&gt;"",VLOOKUP($C12,Carpetas!$C$5:$L$2060,2,FALSE),"")</f>
        <v>ECA002</v>
      </c>
      <c r="G12" s="38" t="s">
        <v>43</v>
      </c>
      <c r="H12" s="44">
        <f>IF(C12&lt;&gt;"",VLOOKUP($C12,Carpetas!$C$5:$L$2060,9,FALSE),"")</f>
        <v>1481832</v>
      </c>
      <c r="I12" s="51" t="str">
        <f>IF(C12&lt;&gt;"",VLOOKUP($C12,Carpetas!$C$5:$L$2060,5,FALSE),"")</f>
        <v>Andino</v>
      </c>
      <c r="J12" s="51"/>
      <c r="K12" s="50">
        <v>45318</v>
      </c>
      <c r="L12" s="39" t="str">
        <f>VLOOKUP($C12,Carpetas!$C$5:$L$2060,4,FALSE)</f>
        <v>Fray Bentos</v>
      </c>
      <c r="M12" s="55">
        <f t="shared" si="0"/>
        <v>45319</v>
      </c>
      <c r="N12" s="53">
        <f t="shared" si="1"/>
        <v>19</v>
      </c>
      <c r="O12" s="51">
        <v>1680</v>
      </c>
      <c r="P12" s="51"/>
      <c r="Q12" s="51"/>
      <c r="R12" s="51"/>
      <c r="S12" s="51"/>
      <c r="T12" s="65"/>
      <c r="U12" s="65"/>
      <c r="V12" s="65"/>
      <c r="W12" s="51"/>
      <c r="X12" s="66"/>
    </row>
    <row r="13" hidden="1" ht="27.75" customHeight="1" s="32" customFormat="1">
      <c r="A13" s="37"/>
      <c r="B13" s="31" t="s">
        <v>32</v>
      </c>
      <c r="C13" s="59" t="s">
        <v>44</v>
      </c>
      <c r="D13" s="59" t="s">
        <v>30</v>
      </c>
      <c r="E13" s="57">
        <v>45300</v>
      </c>
      <c r="F13" s="38" t="str">
        <f>IF(C13&lt;&gt;"",VLOOKUP($C13,Carpetas!$C$5:$L$2060,2,FALSE),"")</f>
        <v>ECE001</v>
      </c>
      <c r="G13" s="38" t="s">
        <v>43</v>
      </c>
      <c r="H13" s="44" t="str">
        <f>IF(C13&lt;&gt;"",VLOOKUP($C13,Carpetas!$C$5:$L$2060,9,FALSE),"")</f>
        <v>148.18.43</v>
      </c>
      <c r="I13" s="51" t="str">
        <f>IF(C13&lt;&gt;"",VLOOKUP($C13,Carpetas!$C$5:$L$2060,5,FALSE),"")</f>
        <v>Andino</v>
      </c>
      <c r="J13" s="51"/>
      <c r="K13" s="50">
        <v>45320</v>
      </c>
      <c r="L13" s="39" t="str">
        <f>VLOOKUP($C13,Carpetas!$C$5:$L$2060,4,FALSE)</f>
        <v>Fray Bentos</v>
      </c>
      <c r="M13" s="55">
        <v>45320</v>
      </c>
      <c r="N13" s="53">
        <f t="shared" si="1"/>
        <v>20</v>
      </c>
      <c r="O13" s="51">
        <v>2192</v>
      </c>
      <c r="P13" s="51"/>
      <c r="Q13" s="51">
        <v>2192</v>
      </c>
      <c r="R13" s="51"/>
      <c r="S13" s="51"/>
      <c r="T13" s="65"/>
      <c r="U13" s="65"/>
      <c r="V13" s="65"/>
      <c r="W13" s="51" t="s">
        <v>45</v>
      </c>
      <c r="X13" s="66" t="s">
        <v>46</v>
      </c>
    </row>
    <row r="14" hidden="1" ht="27.75" customHeight="1" s="32" customFormat="1">
      <c r="A14" s="37"/>
      <c r="B14" s="31" t="s">
        <v>32</v>
      </c>
      <c r="C14" s="59" t="s">
        <v>47</v>
      </c>
      <c r="D14" s="59" t="s">
        <v>48</v>
      </c>
      <c r="E14" s="57">
        <v>45315</v>
      </c>
      <c r="F14" s="38" t="str">
        <f>IF(C14&lt;&gt;"",VLOOKUP($C14,Carpetas!$C$5:$L$2060,2,FALSE),"")</f>
        <v>CLP001</v>
      </c>
      <c r="G14" s="38" t="s">
        <v>43</v>
      </c>
      <c r="H14" s="44" t="str">
        <f>IF(C14&lt;&gt;"",VLOOKUP($C14,Carpetas!$C$5:$L$2060,9,FALSE),"")</f>
        <v>148.30.99</v>
      </c>
      <c r="I14" s="51" t="str">
        <f>IF(C14&lt;&gt;"",VLOOKUP($C14,Carpetas!$C$5:$L$2060,5,FALSE),"")</f>
        <v>Nihuil</v>
      </c>
      <c r="J14" s="51"/>
      <c r="K14" s="50">
        <v>45320</v>
      </c>
      <c r="L14" s="39" t="str">
        <f>VLOOKUP($C14,Carpetas!$C$5:$L$2060,4,FALSE)</f>
        <v>Fray Bentos</v>
      </c>
      <c r="M14" s="55">
        <f ref="M14:M25" t="shared" si="2">K14+1</f>
        <v>45321</v>
      </c>
      <c r="N14" s="53">
        <f t="shared" si="1"/>
        <v>6</v>
      </c>
      <c r="O14" s="51">
        <v>2112</v>
      </c>
      <c r="P14" s="51"/>
      <c r="Q14" s="51"/>
      <c r="R14" s="51"/>
      <c r="S14" s="51"/>
      <c r="T14" s="65"/>
      <c r="U14" s="65"/>
      <c r="V14" s="65"/>
      <c r="W14" s="51"/>
      <c r="X14" s="66"/>
    </row>
    <row r="15" hidden="1" ht="27.75" customHeight="1" s="32" customFormat="1">
      <c r="A15" s="37"/>
      <c r="B15" s="31" t="s">
        <v>32</v>
      </c>
      <c r="C15" s="59" t="s">
        <v>49</v>
      </c>
      <c r="D15" s="59" t="s">
        <v>30</v>
      </c>
      <c r="E15" s="57">
        <v>45307</v>
      </c>
      <c r="F15" s="38" t="str">
        <f>IF(C15&lt;&gt;"",VLOOKUP($C15,Carpetas!$C$5:$L$2060,2,FALSE),"")</f>
        <v>ECE002</v>
      </c>
      <c r="G15" s="38" t="s">
        <v>43</v>
      </c>
      <c r="H15" s="44" t="str">
        <f>IF(C15&lt;&gt;"",VLOOKUP($C15,Carpetas!$C$5:$L$2060,9,FALSE),"")</f>
        <v>148.18.43</v>
      </c>
      <c r="I15" s="51" t="str">
        <f>IF(C15&lt;&gt;"",VLOOKUP($C15,Carpetas!$C$5:$L$2060,5,FALSE),"")</f>
        <v>Andino</v>
      </c>
      <c r="J15" s="51"/>
      <c r="K15" s="50">
        <v>45324</v>
      </c>
      <c r="L15" s="39" t="str">
        <f>VLOOKUP($C15,Carpetas!$C$5:$L$2060,4,FALSE)</f>
        <v>Fray Bentos</v>
      </c>
      <c r="M15" s="55">
        <f t="shared" si="2"/>
        <v>45325</v>
      </c>
      <c r="N15" s="53">
        <f t="shared" si="1"/>
        <v>18</v>
      </c>
      <c r="O15" s="51">
        <v>3239</v>
      </c>
      <c r="P15" s="51"/>
      <c r="Q15" s="51">
        <v>2159</v>
      </c>
      <c r="R15" s="51"/>
      <c r="S15" s="51"/>
      <c r="T15" s="65"/>
      <c r="U15" s="65"/>
      <c r="V15" s="65"/>
      <c r="W15" s="51"/>
      <c r="X15" s="66" t="s">
        <v>50</v>
      </c>
    </row>
    <row r="16" hidden="1" ht="27.75" customHeight="1" s="32" customFormat="1">
      <c r="A16" s="37"/>
      <c r="B16" s="31" t="s">
        <v>32</v>
      </c>
      <c r="C16" s="59" t="s">
        <v>51</v>
      </c>
      <c r="D16" s="59" t="s">
        <v>30</v>
      </c>
      <c r="E16" s="57">
        <v>45307</v>
      </c>
      <c r="F16" s="38" t="str">
        <f>IF(C16&lt;&gt;"",VLOOKUP($C16,Carpetas!$C$5:$L$2060,2,FALSE),"")</f>
        <v>ECE003</v>
      </c>
      <c r="G16" s="38" t="s">
        <v>43</v>
      </c>
      <c r="H16" s="44" t="str">
        <f>IF(C16&lt;&gt;"",VLOOKUP($C16,Carpetas!$C$5:$L$2060,9,FALSE),"")</f>
        <v>148.18.43</v>
      </c>
      <c r="I16" s="51" t="str">
        <f>IF(C16&lt;&gt;"",VLOOKUP($C16,Carpetas!$C$5:$L$2060,5,FALSE),"")</f>
        <v>Andino</v>
      </c>
      <c r="J16" s="51"/>
      <c r="K16" s="50">
        <v>45324</v>
      </c>
      <c r="L16" s="39" t="str">
        <f>VLOOKUP($C16,Carpetas!$C$5:$L$2060,4,FALSE)</f>
        <v>Fray Bentos</v>
      </c>
      <c r="M16" s="55">
        <f t="shared" si="2"/>
        <v>45325</v>
      </c>
      <c r="N16" s="53">
        <f t="shared" si="1"/>
        <v>18</v>
      </c>
      <c r="O16" s="51">
        <v>1112</v>
      </c>
      <c r="P16" s="51"/>
      <c r="Q16" s="51">
        <v>1128</v>
      </c>
      <c r="R16" s="51"/>
      <c r="S16" s="51"/>
      <c r="T16" s="65"/>
      <c r="U16" s="65"/>
      <c r="V16" s="65"/>
      <c r="W16" s="51"/>
      <c r="X16" s="66" t="s">
        <v>52</v>
      </c>
    </row>
    <row r="17" hidden="1" ht="27.75" customHeight="1" s="32" customFormat="1">
      <c r="A17" s="37"/>
      <c r="B17" s="31" t="s">
        <v>32</v>
      </c>
      <c r="C17" s="59" t="s">
        <v>53</v>
      </c>
      <c r="D17" s="59" t="s">
        <v>42</v>
      </c>
      <c r="E17" s="57">
        <v>45307</v>
      </c>
      <c r="F17" s="38" t="str">
        <f>IF(C17&lt;&gt;"",VLOOKUP($C17,Carpetas!$C$5:$L$2060,2,FALSE),"")</f>
        <v>ECA003</v>
      </c>
      <c r="G17" s="38" t="s">
        <v>43</v>
      </c>
      <c r="H17" s="44">
        <f>IF(C17&lt;&gt;"",VLOOKUP($C17,Carpetas!$C$5:$L$2060,9,FALSE),"")</f>
        <v>1482156</v>
      </c>
      <c r="I17" s="51" t="str">
        <f>IF(C17&lt;&gt;"",VLOOKUP($C17,Carpetas!$C$5:$L$2060,5,FALSE),"")</f>
        <v>Andino</v>
      </c>
      <c r="J17" s="51"/>
      <c r="K17" s="50">
        <v>45324</v>
      </c>
      <c r="L17" s="39" t="str">
        <f>VLOOKUP($C17,Carpetas!$C$5:$L$2060,4,FALSE)</f>
        <v>Fray Bentos</v>
      </c>
      <c r="M17" s="55">
        <f t="shared" si="2"/>
        <v>45325</v>
      </c>
      <c r="N17" s="53">
        <f t="shared" si="1"/>
        <v>18</v>
      </c>
      <c r="O17" s="51">
        <v>1680</v>
      </c>
      <c r="P17" s="51"/>
      <c r="Q17" s="51"/>
      <c r="R17" s="51"/>
      <c r="S17" s="51"/>
      <c r="T17" s="65"/>
      <c r="U17" s="65"/>
      <c r="V17" s="65"/>
      <c r="W17" s="51"/>
      <c r="X17" s="66"/>
    </row>
    <row r="18" hidden="1" ht="27.75" customHeight="1" s="32" customFormat="1">
      <c r="A18" s="37"/>
      <c r="B18" s="31" t="s">
        <v>32</v>
      </c>
      <c r="C18" s="59" t="s">
        <v>54</v>
      </c>
      <c r="D18" s="59" t="s">
        <v>30</v>
      </c>
      <c r="E18" s="57">
        <v>45314</v>
      </c>
      <c r="F18" s="38" t="str">
        <f>IF(C18&lt;&gt;"",VLOOKUP($C18,Carpetas!$C$5:$L$2060,2,FALSE),"")</f>
        <v>ECB001</v>
      </c>
      <c r="G18" s="38" t="s">
        <v>43</v>
      </c>
      <c r="H18" s="44">
        <f>IF(C18&lt;&gt;"",VLOOKUP($C18,Carpetas!$C$5:$L$2060,9,FALSE),"")</f>
        <v>1482155</v>
      </c>
      <c r="I18" s="51" t="str">
        <f>IF(C18&lt;&gt;"",VLOOKUP($C18,Carpetas!$C$5:$L$2060,5,FALSE),"")</f>
        <v>Andino</v>
      </c>
      <c r="J18" s="51"/>
      <c r="K18" s="50">
        <v>45330</v>
      </c>
      <c r="L18" s="39" t="str">
        <f>VLOOKUP($C18,Carpetas!$C$5:$L$2060,4,FALSE)</f>
        <v>Fray Bentos</v>
      </c>
      <c r="M18" s="55">
        <f t="shared" si="2"/>
        <v>45331</v>
      </c>
      <c r="N18" s="53">
        <f t="shared" si="1"/>
        <v>17</v>
      </c>
      <c r="O18" s="51">
        <v>2160</v>
      </c>
      <c r="P18" s="51"/>
      <c r="Q18" s="51">
        <v>2160</v>
      </c>
      <c r="R18" s="51"/>
      <c r="S18" s="51"/>
      <c r="T18" s="65"/>
      <c r="U18" s="65"/>
      <c r="V18" s="65" t="s">
        <v>55</v>
      </c>
      <c r="W18" s="51" t="s">
        <v>56</v>
      </c>
      <c r="X18" s="66" t="s">
        <v>57</v>
      </c>
    </row>
    <row r="19" hidden="1" ht="27.75" customHeight="1" s="32" customFormat="1">
      <c r="A19" s="37"/>
      <c r="B19" s="31" t="s">
        <v>32</v>
      </c>
      <c r="C19" s="59" t="s">
        <v>58</v>
      </c>
      <c r="D19" s="59" t="s">
        <v>42</v>
      </c>
      <c r="E19" s="57">
        <v>45314</v>
      </c>
      <c r="F19" s="38" t="str">
        <f>IF(C19&lt;&gt;"",VLOOKUP($C19,Carpetas!$C$5:$L$2060,2,FALSE),"")</f>
        <v>ECA004</v>
      </c>
      <c r="G19" s="38" t="s">
        <v>43</v>
      </c>
      <c r="H19" s="44">
        <f>IF(C19&lt;&gt;"",VLOOKUP($C19,Carpetas!$C$5:$L$2060,9,FALSE),"")</f>
        <v>1482164</v>
      </c>
      <c r="I19" s="51" t="str">
        <f>IF(C19&lt;&gt;"",VLOOKUP($C19,Carpetas!$C$5:$L$2060,5,FALSE),"")</f>
        <v>Andino</v>
      </c>
      <c r="J19" s="51"/>
      <c r="K19" s="50">
        <v>45330</v>
      </c>
      <c r="L19" s="39" t="str">
        <f>VLOOKUP($C19,Carpetas!$C$5:$L$2060,4,FALSE)</f>
        <v>Fray Bentos</v>
      </c>
      <c r="M19" s="55">
        <f t="shared" si="2"/>
        <v>45331</v>
      </c>
      <c r="N19" s="53">
        <f t="shared" si="1"/>
        <v>17</v>
      </c>
      <c r="O19" s="51">
        <v>1680</v>
      </c>
      <c r="P19" s="51"/>
      <c r="Q19" s="51"/>
      <c r="R19" s="51"/>
      <c r="S19" s="51"/>
      <c r="T19" s="65"/>
      <c r="U19" s="65"/>
      <c r="V19" s="65"/>
      <c r="W19" s="51"/>
      <c r="X19" s="66"/>
    </row>
    <row r="20" hidden="1" ht="27.75" customHeight="1" s="32" customFormat="1">
      <c r="A20" s="37"/>
      <c r="B20" s="31" t="s">
        <v>32</v>
      </c>
      <c r="C20" s="59" t="s">
        <v>59</v>
      </c>
      <c r="D20" s="59" t="s">
        <v>30</v>
      </c>
      <c r="E20" s="57">
        <v>45314</v>
      </c>
      <c r="F20" s="38" t="str">
        <f>IF(C20&lt;&gt;"",VLOOKUP($C20,Carpetas!$C$5:$L$2060,2,FALSE),"")</f>
        <v>ECE004</v>
      </c>
      <c r="G20" s="38" t="s">
        <v>43</v>
      </c>
      <c r="H20" s="44">
        <f>IF(C20&lt;&gt;"",VLOOKUP($C20,Carpetas!$C$5:$L$2060,9,FALSE),"")</f>
        <v>1482615</v>
      </c>
      <c r="I20" s="51" t="str">
        <f>IF(C20&lt;&gt;"",VLOOKUP($C20,Carpetas!$C$5:$L$2060,5,FALSE),"")</f>
        <v>Andino</v>
      </c>
      <c r="J20" s="51"/>
      <c r="K20" s="50">
        <v>45331</v>
      </c>
      <c r="L20" s="39" t="str">
        <f>VLOOKUP($C20,Carpetas!$C$5:$L$2060,4,FALSE)</f>
        <v>Fray Bentos</v>
      </c>
      <c r="M20" s="55">
        <f t="shared" si="2"/>
        <v>45332</v>
      </c>
      <c r="N20" s="53">
        <f t="shared" si="1"/>
        <v>18</v>
      </c>
      <c r="O20" s="51">
        <v>5400</v>
      </c>
      <c r="P20" s="51"/>
      <c r="Q20" s="51">
        <v>5400</v>
      </c>
      <c r="R20" s="51"/>
      <c r="S20" s="51"/>
      <c r="T20" s="65"/>
      <c r="U20" s="65"/>
      <c r="V20" s="65" t="s">
        <v>60</v>
      </c>
      <c r="W20" s="51" t="s">
        <v>61</v>
      </c>
      <c r="X20" s="66" t="s">
        <v>62</v>
      </c>
    </row>
    <row r="21" hidden="1" ht="27.75" customHeight="1" s="32" customFormat="1">
      <c r="A21" s="37"/>
      <c r="B21" s="31" t="s">
        <v>32</v>
      </c>
      <c r="C21" s="59" t="s">
        <v>63</v>
      </c>
      <c r="D21" s="59" t="s">
        <v>30</v>
      </c>
      <c r="E21" s="57">
        <v>45314</v>
      </c>
      <c r="F21" s="38" t="str">
        <f>IF(C21&lt;&gt;"",VLOOKUP($C21,Carpetas!$C$5:$L$2060,2,FALSE),"")</f>
        <v>ECE005</v>
      </c>
      <c r="G21" s="38" t="s">
        <v>43</v>
      </c>
      <c r="H21" s="44">
        <f>IF(C21&lt;&gt;"",VLOOKUP($C21,Carpetas!$C$5:$L$2060,9,FALSE),"")</f>
        <v>1482616</v>
      </c>
      <c r="I21" s="51" t="str">
        <f>IF(C21&lt;&gt;"",VLOOKUP($C21,Carpetas!$C$5:$L$2060,5,FALSE),"")</f>
        <v>Andino</v>
      </c>
      <c r="J21" s="51"/>
      <c r="K21" s="50">
        <v>45331</v>
      </c>
      <c r="L21" s="39" t="str">
        <f>VLOOKUP($C21,Carpetas!$C$5:$L$2060,4,FALSE)</f>
        <v>Fray Bentos</v>
      </c>
      <c r="M21" s="55">
        <f t="shared" si="2"/>
        <v>45332</v>
      </c>
      <c r="N21" s="53">
        <f t="shared" si="1"/>
        <v>18</v>
      </c>
      <c r="O21" s="51">
        <v>1112</v>
      </c>
      <c r="P21" s="51"/>
      <c r="Q21" s="51">
        <v>1112</v>
      </c>
      <c r="R21" s="51"/>
      <c r="S21" s="51"/>
      <c r="T21" s="65"/>
      <c r="U21" s="65"/>
      <c r="V21" s="65" t="s">
        <v>60</v>
      </c>
      <c r="W21" s="51" t="s">
        <v>64</v>
      </c>
      <c r="X21" s="66" t="s">
        <v>65</v>
      </c>
    </row>
    <row r="22" hidden="1" ht="27.75" customHeight="1" s="32" customFormat="1">
      <c r="A22" s="37"/>
      <c r="B22" s="31" t="s">
        <v>32</v>
      </c>
      <c r="C22" s="59" t="s">
        <v>66</v>
      </c>
      <c r="D22" s="59" t="s">
        <v>30</v>
      </c>
      <c r="E22" s="57">
        <v>45321</v>
      </c>
      <c r="F22" s="38" t="str">
        <f>IF(C22&lt;&gt;"",VLOOKUP($C22,Carpetas!$C$5:$L$2060,2,FALSE),"")</f>
        <v>ECB002</v>
      </c>
      <c r="G22" s="38" t="s">
        <v>43</v>
      </c>
      <c r="H22" s="44">
        <f>IF(C22&lt;&gt;"",VLOOKUP($C22,Carpetas!$C$5:$L$2060,9,FALSE),"")</f>
        <v>1483128</v>
      </c>
      <c r="I22" s="51" t="str">
        <f>IF(C22&lt;&gt;"",VLOOKUP($C22,Carpetas!$C$5:$L$2060,5,FALSE),"")</f>
        <v>Andino</v>
      </c>
      <c r="J22" s="51"/>
      <c r="K22" s="50">
        <v>45336</v>
      </c>
      <c r="L22" s="39" t="str">
        <f>VLOOKUP($C22,Carpetas!$C$5:$L$2060,4,FALSE)</f>
        <v>Fray Bentos</v>
      </c>
      <c r="M22" s="55">
        <f t="shared" si="2"/>
        <v>45337</v>
      </c>
      <c r="N22" s="53">
        <f t="shared" si="1"/>
        <v>16</v>
      </c>
      <c r="O22" s="51">
        <v>2160</v>
      </c>
      <c r="P22" s="51"/>
      <c r="Q22" s="51">
        <v>2160</v>
      </c>
      <c r="R22" s="51"/>
      <c r="S22" s="51"/>
      <c r="T22" s="65"/>
      <c r="U22" s="65"/>
      <c r="V22" s="65" t="s">
        <v>55</v>
      </c>
      <c r="W22" s="51" t="s">
        <v>67</v>
      </c>
      <c r="X22" s="66" t="s">
        <v>68</v>
      </c>
    </row>
    <row r="23" hidden="1" ht="27.75" customHeight="1" s="32" customFormat="1">
      <c r="A23" s="37"/>
      <c r="B23" s="31" t="s">
        <v>32</v>
      </c>
      <c r="C23" s="59" t="s">
        <v>69</v>
      </c>
      <c r="D23" s="59" t="s">
        <v>30</v>
      </c>
      <c r="E23" s="57">
        <v>45321</v>
      </c>
      <c r="F23" s="38" t="str">
        <f>IF(C23&lt;&gt;"",VLOOKUP($C23,Carpetas!$C$5:$L$2060,2,FALSE),"")</f>
        <v>ECE006</v>
      </c>
      <c r="G23" s="38" t="s">
        <v>43</v>
      </c>
      <c r="H23" s="44">
        <f>IF(C23&lt;&gt;"",VLOOKUP($C23,Carpetas!$C$5:$L$2060,9,FALSE),"")</f>
        <v>1483125</v>
      </c>
      <c r="I23" s="51" t="str">
        <f>IF(C23&lt;&gt;"",VLOOKUP($C23,Carpetas!$C$5:$L$2060,5,FALSE),"")</f>
        <v>Andino</v>
      </c>
      <c r="J23" s="51"/>
      <c r="K23" s="50">
        <v>45336</v>
      </c>
      <c r="L23" s="39" t="str">
        <f>VLOOKUP($C23,Carpetas!$C$5:$L$2060,4,FALSE)</f>
        <v>Fray Bentos</v>
      </c>
      <c r="M23" s="55">
        <f t="shared" si="2"/>
        <v>45337</v>
      </c>
      <c r="N23" s="53">
        <f t="shared" si="1"/>
        <v>16</v>
      </c>
      <c r="O23" s="51">
        <v>3240</v>
      </c>
      <c r="P23" s="51"/>
      <c r="Q23" s="51">
        <v>3240</v>
      </c>
      <c r="R23" s="51"/>
      <c r="S23" s="51"/>
      <c r="T23" s="65"/>
      <c r="U23" s="65"/>
      <c r="V23" s="65" t="s">
        <v>60</v>
      </c>
      <c r="W23" s="51" t="s">
        <v>70</v>
      </c>
      <c r="X23" s="66" t="s">
        <v>71</v>
      </c>
    </row>
    <row r="24" hidden="1" ht="27.75" customHeight="1" s="32" customFormat="1">
      <c r="A24" s="37"/>
      <c r="B24" s="31" t="s">
        <v>32</v>
      </c>
      <c r="C24" s="59" t="s">
        <v>72</v>
      </c>
      <c r="D24" s="59" t="s">
        <v>30</v>
      </c>
      <c r="E24" s="57">
        <v>45321</v>
      </c>
      <c r="F24" s="38" t="str">
        <f>IF(C24&lt;&gt;"",VLOOKUP($C24,Carpetas!$C$5:$L$2060,2,FALSE),"")</f>
        <v>ECE007</v>
      </c>
      <c r="G24" s="38" t="s">
        <v>43</v>
      </c>
      <c r="H24" s="44">
        <f>IF(C24&lt;&gt;"",VLOOKUP($C24,Carpetas!$C$5:$L$2060,9,FALSE),"")</f>
        <v>1483127</v>
      </c>
      <c r="I24" s="51" t="str">
        <f>IF(C24&lt;&gt;"",VLOOKUP($C24,Carpetas!$C$5:$L$2060,5,FALSE),"")</f>
        <v>Andino</v>
      </c>
      <c r="J24" s="51"/>
      <c r="K24" s="50">
        <v>45336</v>
      </c>
      <c r="L24" s="39" t="str">
        <f>VLOOKUP($C24,Carpetas!$C$5:$L$2060,4,FALSE)</f>
        <v>Fray Bentos</v>
      </c>
      <c r="M24" s="55">
        <f t="shared" si="2"/>
        <v>45337</v>
      </c>
      <c r="N24" s="53">
        <f t="shared" si="1"/>
        <v>16</v>
      </c>
      <c r="O24" s="51">
        <v>1144</v>
      </c>
      <c r="P24" s="51"/>
      <c r="Q24" s="51">
        <v>1144</v>
      </c>
      <c r="R24" s="51"/>
      <c r="S24" s="51"/>
      <c r="T24" s="65"/>
      <c r="U24" s="65"/>
      <c r="V24" s="65" t="s">
        <v>73</v>
      </c>
      <c r="W24" s="51" t="s">
        <v>74</v>
      </c>
      <c r="X24" s="66" t="s">
        <v>75</v>
      </c>
    </row>
    <row r="25" hidden="1" ht="27.75" customHeight="1" s="32" customFormat="1">
      <c r="A25" s="37"/>
      <c r="B25" s="31" t="s">
        <v>32</v>
      </c>
      <c r="C25" s="59" t="s">
        <v>76</v>
      </c>
      <c r="D25" s="59" t="s">
        <v>34</v>
      </c>
      <c r="E25" s="57">
        <v>45334</v>
      </c>
      <c r="F25" s="38" t="str">
        <f>IF(C25&lt;&gt;"",VLOOKUP($C25,Carpetas!$C$5:$L$2060,2,FALSE),"")</f>
        <v>CLA002</v>
      </c>
      <c r="G25" s="38" t="s">
        <v>35</v>
      </c>
      <c r="H25" s="44">
        <f>IF(C25&lt;&gt;"",VLOOKUP($C25,Carpetas!$C$5:$L$2060,9,FALSE),"")</f>
        <v>0</v>
      </c>
      <c r="I25" s="51" t="str">
        <f>IF(C25&lt;&gt;"",VLOOKUP($C25,Carpetas!$C$5:$L$2060,5,FALSE),"")</f>
        <v>Nihuil</v>
      </c>
      <c r="J25" s="51"/>
      <c r="K25" s="50">
        <f>E25+4</f>
        <v>45338</v>
      </c>
      <c r="L25" s="39" t="str">
        <f>VLOOKUP($C25,Carpetas!$C$5:$L$2060,4,FALSE)</f>
        <v>Fray Bentos</v>
      </c>
      <c r="M25" s="55">
        <f t="shared" si="2"/>
        <v>45339</v>
      </c>
      <c r="N25" s="53">
        <f t="shared" si="1"/>
        <v>5</v>
      </c>
      <c r="O25" s="51">
        <f>990+6270</f>
        <v>7260</v>
      </c>
      <c r="P25" s="51"/>
      <c r="Q25" s="51"/>
      <c r="R25" s="51"/>
      <c r="S25" s="51"/>
      <c r="T25" s="65"/>
      <c r="U25" s="65"/>
      <c r="V25" s="65"/>
      <c r="W25" s="51"/>
      <c r="X25" s="66"/>
    </row>
    <row r="26" hidden="1" ht="27.75" customHeight="1" s="32" customFormat="1">
      <c r="A26" s="37"/>
      <c r="B26" s="31" t="s">
        <v>32</v>
      </c>
      <c r="C26" s="59" t="s">
        <v>77</v>
      </c>
      <c r="D26" s="59" t="s">
        <v>48</v>
      </c>
      <c r="E26" s="57">
        <v>45314</v>
      </c>
      <c r="F26" s="38" t="str">
        <f>IF(C26&lt;&gt;"",VLOOKUP($C26,Carpetas!$C$5:$L$2060,2,FALSE),"")</f>
        <v>MXP001</v>
      </c>
      <c r="G26" s="38" t="s">
        <v>78</v>
      </c>
      <c r="H26" s="44">
        <f>IF(C26&lt;&gt;"",VLOOKUP($C26,Carpetas!$C$5:$L$2060,9,FALSE),"")</f>
        <v>0</v>
      </c>
      <c r="I26" s="51" t="str">
        <f>IF(C26&lt;&gt;"",VLOOKUP($C26,Carpetas!$C$5:$L$2060,5,FALSE),"")</f>
        <v>Andino</v>
      </c>
      <c r="J26" s="51"/>
      <c r="K26" s="50">
        <v>45340</v>
      </c>
      <c r="L26" s="39" t="str">
        <f>VLOOKUP($C26,Carpetas!$C$5:$L$2060,4,FALSE)</f>
        <v>Fray Bentos</v>
      </c>
      <c r="M26" s="55">
        <v>45341</v>
      </c>
      <c r="N26" s="53">
        <f t="shared" si="1"/>
        <v>27</v>
      </c>
      <c r="O26" s="51">
        <v>1920</v>
      </c>
      <c r="P26" s="51"/>
      <c r="Q26" s="51">
        <v>1920</v>
      </c>
      <c r="R26" s="51"/>
      <c r="S26" s="51"/>
      <c r="T26" s="65"/>
      <c r="U26" s="65"/>
      <c r="V26" s="65"/>
      <c r="W26" s="51"/>
      <c r="X26" s="66" t="s">
        <v>79</v>
      </c>
    </row>
    <row r="27" hidden="1" ht="27.75" customHeight="1" s="32" customFormat="1">
      <c r="A27" s="37"/>
      <c r="B27" s="31" t="s">
        <v>32</v>
      </c>
      <c r="C27" s="59" t="s">
        <v>80</v>
      </c>
      <c r="D27" s="59" t="s">
        <v>48</v>
      </c>
      <c r="E27" s="57">
        <v>45314</v>
      </c>
      <c r="F27" s="38" t="str">
        <f>IF(C27&lt;&gt;"",VLOOKUP($C27,Carpetas!$C$5:$L$2060,2,FALSE),"")</f>
        <v>MXP002</v>
      </c>
      <c r="G27" s="38" t="s">
        <v>78</v>
      </c>
      <c r="H27" s="44">
        <f>IF(C27&lt;&gt;"",VLOOKUP($C27,Carpetas!$C$5:$L$2060,9,FALSE),"")</f>
        <v>0</v>
      </c>
      <c r="I27" s="51" t="str">
        <f>IF(C27&lt;&gt;"",VLOOKUP($C27,Carpetas!$C$5:$L$2060,5,FALSE),"")</f>
        <v>Andino</v>
      </c>
      <c r="J27" s="51"/>
      <c r="K27" s="50">
        <v>45340</v>
      </c>
      <c r="L27" s="39" t="str">
        <f>VLOOKUP($C27,Carpetas!$C$5:$L$2060,4,FALSE)</f>
        <v>Fray Bentos</v>
      </c>
      <c r="M27" s="55">
        <v>45341</v>
      </c>
      <c r="N27" s="53">
        <f t="shared" si="1"/>
        <v>27</v>
      </c>
      <c r="O27" s="51">
        <v>1920</v>
      </c>
      <c r="P27" s="51"/>
      <c r="Q27" s="51">
        <v>1920</v>
      </c>
      <c r="R27" s="51"/>
      <c r="S27" s="51"/>
      <c r="T27" s="65"/>
      <c r="U27" s="65"/>
      <c r="V27" s="65"/>
      <c r="W27" s="51"/>
      <c r="X27" s="66" t="s">
        <v>81</v>
      </c>
    </row>
    <row r="28" hidden="1" ht="27.75" customHeight="1" s="32" customFormat="1">
      <c r="A28" s="37"/>
      <c r="B28" s="31" t="s">
        <v>32</v>
      </c>
      <c r="C28" s="59" t="s">
        <v>82</v>
      </c>
      <c r="D28" s="59" t="s">
        <v>30</v>
      </c>
      <c r="E28" s="57">
        <v>45328</v>
      </c>
      <c r="F28" s="38" t="str">
        <f>IF(C28&lt;&gt;"",VLOOKUP($C28,Carpetas!$C$5:$L$2060,2,FALSE),"")</f>
        <v>ECE008</v>
      </c>
      <c r="G28" s="38" t="s">
        <v>43</v>
      </c>
      <c r="H28" s="44">
        <f>IF(C28&lt;&gt;"",VLOOKUP($C28,Carpetas!$C$5:$L$2060,9,FALSE),"")</f>
        <v>1483563</v>
      </c>
      <c r="I28" s="51" t="str">
        <f>IF(C28&lt;&gt;"",VLOOKUP($C28,Carpetas!$C$5:$L$2060,5,FALSE),"")</f>
        <v>Andino</v>
      </c>
      <c r="J28" s="51"/>
      <c r="K28" s="50">
        <v>45342</v>
      </c>
      <c r="L28" s="39" t="str">
        <f>VLOOKUP($C28,Carpetas!$C$5:$L$2060,4,FALSE)</f>
        <v>Fray Bentos</v>
      </c>
      <c r="M28" s="55">
        <f ref="M28:M44" t="shared" si="3">K28+1</f>
        <v>45343</v>
      </c>
      <c r="N28" s="53">
        <f t="shared" si="1"/>
        <v>15</v>
      </c>
      <c r="O28" s="51">
        <v>3240</v>
      </c>
      <c r="P28" s="51"/>
      <c r="Q28" s="51">
        <v>3240</v>
      </c>
      <c r="R28" s="51"/>
      <c r="S28" s="51"/>
      <c r="T28" s="65"/>
      <c r="U28" s="65"/>
      <c r="V28" s="65" t="s">
        <v>60</v>
      </c>
      <c r="W28" s="51" t="s">
        <v>83</v>
      </c>
      <c r="X28" s="66" t="s">
        <v>84</v>
      </c>
    </row>
    <row r="29" hidden="1" ht="27.75" customHeight="1" s="32" customFormat="1">
      <c r="A29" s="37"/>
      <c r="B29" s="31" t="s">
        <v>32</v>
      </c>
      <c r="C29" s="59" t="s">
        <v>85</v>
      </c>
      <c r="D29" s="59" t="s">
        <v>30</v>
      </c>
      <c r="E29" s="57">
        <v>45328</v>
      </c>
      <c r="F29" s="38" t="str">
        <f>IF(C29&lt;&gt;"",VLOOKUP($C29,Carpetas!$C$5:$L$2060,2,FALSE),"")</f>
        <v>ECE009</v>
      </c>
      <c r="G29" s="38" t="s">
        <v>43</v>
      </c>
      <c r="H29" s="44">
        <f>IF(C29&lt;&gt;"",VLOOKUP($C29,Carpetas!$C$5:$L$2060,9,FALSE),"")</f>
        <v>1483858</v>
      </c>
      <c r="I29" s="51" t="str">
        <f>IF(C29&lt;&gt;"",VLOOKUP($C29,Carpetas!$C$5:$L$2060,5,FALSE),"")</f>
        <v>Andino</v>
      </c>
      <c r="J29" s="51"/>
      <c r="K29" s="50">
        <v>45342</v>
      </c>
      <c r="L29" s="39" t="str">
        <f>VLOOKUP($C29,Carpetas!$C$5:$L$2060,4,FALSE)</f>
        <v>Fray Bentos</v>
      </c>
      <c r="M29" s="55">
        <f t="shared" si="3"/>
        <v>45343</v>
      </c>
      <c r="N29" s="53">
        <f t="shared" si="1"/>
        <v>15</v>
      </c>
      <c r="O29" s="51">
        <v>2160</v>
      </c>
      <c r="P29" s="51"/>
      <c r="Q29" s="51">
        <v>2160</v>
      </c>
      <c r="R29" s="51"/>
      <c r="S29" s="51"/>
      <c r="T29" s="65"/>
      <c r="U29" s="65"/>
      <c r="V29" s="65" t="s">
        <v>60</v>
      </c>
      <c r="W29" s="51" t="s">
        <v>86</v>
      </c>
      <c r="X29" s="66" t="s">
        <v>87</v>
      </c>
    </row>
    <row r="30" hidden="1" ht="27.75" customHeight="1" s="32" customFormat="1">
      <c r="A30" s="37"/>
      <c r="B30" s="31" t="s">
        <v>32</v>
      </c>
      <c r="C30" s="59" t="s">
        <v>88</v>
      </c>
      <c r="D30" s="59" t="s">
        <v>30</v>
      </c>
      <c r="E30" s="57">
        <v>45328</v>
      </c>
      <c r="F30" s="38" t="str">
        <f>IF(C30&lt;&gt;"",VLOOKUP($C30,Carpetas!$C$5:$L$2060,2,FALSE),"")</f>
        <v>ECB003</v>
      </c>
      <c r="G30" s="38" t="s">
        <v>43</v>
      </c>
      <c r="H30" s="44">
        <f>IF(C30&lt;&gt;"",VLOOKUP($C30,Carpetas!$C$5:$L$2060,9,FALSE),"")</f>
        <v>1483708</v>
      </c>
      <c r="I30" s="51" t="str">
        <f>IF(C30&lt;&gt;"",VLOOKUP($C30,Carpetas!$C$5:$L$2060,5,FALSE),"")</f>
        <v>Andino</v>
      </c>
      <c r="J30" s="51"/>
      <c r="K30" s="50">
        <v>45346</v>
      </c>
      <c r="L30" s="39" t="str">
        <f>VLOOKUP($C30,Carpetas!$C$5:$L$2060,4,FALSE)</f>
        <v>Fray Bentos</v>
      </c>
      <c r="M30" s="55">
        <f t="shared" si="3"/>
        <v>45347</v>
      </c>
      <c r="N30" s="53">
        <f t="shared" si="1"/>
        <v>19</v>
      </c>
      <c r="O30" s="51">
        <v>2160</v>
      </c>
      <c r="P30" s="51"/>
      <c r="Q30" s="51">
        <v>2160</v>
      </c>
      <c r="R30" s="51"/>
      <c r="S30" s="51"/>
      <c r="T30" s="65"/>
      <c r="U30" s="65"/>
      <c r="V30" s="65" t="s">
        <v>89</v>
      </c>
      <c r="W30" s="51" t="s">
        <v>90</v>
      </c>
      <c r="X30" s="66" t="s">
        <v>91</v>
      </c>
    </row>
    <row r="31" hidden="1" ht="27.75" customHeight="1" s="32" customFormat="1">
      <c r="A31" s="37"/>
      <c r="B31" s="31" t="s">
        <v>32</v>
      </c>
      <c r="C31" s="59" t="s">
        <v>92</v>
      </c>
      <c r="D31" s="59" t="s">
        <v>48</v>
      </c>
      <c r="E31" s="57">
        <v>45322</v>
      </c>
      <c r="F31" s="38" t="str">
        <f>IF(C31&lt;&gt;"",VLOOKUP($C31,Carpetas!$C$5:$L$2060,2,FALSE),"")</f>
        <v>MXP003</v>
      </c>
      <c r="G31" s="38" t="s">
        <v>78</v>
      </c>
      <c r="H31" s="44">
        <f>IF(C31&lt;&gt;"",VLOOKUP($C31,Carpetas!$C$5:$L$2060,9,FALSE),"")</f>
        <v>0</v>
      </c>
      <c r="I31" s="51" t="str">
        <f>IF(C31&lt;&gt;"",VLOOKUP($C31,Carpetas!$C$5:$L$2060,5,FALSE),"")</f>
        <v>Andino</v>
      </c>
      <c r="J31" s="51"/>
      <c r="K31" s="50">
        <v>45349</v>
      </c>
      <c r="L31" s="39" t="str">
        <f>VLOOKUP($C31,Carpetas!$C$5:$L$2060,4,FALSE)</f>
        <v>Fray Bentos</v>
      </c>
      <c r="M31" s="55">
        <f t="shared" si="3"/>
        <v>45350</v>
      </c>
      <c r="N31" s="53">
        <f t="shared" si="1"/>
        <v>28</v>
      </c>
      <c r="O31" s="51">
        <v>1920</v>
      </c>
      <c r="P31" s="51"/>
      <c r="Q31" s="51">
        <v>1920</v>
      </c>
      <c r="R31" s="51"/>
      <c r="S31" s="51"/>
      <c r="T31" s="65"/>
      <c r="U31" s="65"/>
      <c r="V31" s="65" t="s">
        <v>93</v>
      </c>
      <c r="W31" s="51" t="s">
        <v>94</v>
      </c>
      <c r="X31" s="66" t="s">
        <v>95</v>
      </c>
    </row>
    <row r="32" hidden="1" ht="27.75" customHeight="1" s="32" customFormat="1">
      <c r="A32" s="37"/>
      <c r="B32" s="31" t="s">
        <v>32</v>
      </c>
      <c r="C32" s="59" t="s">
        <v>96</v>
      </c>
      <c r="D32" s="59" t="s">
        <v>48</v>
      </c>
      <c r="E32" s="57">
        <v>45322</v>
      </c>
      <c r="F32" s="38" t="str">
        <f>IF(C32&lt;&gt;"",VLOOKUP($C32,Carpetas!$C$5:$L$2060,2,FALSE),"")</f>
        <v>MXP004</v>
      </c>
      <c r="G32" s="38" t="s">
        <v>78</v>
      </c>
      <c r="H32" s="44">
        <f>IF(C32&lt;&gt;"",VLOOKUP($C32,Carpetas!$C$5:$L$2060,9,FALSE),"")</f>
        <v>0</v>
      </c>
      <c r="I32" s="51" t="str">
        <f>IF(C32&lt;&gt;"",VLOOKUP($C32,Carpetas!$C$5:$L$2060,5,FALSE),"")</f>
        <v>Andino</v>
      </c>
      <c r="J32" s="51"/>
      <c r="K32" s="50">
        <v>45349</v>
      </c>
      <c r="L32" s="39" t="str">
        <f>VLOOKUP($C32,Carpetas!$C$5:$L$2060,4,FALSE)</f>
        <v>Fray Bentos</v>
      </c>
      <c r="M32" s="55">
        <f t="shared" si="3"/>
        <v>45350</v>
      </c>
      <c r="N32" s="53">
        <f t="shared" si="1"/>
        <v>28</v>
      </c>
      <c r="O32" s="51">
        <v>1920</v>
      </c>
      <c r="P32" s="51"/>
      <c r="Q32" s="51">
        <v>1920</v>
      </c>
      <c r="R32" s="51"/>
      <c r="S32" s="51"/>
      <c r="T32" s="65"/>
      <c r="U32" s="65"/>
      <c r="V32" s="65" t="s">
        <v>93</v>
      </c>
      <c r="W32" s="51" t="s">
        <v>97</v>
      </c>
      <c r="X32" s="66" t="s">
        <v>98</v>
      </c>
    </row>
    <row r="33" hidden="1" ht="27.75" customHeight="1" s="32" customFormat="1">
      <c r="A33" s="37"/>
      <c r="B33" s="31" t="s">
        <v>32</v>
      </c>
      <c r="C33" s="59" t="s">
        <v>99</v>
      </c>
      <c r="D33" s="59" t="s">
        <v>42</v>
      </c>
      <c r="E33" s="57">
        <v>45333</v>
      </c>
      <c r="F33" s="38" t="str">
        <f>IF(C33&lt;&gt;"",VLOOKUP($C33,Carpetas!$C$5:$L$2060,2,FALSE),"")</f>
        <v>ECA005</v>
      </c>
      <c r="G33" s="38" t="s">
        <v>43</v>
      </c>
      <c r="H33" s="44">
        <f>IF(C33&lt;&gt;"",VLOOKUP($C33,Carpetas!$C$5:$L$2060,9,FALSE),"")</f>
        <v>1484118</v>
      </c>
      <c r="I33" s="51" t="str">
        <f>IF(C33&lt;&gt;"",VLOOKUP($C33,Carpetas!$C$5:$L$2060,5,FALSE),"")</f>
        <v>Andino</v>
      </c>
      <c r="J33" s="51"/>
      <c r="K33" s="50">
        <v>45349</v>
      </c>
      <c r="L33" s="39" t="str">
        <f>VLOOKUP($C33,Carpetas!$C$5:$L$2060,4,FALSE)</f>
        <v>Fray Bentos</v>
      </c>
      <c r="M33" s="55">
        <f t="shared" si="3"/>
        <v>45350</v>
      </c>
      <c r="N33" s="53">
        <f t="shared" si="1"/>
        <v>17</v>
      </c>
      <c r="O33" s="51">
        <v>1680</v>
      </c>
      <c r="P33" s="51"/>
      <c r="Q33" s="51"/>
      <c r="R33" s="51"/>
      <c r="S33" s="51"/>
      <c r="T33" s="65"/>
      <c r="U33" s="65"/>
      <c r="V33" s="65"/>
      <c r="W33" s="51"/>
      <c r="X33" s="66"/>
    </row>
    <row r="34" hidden="1" ht="27.75" customHeight="1" s="32" customFormat="1">
      <c r="A34" s="37"/>
      <c r="B34" s="31" t="s">
        <v>32</v>
      </c>
      <c r="C34" s="59" t="s">
        <v>100</v>
      </c>
      <c r="D34" s="59" t="s">
        <v>30</v>
      </c>
      <c r="E34" s="57">
        <v>45333</v>
      </c>
      <c r="F34" s="38" t="str">
        <f>IF(C34&lt;&gt;"",VLOOKUP($C34,Carpetas!$C$5:$L$2060,2,FALSE),"")</f>
        <v>ECB004</v>
      </c>
      <c r="G34" s="38" t="s">
        <v>43</v>
      </c>
      <c r="H34" s="44">
        <f>IF(C34&lt;&gt;"",VLOOKUP($C34,Carpetas!$C$5:$L$2060,9,FALSE),"")</f>
        <v>1484050</v>
      </c>
      <c r="I34" s="51" t="str">
        <f>IF(C34&lt;&gt;"",VLOOKUP($C34,Carpetas!$C$5:$L$2060,5,FALSE),"")</f>
        <v>Andino</v>
      </c>
      <c r="J34" s="51"/>
      <c r="K34" s="50">
        <v>45350</v>
      </c>
      <c r="L34" s="39" t="str">
        <f>VLOOKUP($C34,Carpetas!$C$5:$L$2060,4,FALSE)</f>
        <v>Fray Bentos</v>
      </c>
      <c r="M34" s="55">
        <f t="shared" si="3"/>
        <v>45351</v>
      </c>
      <c r="N34" s="53">
        <f t="shared" si="1"/>
        <v>18</v>
      </c>
      <c r="O34" s="51">
        <v>1080</v>
      </c>
      <c r="P34" s="51"/>
      <c r="Q34" s="51">
        <v>1080</v>
      </c>
      <c r="R34" s="51"/>
      <c r="S34" s="51"/>
      <c r="T34" s="65"/>
      <c r="U34" s="65"/>
      <c r="V34" s="65" t="s">
        <v>55</v>
      </c>
      <c r="W34" s="51" t="s">
        <v>101</v>
      </c>
      <c r="X34" s="66" t="s">
        <v>102</v>
      </c>
    </row>
    <row r="35" hidden="1" ht="27.75" customHeight="1" s="32" customFormat="1">
      <c r="A35" s="37"/>
      <c r="B35" s="31" t="s">
        <v>32</v>
      </c>
      <c r="C35" s="59" t="s">
        <v>103</v>
      </c>
      <c r="D35" s="59" t="s">
        <v>30</v>
      </c>
      <c r="E35" s="57">
        <v>45333</v>
      </c>
      <c r="F35" s="38" t="str">
        <f>IF(C35&lt;&gt;"",VLOOKUP($C35,Carpetas!$C$5:$L$2060,2,FALSE),"")</f>
        <v>ECE010</v>
      </c>
      <c r="G35" s="38" t="s">
        <v>43</v>
      </c>
      <c r="H35" s="44">
        <f>IF(C35&lt;&gt;"",VLOOKUP($C35,Carpetas!$C$5:$L$2060,9,FALSE),"")</f>
        <v>1484015</v>
      </c>
      <c r="I35" s="51" t="str">
        <f>IF(C35&lt;&gt;"",VLOOKUP($C35,Carpetas!$C$5:$L$2060,5,FALSE),"")</f>
        <v>Andino</v>
      </c>
      <c r="J35" s="51"/>
      <c r="K35" s="50">
        <v>45350</v>
      </c>
      <c r="L35" s="39" t="str">
        <f>VLOOKUP($C35,Carpetas!$C$5:$L$2060,4,FALSE)</f>
        <v>Fray Bentos</v>
      </c>
      <c r="M35" s="55">
        <f t="shared" si="3"/>
        <v>45351</v>
      </c>
      <c r="N35" s="53">
        <f t="shared" si="1"/>
        <v>18</v>
      </c>
      <c r="O35" s="51">
        <v>1080</v>
      </c>
      <c r="P35" s="51"/>
      <c r="Q35" s="51">
        <v>1080</v>
      </c>
      <c r="R35" s="51"/>
      <c r="S35" s="51"/>
      <c r="T35" s="65"/>
      <c r="U35" s="65"/>
      <c r="V35" s="65" t="s">
        <v>60</v>
      </c>
      <c r="W35" s="51" t="s">
        <v>104</v>
      </c>
      <c r="X35" s="66" t="s">
        <v>105</v>
      </c>
    </row>
    <row r="36" hidden="1" ht="27.75" customHeight="1" s="32" customFormat="1">
      <c r="A36" s="37"/>
      <c r="B36" s="31" t="s">
        <v>32</v>
      </c>
      <c r="C36" s="59" t="s">
        <v>103</v>
      </c>
      <c r="D36" s="59" t="s">
        <v>30</v>
      </c>
      <c r="E36" s="57">
        <v>45333</v>
      </c>
      <c r="F36" s="38" t="str">
        <f>IF(C36&lt;&gt;"",VLOOKUP($C36,Carpetas!$C$5:$L$2060,2,FALSE),"")</f>
        <v>ECE010</v>
      </c>
      <c r="G36" s="38" t="s">
        <v>43</v>
      </c>
      <c r="H36" s="44">
        <f>IF(C36&lt;&gt;"",VLOOKUP($C36,Carpetas!$C$5:$L$2060,9,FALSE),"")</f>
        <v>1484015</v>
      </c>
      <c r="I36" s="51" t="str">
        <f>IF(C36&lt;&gt;"",VLOOKUP($C36,Carpetas!$C$5:$L$2060,5,FALSE),"")</f>
        <v>Andino</v>
      </c>
      <c r="J36" s="51"/>
      <c r="K36" s="50">
        <v>45350</v>
      </c>
      <c r="L36" s="39" t="str">
        <f>VLOOKUP($C36,Carpetas!$C$5:$L$2060,4,FALSE)</f>
        <v>Fray Bentos</v>
      </c>
      <c r="M36" s="55">
        <f t="shared" si="3"/>
        <v>45351</v>
      </c>
      <c r="N36" s="53">
        <f t="shared" si="1"/>
        <v>18</v>
      </c>
      <c r="O36" s="51">
        <v>1080</v>
      </c>
      <c r="P36" s="51"/>
      <c r="Q36" s="51">
        <v>1080</v>
      </c>
      <c r="R36" s="51"/>
      <c r="S36" s="51"/>
      <c r="T36" s="65"/>
      <c r="U36" s="65"/>
      <c r="V36" s="65" t="s">
        <v>60</v>
      </c>
      <c r="W36" s="51" t="s">
        <v>106</v>
      </c>
      <c r="X36" s="66" t="s">
        <v>107</v>
      </c>
    </row>
    <row r="37" hidden="1" ht="27.75" customHeight="1" s="32" customFormat="1">
      <c r="A37" s="37"/>
      <c r="B37" s="31" t="s">
        <v>32</v>
      </c>
      <c r="C37" s="59" t="s">
        <v>108</v>
      </c>
      <c r="D37" s="59" t="s">
        <v>30</v>
      </c>
      <c r="E37" s="57">
        <v>45333</v>
      </c>
      <c r="F37" s="38" t="str">
        <f>IF(C37&lt;&gt;"",VLOOKUP($C37,Carpetas!$C$5:$L$2060,2,FALSE),"")</f>
        <v>ECE011</v>
      </c>
      <c r="G37" s="38" t="s">
        <v>43</v>
      </c>
      <c r="H37" s="44">
        <f>IF(C37&lt;&gt;"",VLOOKUP($C37,Carpetas!$C$5:$L$2060,9,FALSE),"")</f>
        <v>1484016</v>
      </c>
      <c r="I37" s="51" t="str">
        <f>IF(C37&lt;&gt;"",VLOOKUP($C37,Carpetas!$C$5:$L$2060,5,FALSE),"")</f>
        <v>Andino</v>
      </c>
      <c r="J37" s="51"/>
      <c r="K37" s="50">
        <v>45350</v>
      </c>
      <c r="L37" s="39" t="str">
        <f>VLOOKUP($C37,Carpetas!$C$5:$L$2060,4,FALSE)</f>
        <v>Fray Bentos</v>
      </c>
      <c r="M37" s="55">
        <f t="shared" si="3"/>
        <v>45351</v>
      </c>
      <c r="N37" s="53">
        <f t="shared" si="1"/>
        <v>18</v>
      </c>
      <c r="O37" s="51">
        <v>1144</v>
      </c>
      <c r="P37" s="51"/>
      <c r="Q37" s="51">
        <v>1144</v>
      </c>
      <c r="R37" s="51"/>
      <c r="S37" s="51"/>
      <c r="T37" s="65"/>
      <c r="U37" s="65"/>
      <c r="V37" s="65" t="s">
        <v>56</v>
      </c>
      <c r="W37" s="51"/>
      <c r="X37" s="66" t="s">
        <v>109</v>
      </c>
    </row>
    <row r="38" hidden="1" ht="27.75" customHeight="1" s="32" customFormat="1">
      <c r="A38" s="37"/>
      <c r="B38" s="31" t="s">
        <v>32</v>
      </c>
      <c r="C38" s="59" t="s">
        <v>103</v>
      </c>
      <c r="D38" s="59" t="s">
        <v>30</v>
      </c>
      <c r="E38" s="57">
        <v>45333</v>
      </c>
      <c r="F38" s="38" t="str">
        <f>IF(C38&lt;&gt;"",VLOOKUP($C38,Carpetas!$C$5:$L$2060,2,FALSE),"")</f>
        <v>ECE010</v>
      </c>
      <c r="G38" s="38" t="s">
        <v>43</v>
      </c>
      <c r="H38" s="44">
        <f>IF(C38&lt;&gt;"",VLOOKUP($C38,Carpetas!$C$5:$L$2060,9,FALSE),"")</f>
        <v>1484015</v>
      </c>
      <c r="I38" s="51" t="str">
        <f>IF(C38&lt;&gt;"",VLOOKUP($C38,Carpetas!$C$5:$L$2060,5,FALSE),"")</f>
        <v>Andino</v>
      </c>
      <c r="J38" s="51"/>
      <c r="K38" s="50">
        <v>45351</v>
      </c>
      <c r="L38" s="39" t="str">
        <f>VLOOKUP($C38,Carpetas!$C$5:$L$2060,4,FALSE)</f>
        <v>Fray Bentos</v>
      </c>
      <c r="M38" s="55">
        <f t="shared" si="3"/>
        <v>45352</v>
      </c>
      <c r="N38" s="53">
        <f t="shared" si="1"/>
        <v>19</v>
      </c>
      <c r="O38" s="51">
        <v>1080</v>
      </c>
      <c r="P38" s="51"/>
      <c r="Q38" s="51">
        <v>1080</v>
      </c>
      <c r="R38" s="51"/>
      <c r="S38" s="51"/>
      <c r="T38" s="65"/>
      <c r="U38" s="65"/>
      <c r="V38" s="65" t="s">
        <v>60</v>
      </c>
      <c r="W38" s="51" t="s">
        <v>110</v>
      </c>
      <c r="X38" s="66" t="s">
        <v>111</v>
      </c>
    </row>
    <row r="39" hidden="1" ht="27.75" customHeight="1" s="32" customFormat="1">
      <c r="A39" s="37"/>
      <c r="B39" s="31" t="s">
        <v>32</v>
      </c>
      <c r="C39" s="59" t="s">
        <v>100</v>
      </c>
      <c r="D39" s="59" t="s">
        <v>30</v>
      </c>
      <c r="E39" s="57">
        <v>45333</v>
      </c>
      <c r="F39" s="38" t="str">
        <f>IF(C39&lt;&gt;"",VLOOKUP($C39,Carpetas!$C$5:$L$2060,2,FALSE),"")</f>
        <v>ECB004</v>
      </c>
      <c r="G39" s="38" t="s">
        <v>43</v>
      </c>
      <c r="H39" s="44">
        <f>IF(C39&lt;&gt;"",VLOOKUP($C39,Carpetas!$C$5:$L$2060,9,FALSE),"")</f>
        <v>1484050</v>
      </c>
      <c r="I39" s="51" t="str">
        <f>IF(C39&lt;&gt;"",VLOOKUP($C39,Carpetas!$C$5:$L$2060,5,FALSE),"")</f>
        <v>Andino</v>
      </c>
      <c r="J39" s="51"/>
      <c r="K39" s="50">
        <v>45351</v>
      </c>
      <c r="L39" s="39" t="str">
        <f>VLOOKUP($C39,Carpetas!$C$5:$L$2060,4,FALSE)</f>
        <v>Fray Bentos</v>
      </c>
      <c r="M39" s="55">
        <f t="shared" si="3"/>
        <v>45352</v>
      </c>
      <c r="N39" s="53">
        <f t="shared" si="1"/>
        <v>19</v>
      </c>
      <c r="O39" s="51">
        <v>1080</v>
      </c>
      <c r="P39" s="51"/>
      <c r="Q39" s="51">
        <v>1080</v>
      </c>
      <c r="R39" s="51"/>
      <c r="S39" s="51"/>
      <c r="T39" s="65"/>
      <c r="U39" s="65"/>
      <c r="V39" s="65" t="s">
        <v>55</v>
      </c>
      <c r="W39" s="51" t="s">
        <v>112</v>
      </c>
      <c r="X39" s="66" t="s">
        <v>113</v>
      </c>
    </row>
    <row r="40" hidden="1" ht="27.75" customHeight="1" s="32" customFormat="1">
      <c r="A40" s="37"/>
      <c r="B40" s="31" t="s">
        <v>32</v>
      </c>
      <c r="C40" s="59" t="s">
        <v>100</v>
      </c>
      <c r="D40" s="59" t="s">
        <v>30</v>
      </c>
      <c r="E40" s="57">
        <v>45333</v>
      </c>
      <c r="F40" s="38" t="str">
        <f>IF(C40&lt;&gt;"",VLOOKUP($C40,Carpetas!$C$5:$L$2060,2,FALSE),"")</f>
        <v>ECB004</v>
      </c>
      <c r="G40" s="38" t="s">
        <v>43</v>
      </c>
      <c r="H40" s="44">
        <f>IF(C40&lt;&gt;"",VLOOKUP($C40,Carpetas!$C$5:$L$2060,9,FALSE),"")</f>
        <v>1484050</v>
      </c>
      <c r="I40" s="51" t="str">
        <f>IF(C40&lt;&gt;"",VLOOKUP($C40,Carpetas!$C$5:$L$2060,5,FALSE),"")</f>
        <v>Andino</v>
      </c>
      <c r="J40" s="51"/>
      <c r="K40" s="50">
        <v>45351</v>
      </c>
      <c r="L40" s="39" t="str">
        <f>VLOOKUP($C40,Carpetas!$C$5:$L$2060,4,FALSE)</f>
        <v>Fray Bentos</v>
      </c>
      <c r="M40" s="55">
        <f t="shared" si="3"/>
        <v>45352</v>
      </c>
      <c r="N40" s="53">
        <f t="shared" si="1"/>
        <v>19</v>
      </c>
      <c r="O40" s="51">
        <v>1080</v>
      </c>
      <c r="P40" s="51"/>
      <c r="Q40" s="51">
        <v>1080</v>
      </c>
      <c r="R40" s="51"/>
      <c r="S40" s="51"/>
      <c r="T40" s="65"/>
      <c r="U40" s="65"/>
      <c r="V40" s="65" t="s">
        <v>55</v>
      </c>
      <c r="W40" s="51" t="s">
        <v>114</v>
      </c>
      <c r="X40" s="66" t="s">
        <v>113</v>
      </c>
    </row>
    <row r="41" hidden="1" ht="27.75" customHeight="1" s="32" customFormat="1">
      <c r="A41" s="37"/>
      <c r="B41" s="31" t="s">
        <v>32</v>
      </c>
      <c r="C41" s="59" t="s">
        <v>115</v>
      </c>
      <c r="D41" s="59" t="s">
        <v>48</v>
      </c>
      <c r="E41" s="57">
        <v>45350</v>
      </c>
      <c r="F41" s="38" t="str">
        <f>IF(C41&lt;&gt;"",VLOOKUP($C41,Carpetas!$C$5:$L$2060,2,FALSE),"")</f>
        <v>CLP002</v>
      </c>
      <c r="G41" s="38" t="s">
        <v>35</v>
      </c>
      <c r="H41" s="44" t="str">
        <f>IF(C41&lt;&gt;"",VLOOKUP($C41,Carpetas!$C$5:$L$2060,9,FALSE),"")</f>
        <v>148.30.99</v>
      </c>
      <c r="I41" s="51" t="str">
        <f>IF(C41&lt;&gt;"",VLOOKUP($C41,Carpetas!$C$5:$L$2060,5,FALSE),"")</f>
        <v>Nihuil</v>
      </c>
      <c r="J41" s="51"/>
      <c r="K41" s="50">
        <v>45355</v>
      </c>
      <c r="L41" s="39" t="str">
        <f>VLOOKUP($C41,Carpetas!$C$5:$L$2060,4,FALSE)</f>
        <v>Fray Bentos</v>
      </c>
      <c r="M41" s="55">
        <f t="shared" si="3"/>
        <v>45356</v>
      </c>
      <c r="N41" s="53">
        <f t="shared" si="1"/>
        <v>6</v>
      </c>
      <c r="O41" s="51">
        <v>2112</v>
      </c>
      <c r="P41" s="51"/>
      <c r="Q41" s="51">
        <v>2112</v>
      </c>
      <c r="R41" s="51"/>
      <c r="S41" s="51"/>
      <c r="T41" s="65"/>
      <c r="U41" s="65"/>
      <c r="V41" s="65"/>
      <c r="W41" s="51" t="s">
        <v>116</v>
      </c>
      <c r="X41" s="66" t="s">
        <v>117</v>
      </c>
    </row>
    <row r="42" hidden="1" ht="27.75" customHeight="1" s="32" customFormat="1">
      <c r="A42" s="37"/>
      <c r="B42" s="31" t="s">
        <v>32</v>
      </c>
      <c r="C42" s="59" t="s">
        <v>118</v>
      </c>
      <c r="D42" s="59" t="s">
        <v>30</v>
      </c>
      <c r="E42" s="57">
        <v>45340</v>
      </c>
      <c r="F42" s="38" t="str">
        <f>IF(C42&lt;&gt;"",VLOOKUP($C42,Carpetas!$C$5:$L$2060,2,FALSE),"")</f>
        <v>ECB005</v>
      </c>
      <c r="G42" s="38" t="s">
        <v>43</v>
      </c>
      <c r="H42" s="44">
        <f>IF(C42&lt;&gt;"",VLOOKUP($C42,Carpetas!$C$5:$L$2060,9,FALSE),"")</f>
        <v>1484514</v>
      </c>
      <c r="I42" s="51" t="str">
        <f>IF(C42&lt;&gt;"",VLOOKUP($C42,Carpetas!$C$5:$L$2060,5,FALSE),"")</f>
        <v>Andino</v>
      </c>
      <c r="J42" s="51"/>
      <c r="K42" s="50">
        <v>45357</v>
      </c>
      <c r="L42" s="39" t="str">
        <f>VLOOKUP($C42,Carpetas!$C$5:$L$2060,4,FALSE)</f>
        <v>Fray Bentos</v>
      </c>
      <c r="M42" s="55">
        <f t="shared" si="3"/>
        <v>45358</v>
      </c>
      <c r="N42" s="53">
        <f t="shared" si="1"/>
        <v>18</v>
      </c>
      <c r="O42" s="51">
        <v>1080</v>
      </c>
      <c r="P42" s="51"/>
      <c r="Q42" s="51">
        <v>1080</v>
      </c>
      <c r="R42" s="51"/>
      <c r="S42" s="51"/>
      <c r="T42" s="65"/>
      <c r="U42" s="65"/>
      <c r="V42" s="65" t="s">
        <v>55</v>
      </c>
      <c r="W42" s="51"/>
      <c r="X42" s="66" t="s">
        <v>119</v>
      </c>
    </row>
    <row r="43" hidden="1" ht="27.75" customHeight="1" s="32" customFormat="1">
      <c r="A43" s="37"/>
      <c r="B43" s="31" t="s">
        <v>32</v>
      </c>
      <c r="C43" s="59" t="s">
        <v>120</v>
      </c>
      <c r="D43" s="59" t="s">
        <v>30</v>
      </c>
      <c r="E43" s="57">
        <v>45340</v>
      </c>
      <c r="F43" s="38" t="str">
        <f>IF(C43&lt;&gt;"",VLOOKUP($C43,Carpetas!$C$5:$L$2060,2,FALSE),"")</f>
        <v>ECE012</v>
      </c>
      <c r="G43" s="38" t="s">
        <v>43</v>
      </c>
      <c r="H43" s="44">
        <f>IF(C43&lt;&gt;"",VLOOKUP($C43,Carpetas!$C$5:$L$2060,9,FALSE),"")</f>
        <v>1484515</v>
      </c>
      <c r="I43" s="51" t="str">
        <f>IF(C43&lt;&gt;"",VLOOKUP($C43,Carpetas!$C$5:$L$2060,5,FALSE),"")</f>
        <v>Andino</v>
      </c>
      <c r="J43" s="51"/>
      <c r="K43" s="50">
        <v>45357</v>
      </c>
      <c r="L43" s="39" t="str">
        <f>VLOOKUP($C43,Carpetas!$C$5:$L$2060,4,FALSE)</f>
        <v>Fray Bentos</v>
      </c>
      <c r="M43" s="55">
        <f t="shared" si="3"/>
        <v>45358</v>
      </c>
      <c r="N43" s="53">
        <f t="shared" si="1"/>
        <v>18</v>
      </c>
      <c r="O43" s="51">
        <v>1080</v>
      </c>
      <c r="P43" s="51"/>
      <c r="Q43" s="51">
        <v>1080</v>
      </c>
      <c r="R43" s="51"/>
      <c r="S43" s="51"/>
      <c r="T43" s="65"/>
      <c r="U43" s="65"/>
      <c r="V43" s="65" t="s">
        <v>60</v>
      </c>
      <c r="W43" s="51"/>
      <c r="X43" s="66" t="s">
        <v>121</v>
      </c>
    </row>
    <row r="44" hidden="1" ht="27.75" customHeight="1" s="32" customFormat="1">
      <c r="A44" s="37"/>
      <c r="B44" s="31" t="s">
        <v>32</v>
      </c>
      <c r="C44" s="59" t="s">
        <v>120</v>
      </c>
      <c r="D44" s="59" t="s">
        <v>30</v>
      </c>
      <c r="E44" s="57">
        <v>45340</v>
      </c>
      <c r="F44" s="38" t="str">
        <f>IF(C44&lt;&gt;"",VLOOKUP($C44,Carpetas!$C$5:$L$2060,2,FALSE),"")</f>
        <v>ECE012</v>
      </c>
      <c r="G44" s="38" t="s">
        <v>43</v>
      </c>
      <c r="H44" s="44">
        <f>IF(C44&lt;&gt;"",VLOOKUP($C44,Carpetas!$C$5:$L$2060,9,FALSE),"")</f>
        <v>1484515</v>
      </c>
      <c r="I44" s="51" t="str">
        <f>IF(C44&lt;&gt;"",VLOOKUP($C44,Carpetas!$C$5:$L$2060,5,FALSE),"")</f>
        <v>Andino</v>
      </c>
      <c r="J44" s="51"/>
      <c r="K44" s="50">
        <v>45357</v>
      </c>
      <c r="L44" s="39" t="str">
        <f>VLOOKUP($C44,Carpetas!$C$5:$L$2060,4,FALSE)</f>
        <v>Fray Bentos</v>
      </c>
      <c r="M44" s="55">
        <f t="shared" si="3"/>
        <v>45358</v>
      </c>
      <c r="N44" s="53">
        <f t="shared" si="1"/>
        <v>18</v>
      </c>
      <c r="O44" s="51">
        <v>1080</v>
      </c>
      <c r="P44" s="51"/>
      <c r="Q44" s="51">
        <v>1080</v>
      </c>
      <c r="R44" s="51"/>
      <c r="S44" s="51"/>
      <c r="T44" s="65"/>
      <c r="U44" s="65"/>
      <c r="V44" s="65" t="s">
        <v>60</v>
      </c>
      <c r="W44" s="51"/>
      <c r="X44" s="66" t="s">
        <v>121</v>
      </c>
    </row>
    <row r="45" hidden="1" ht="27.75" customHeight="1" s="32" customFormat="1">
      <c r="A45" s="37"/>
      <c r="B45" s="31" t="s">
        <v>32</v>
      </c>
      <c r="C45" s="59" t="s">
        <v>118</v>
      </c>
      <c r="D45" s="59" t="s">
        <v>30</v>
      </c>
      <c r="E45" s="57">
        <v>45340</v>
      </c>
      <c r="F45" s="38" t="str">
        <f>IF(C45&lt;&gt;"",VLOOKUP($C45,Carpetas!$C$5:$L$2060,2,FALSE),"")</f>
        <v>ECB005</v>
      </c>
      <c r="G45" s="38" t="s">
        <v>43</v>
      </c>
      <c r="H45" s="44">
        <f>IF(C45&lt;&gt;"",VLOOKUP($C45,Carpetas!$C$5:$L$2060,9,FALSE),"")</f>
        <v>1484514</v>
      </c>
      <c r="I45" s="51" t="str">
        <f>IF(C45&lt;&gt;"",VLOOKUP($C45,Carpetas!$C$5:$L$2060,5,FALSE),"")</f>
        <v>Andino</v>
      </c>
      <c r="J45" s="51"/>
      <c r="K45" s="50">
        <v>45357</v>
      </c>
      <c r="L45" s="39" t="str">
        <f>VLOOKUP($C45,Carpetas!$C$5:$L$2060,4,FALSE)</f>
        <v>Fray Bentos</v>
      </c>
      <c r="M45" s="55">
        <f>K45+1+1</f>
        <v>45359</v>
      </c>
      <c r="N45" s="53">
        <f t="shared" si="1"/>
        <v>19</v>
      </c>
      <c r="O45" s="51">
        <v>1080</v>
      </c>
      <c r="P45" s="51"/>
      <c r="Q45" s="51">
        <v>1080</v>
      </c>
      <c r="R45" s="51"/>
      <c r="S45" s="51"/>
      <c r="T45" s="65"/>
      <c r="U45" s="65"/>
      <c r="V45" s="65" t="s">
        <v>55</v>
      </c>
      <c r="W45" s="51"/>
      <c r="X45" s="66" t="s">
        <v>122</v>
      </c>
    </row>
    <row r="46" hidden="1" ht="27.75" customHeight="1" s="32" customFormat="1">
      <c r="A46" s="37"/>
      <c r="B46" s="31" t="s">
        <v>32</v>
      </c>
      <c r="C46" s="59" t="s">
        <v>120</v>
      </c>
      <c r="D46" s="59" t="s">
        <v>30</v>
      </c>
      <c r="E46" s="57">
        <v>45340</v>
      </c>
      <c r="F46" s="38" t="str">
        <f>IF(C46&lt;&gt;"",VLOOKUP($C46,Carpetas!$C$5:$L$2060,2,FALSE),"")</f>
        <v>ECE012</v>
      </c>
      <c r="G46" s="38" t="s">
        <v>43</v>
      </c>
      <c r="H46" s="44">
        <f>IF(C46&lt;&gt;"",VLOOKUP($C46,Carpetas!$C$5:$L$2060,9,FALSE),"")</f>
        <v>1484515</v>
      </c>
      <c r="I46" s="51" t="str">
        <f>IF(C46&lt;&gt;"",VLOOKUP($C46,Carpetas!$C$5:$L$2060,5,FALSE),"")</f>
        <v>Andino</v>
      </c>
      <c r="J46" s="51"/>
      <c r="K46" s="50">
        <v>45357</v>
      </c>
      <c r="L46" s="39" t="str">
        <f>VLOOKUP($C46,Carpetas!$C$5:$L$2060,4,FALSE)</f>
        <v>Fray Bentos</v>
      </c>
      <c r="M46" s="55">
        <f>K46+1+1</f>
        <v>45359</v>
      </c>
      <c r="N46" s="53">
        <f t="shared" si="1"/>
        <v>19</v>
      </c>
      <c r="O46" s="51">
        <v>1080</v>
      </c>
      <c r="P46" s="51"/>
      <c r="Q46" s="51">
        <v>1080</v>
      </c>
      <c r="R46" s="51"/>
      <c r="S46" s="51"/>
      <c r="T46" s="65"/>
      <c r="U46" s="65"/>
      <c r="V46" s="65" t="s">
        <v>60</v>
      </c>
      <c r="W46" s="51"/>
      <c r="X46" s="66" t="s">
        <v>123</v>
      </c>
    </row>
    <row r="47" hidden="1" ht="27.75" customHeight="1" s="32" customFormat="1">
      <c r="A47" s="37"/>
      <c r="B47" s="31" t="s">
        <v>32</v>
      </c>
      <c r="C47" s="59" t="s">
        <v>120</v>
      </c>
      <c r="D47" s="59" t="s">
        <v>30</v>
      </c>
      <c r="E47" s="57">
        <v>45340</v>
      </c>
      <c r="F47" s="38" t="str">
        <f>IF(C47&lt;&gt;"",VLOOKUP($C47,Carpetas!$C$5:$L$2060,2,FALSE),"")</f>
        <v>ECE012</v>
      </c>
      <c r="G47" s="38" t="s">
        <v>43</v>
      </c>
      <c r="H47" s="44">
        <f>IF(C47&lt;&gt;"",VLOOKUP($C47,Carpetas!$C$5:$L$2060,9,FALSE),"")</f>
        <v>1484515</v>
      </c>
      <c r="I47" s="51" t="str">
        <f>IF(C47&lt;&gt;"",VLOOKUP($C47,Carpetas!$C$5:$L$2060,5,FALSE),"")</f>
        <v>Andino</v>
      </c>
      <c r="J47" s="51"/>
      <c r="K47" s="50">
        <v>45357</v>
      </c>
      <c r="L47" s="39" t="str">
        <f>VLOOKUP($C47,Carpetas!$C$5:$L$2060,4,FALSE)</f>
        <v>Fray Bentos</v>
      </c>
      <c r="M47" s="55">
        <f>K47+1+1</f>
        <v>45359</v>
      </c>
      <c r="N47" s="53">
        <f t="shared" si="1"/>
        <v>19</v>
      </c>
      <c r="O47" s="51">
        <v>1080</v>
      </c>
      <c r="P47" s="51"/>
      <c r="Q47" s="51">
        <v>1080</v>
      </c>
      <c r="R47" s="51"/>
      <c r="S47" s="51"/>
      <c r="T47" s="65"/>
      <c r="U47" s="65"/>
      <c r="V47" s="65" t="s">
        <v>60</v>
      </c>
      <c r="W47" s="51"/>
      <c r="X47" s="66" t="s">
        <v>123</v>
      </c>
    </row>
    <row r="48" hidden="1" ht="27.75" customHeight="1" s="32" customFormat="1">
      <c r="A48" s="37"/>
      <c r="B48" s="31" t="s">
        <v>32</v>
      </c>
      <c r="C48" s="59" t="s">
        <v>120</v>
      </c>
      <c r="D48" s="59" t="s">
        <v>30</v>
      </c>
      <c r="E48" s="57">
        <v>45340</v>
      </c>
      <c r="F48" s="38" t="str">
        <f>IF(C48&lt;&gt;"",VLOOKUP($C48,Carpetas!$C$5:$L$2060,2,FALSE),"")</f>
        <v>ECE012</v>
      </c>
      <c r="G48" s="38" t="s">
        <v>43</v>
      </c>
      <c r="H48" s="44">
        <f>IF(C48&lt;&gt;"",VLOOKUP($C48,Carpetas!$C$5:$L$2060,9,FALSE),"")</f>
        <v>1484515</v>
      </c>
      <c r="I48" s="51" t="str">
        <f>IF(C48&lt;&gt;"",VLOOKUP($C48,Carpetas!$C$5:$L$2060,5,FALSE),"")</f>
        <v>Andino</v>
      </c>
      <c r="J48" s="51"/>
      <c r="K48" s="50">
        <v>45357</v>
      </c>
      <c r="L48" s="39" t="str">
        <f>VLOOKUP($C48,Carpetas!$C$5:$L$2060,4,FALSE)</f>
        <v>Fray Bentos</v>
      </c>
      <c r="M48" s="55">
        <f>K48+1+1</f>
        <v>45359</v>
      </c>
      <c r="N48" s="53">
        <f t="shared" si="1"/>
        <v>19</v>
      </c>
      <c r="O48" s="51">
        <v>1080</v>
      </c>
      <c r="P48" s="51"/>
      <c r="Q48" s="51">
        <v>1080</v>
      </c>
      <c r="R48" s="51"/>
      <c r="S48" s="51"/>
      <c r="T48" s="65"/>
      <c r="U48" s="65"/>
      <c r="V48" s="65" t="s">
        <v>124</v>
      </c>
      <c r="W48" s="51"/>
      <c r="X48" s="66" t="s">
        <v>123</v>
      </c>
    </row>
    <row r="49" hidden="1" ht="27.75" customHeight="1" s="32" customFormat="1">
      <c r="A49" s="37"/>
      <c r="B49" s="31" t="s">
        <v>32</v>
      </c>
      <c r="C49" s="59" t="s">
        <v>125</v>
      </c>
      <c r="D49" s="59" t="s">
        <v>48</v>
      </c>
      <c r="E49" s="57">
        <v>45330</v>
      </c>
      <c r="F49" s="38" t="str">
        <f>IF(C49&lt;&gt;"",VLOOKUP($C49,Carpetas!$C$5:$L$2060,2,FALSE),"")</f>
        <v>MXP005</v>
      </c>
      <c r="G49" s="38" t="s">
        <v>78</v>
      </c>
      <c r="H49" s="44">
        <f>IF(C49&lt;&gt;"",VLOOKUP($C49,Carpetas!$C$5:$L$2060,9,FALSE),"")</f>
        <v>0</v>
      </c>
      <c r="I49" s="51" t="str">
        <f>IF(C49&lt;&gt;"",VLOOKUP($C49,Carpetas!$C$5:$L$2060,5,FALSE),"")</f>
        <v>Andino</v>
      </c>
      <c r="J49" s="51"/>
      <c r="K49" s="50">
        <v>45359</v>
      </c>
      <c r="L49" s="39" t="str">
        <f>VLOOKUP($C49,Carpetas!$C$5:$L$2060,4,FALSE)</f>
        <v>Fray Bentos</v>
      </c>
      <c r="M49" s="55">
        <f ref="M49:M58" t="shared" si="4">K49+1</f>
        <v>45360</v>
      </c>
      <c r="N49" s="53">
        <f t="shared" si="1"/>
        <v>30</v>
      </c>
      <c r="O49" s="51">
        <v>1920</v>
      </c>
      <c r="P49" s="51"/>
      <c r="Q49" s="51">
        <v>1920</v>
      </c>
      <c r="R49" s="51"/>
      <c r="S49" s="51"/>
      <c r="T49" s="65"/>
      <c r="U49" s="65"/>
      <c r="V49" s="65" t="s">
        <v>93</v>
      </c>
      <c r="W49" s="51" t="s">
        <v>126</v>
      </c>
      <c r="X49" s="66" t="s">
        <v>127</v>
      </c>
    </row>
    <row r="50" hidden="1" ht="27.75" customHeight="1" s="32" customFormat="1">
      <c r="A50" s="37"/>
      <c r="B50" s="31" t="s">
        <v>32</v>
      </c>
      <c r="C50" s="59" t="s">
        <v>128</v>
      </c>
      <c r="D50" s="59" t="s">
        <v>30</v>
      </c>
      <c r="E50" s="57">
        <v>45347</v>
      </c>
      <c r="F50" s="38" t="str">
        <f>IF(C50&lt;&gt;"",VLOOKUP($C50,Carpetas!$C$5:$L$2060,2,FALSE),"")</f>
        <v>ECE013</v>
      </c>
      <c r="G50" s="38" t="s">
        <v>43</v>
      </c>
      <c r="H50" s="44">
        <f>IF(C50&lt;&gt;"",VLOOKUP($C50,Carpetas!$C$5:$L$2060,9,FALSE),"")</f>
        <v>1484937</v>
      </c>
      <c r="I50" s="51" t="str">
        <f>IF(C50&lt;&gt;"",VLOOKUP($C50,Carpetas!$C$5:$L$2060,5,FALSE),"")</f>
        <v>Andino</v>
      </c>
      <c r="J50" s="51"/>
      <c r="K50" s="50">
        <v>45363</v>
      </c>
      <c r="L50" s="39" t="str">
        <f>VLOOKUP($C50,Carpetas!$C$5:$L$2060,4,FALSE)</f>
        <v>Fray Bentos</v>
      </c>
      <c r="M50" s="55">
        <f t="shared" si="4"/>
        <v>45364</v>
      </c>
      <c r="N50" s="53">
        <f t="shared" si="1"/>
        <v>17</v>
      </c>
      <c r="O50" s="51">
        <v>1080</v>
      </c>
      <c r="P50" s="51"/>
      <c r="Q50" s="51">
        <v>1080</v>
      </c>
      <c r="R50" s="51"/>
      <c r="S50" s="51"/>
      <c r="T50" s="65"/>
      <c r="U50" s="65"/>
      <c r="V50" s="65" t="s">
        <v>129</v>
      </c>
      <c r="W50" s="51" t="s">
        <v>130</v>
      </c>
      <c r="X50" s="66" t="s">
        <v>131</v>
      </c>
    </row>
    <row r="51" hidden="1" ht="27.75" customHeight="1" s="32" customFormat="1">
      <c r="A51" s="37"/>
      <c r="B51" s="31" t="s">
        <v>32</v>
      </c>
      <c r="C51" s="59" t="s">
        <v>128</v>
      </c>
      <c r="D51" s="59" t="s">
        <v>30</v>
      </c>
      <c r="E51" s="57">
        <v>45347</v>
      </c>
      <c r="F51" s="38" t="str">
        <f>IF(C51&lt;&gt;"",VLOOKUP($C51,Carpetas!$C$5:$L$2060,2,FALSE),"")</f>
        <v>ECE013</v>
      </c>
      <c r="G51" s="38" t="s">
        <v>43</v>
      </c>
      <c r="H51" s="44">
        <f>IF(C51&lt;&gt;"",VLOOKUP($C51,Carpetas!$C$5:$L$2060,9,FALSE),"")</f>
        <v>1484937</v>
      </c>
      <c r="I51" s="51" t="str">
        <f>IF(C51&lt;&gt;"",VLOOKUP($C51,Carpetas!$C$5:$L$2060,5,FALSE),"")</f>
        <v>Andino</v>
      </c>
      <c r="J51" s="51"/>
      <c r="K51" s="50">
        <v>45363</v>
      </c>
      <c r="L51" s="39" t="str">
        <f>VLOOKUP($C51,Carpetas!$C$5:$L$2060,4,FALSE)</f>
        <v>Fray Bentos</v>
      </c>
      <c r="M51" s="55">
        <f t="shared" si="4"/>
        <v>45364</v>
      </c>
      <c r="N51" s="53">
        <f t="shared" si="1"/>
        <v>17</v>
      </c>
      <c r="O51" s="51">
        <v>1080</v>
      </c>
      <c r="P51" s="51"/>
      <c r="Q51" s="51">
        <v>1080</v>
      </c>
      <c r="R51" s="51"/>
      <c r="S51" s="51"/>
      <c r="T51" s="65"/>
      <c r="U51" s="65"/>
      <c r="V51" s="65" t="s">
        <v>132</v>
      </c>
      <c r="W51" s="51" t="s">
        <v>133</v>
      </c>
      <c r="X51" s="66" t="s">
        <v>134</v>
      </c>
    </row>
    <row r="52" hidden="1" ht="27.75" customHeight="1" s="32" customFormat="1">
      <c r="A52" s="37"/>
      <c r="B52" s="31" t="s">
        <v>32</v>
      </c>
      <c r="C52" s="59" t="s">
        <v>135</v>
      </c>
      <c r="D52" s="59" t="s">
        <v>30</v>
      </c>
      <c r="E52" s="57">
        <v>45347</v>
      </c>
      <c r="F52" s="38" t="str">
        <f>IF(C52&lt;&gt;"",VLOOKUP($C52,Carpetas!$C$5:$L$2060,2,FALSE),"")</f>
        <v>ECE014</v>
      </c>
      <c r="G52" s="38" t="s">
        <v>43</v>
      </c>
      <c r="H52" s="44">
        <f>IF(C52&lt;&gt;"",VLOOKUP($C52,Carpetas!$C$5:$L$2060,9,FALSE),"")</f>
        <v>1484938</v>
      </c>
      <c r="I52" s="51" t="str">
        <f>IF(C52&lt;&gt;"",VLOOKUP($C52,Carpetas!$C$5:$L$2060,5,FALSE),"")</f>
        <v>Andino</v>
      </c>
      <c r="J52" s="51"/>
      <c r="K52" s="50">
        <v>45363</v>
      </c>
      <c r="L52" s="39" t="str">
        <f>VLOOKUP($C52,Carpetas!$C$5:$L$2060,4,FALSE)</f>
        <v>Fray Bentos</v>
      </c>
      <c r="M52" s="55">
        <f t="shared" si="4"/>
        <v>45364</v>
      </c>
      <c r="N52" s="53">
        <f t="shared" si="1"/>
        <v>17</v>
      </c>
      <c r="O52" s="51">
        <v>1144</v>
      </c>
      <c r="P52" s="51"/>
      <c r="Q52" s="51">
        <v>1144</v>
      </c>
      <c r="R52" s="51"/>
      <c r="S52" s="51"/>
      <c r="T52" s="65"/>
      <c r="U52" s="65"/>
      <c r="V52" s="65" t="s">
        <v>136</v>
      </c>
      <c r="W52" s="51" t="s">
        <v>137</v>
      </c>
      <c r="X52" s="66" t="s">
        <v>138</v>
      </c>
    </row>
    <row r="53" hidden="1" ht="27.75" customHeight="1" s="32" customFormat="1">
      <c r="A53" s="37"/>
      <c r="B53" s="31" t="s">
        <v>32</v>
      </c>
      <c r="C53" s="59" t="s">
        <v>128</v>
      </c>
      <c r="D53" s="59" t="s">
        <v>30</v>
      </c>
      <c r="E53" s="57">
        <v>45347</v>
      </c>
      <c r="F53" s="38" t="str">
        <f>IF(C53&lt;&gt;"",VLOOKUP($C53,Carpetas!$C$5:$L$2060,2,FALSE),"")</f>
        <v>ECE013</v>
      </c>
      <c r="G53" s="38" t="s">
        <v>43</v>
      </c>
      <c r="H53" s="44">
        <f>IF(C53&lt;&gt;"",VLOOKUP($C53,Carpetas!$C$5:$L$2060,9,FALSE),"")</f>
        <v>1484937</v>
      </c>
      <c r="I53" s="51" t="str">
        <f>IF(C53&lt;&gt;"",VLOOKUP($C53,Carpetas!$C$5:$L$2060,5,FALSE),"")</f>
        <v>Andino</v>
      </c>
      <c r="J53" s="51"/>
      <c r="K53" s="50">
        <v>45365</v>
      </c>
      <c r="L53" s="39" t="str">
        <f>VLOOKUP($C53,Carpetas!$C$5:$L$2060,4,FALSE)</f>
        <v>Fray Bentos</v>
      </c>
      <c r="M53" s="55">
        <f t="shared" si="4"/>
        <v>45366</v>
      </c>
      <c r="N53" s="53">
        <f t="shared" si="1"/>
        <v>19</v>
      </c>
      <c r="O53" s="51">
        <v>1080</v>
      </c>
      <c r="P53" s="51"/>
      <c r="Q53" s="51">
        <v>1079</v>
      </c>
      <c r="R53" s="51"/>
      <c r="S53" s="51"/>
      <c r="T53" s="65"/>
      <c r="U53" s="65"/>
      <c r="V53" s="65" t="s">
        <v>129</v>
      </c>
      <c r="W53" s="51" t="s">
        <v>106</v>
      </c>
      <c r="X53" s="66" t="s">
        <v>139</v>
      </c>
    </row>
    <row r="54" hidden="1" ht="27.75" customHeight="1" s="32" customFormat="1">
      <c r="A54" s="37"/>
      <c r="B54" s="31" t="s">
        <v>32</v>
      </c>
      <c r="C54" s="59" t="s">
        <v>128</v>
      </c>
      <c r="D54" s="59" t="s">
        <v>30</v>
      </c>
      <c r="E54" s="57">
        <v>45347</v>
      </c>
      <c r="F54" s="38" t="str">
        <f>IF(C54&lt;&gt;"",VLOOKUP($C54,Carpetas!$C$5:$L$2060,2,FALSE),"")</f>
        <v>ECE013</v>
      </c>
      <c r="G54" s="38" t="s">
        <v>43</v>
      </c>
      <c r="H54" s="44">
        <f>IF(C54&lt;&gt;"",VLOOKUP($C54,Carpetas!$C$5:$L$2060,9,FALSE),"")</f>
        <v>1484937</v>
      </c>
      <c r="I54" s="51" t="str">
        <f>IF(C54&lt;&gt;"",VLOOKUP($C54,Carpetas!$C$5:$L$2060,5,FALSE),"")</f>
        <v>Andino</v>
      </c>
      <c r="J54" s="51"/>
      <c r="K54" s="50">
        <v>45365</v>
      </c>
      <c r="L54" s="39" t="str">
        <f>VLOOKUP($C54,Carpetas!$C$5:$L$2060,4,FALSE)</f>
        <v>Fray Bentos</v>
      </c>
      <c r="M54" s="55">
        <f t="shared" si="4"/>
        <v>45366</v>
      </c>
      <c r="N54" s="53">
        <f t="shared" si="1"/>
        <v>19</v>
      </c>
      <c r="O54" s="51">
        <v>1080</v>
      </c>
      <c r="P54" s="51"/>
      <c r="Q54" s="51">
        <v>1080</v>
      </c>
      <c r="R54" s="51"/>
      <c r="S54" s="51"/>
      <c r="T54" s="65"/>
      <c r="U54" s="65"/>
      <c r="V54" s="65" t="s">
        <v>60</v>
      </c>
      <c r="W54" s="51" t="s">
        <v>140</v>
      </c>
      <c r="X54" s="66" t="s">
        <v>141</v>
      </c>
    </row>
    <row r="55" hidden="1" ht="27.75" customHeight="1" s="32" customFormat="1">
      <c r="A55" s="37"/>
      <c r="B55" s="31" t="s">
        <v>32</v>
      </c>
      <c r="C55" s="59" t="s">
        <v>142</v>
      </c>
      <c r="D55" s="59" t="s">
        <v>48</v>
      </c>
      <c r="E55" s="57">
        <v>45330</v>
      </c>
      <c r="F55" s="38" t="str">
        <f>IF(C55&lt;&gt;"",VLOOKUP($C55,Carpetas!$C$5:$L$2060,2,FALSE),"")</f>
        <v>MXP006</v>
      </c>
      <c r="G55" s="38" t="s">
        <v>78</v>
      </c>
      <c r="H55" s="44">
        <f>IF(C55&lt;&gt;"",VLOOKUP($C55,Carpetas!$C$5:$L$2060,9,FALSE),"")</f>
        <v>0</v>
      </c>
      <c r="I55" s="51" t="str">
        <f>IF(C55&lt;&gt;"",VLOOKUP($C55,Carpetas!$C$5:$L$2060,5,FALSE),"")</f>
        <v>Andino</v>
      </c>
      <c r="J55" s="51"/>
      <c r="K55" s="50">
        <v>45366</v>
      </c>
      <c r="L55" s="39" t="str">
        <f>VLOOKUP($C55,Carpetas!$C$5:$L$2060,4,FALSE)</f>
        <v>Fray Bentos</v>
      </c>
      <c r="M55" s="55">
        <f t="shared" si="4"/>
        <v>45367</v>
      </c>
      <c r="N55" s="53">
        <f t="shared" si="1"/>
        <v>37</v>
      </c>
      <c r="O55" s="51">
        <v>1920</v>
      </c>
      <c r="P55" s="51"/>
      <c r="Q55" s="51">
        <v>1920</v>
      </c>
      <c r="R55" s="51"/>
      <c r="S55" s="51"/>
      <c r="T55" s="65"/>
      <c r="U55" s="65"/>
      <c r="V55" s="65" t="s">
        <v>93</v>
      </c>
      <c r="W55" s="51" t="s">
        <v>143</v>
      </c>
      <c r="X55" s="66" t="s">
        <v>144</v>
      </c>
    </row>
    <row r="56" hidden="1" ht="27.75" customHeight="1" s="32" customFormat="1">
      <c r="A56" s="37"/>
      <c r="B56" s="31" t="s">
        <v>32</v>
      </c>
      <c r="C56" s="59" t="s">
        <v>145</v>
      </c>
      <c r="D56" s="59" t="s">
        <v>48</v>
      </c>
      <c r="E56" s="57">
        <v>45335</v>
      </c>
      <c r="F56" s="38" t="str">
        <f>IF(C56&lt;&gt;"",VLOOKUP($C56,Carpetas!$C$5:$L$2060,2,FALSE),"")</f>
        <v>MXP007</v>
      </c>
      <c r="G56" s="38" t="s">
        <v>78</v>
      </c>
      <c r="H56" s="44">
        <f>IF(C56&lt;&gt;"",VLOOKUP($C56,Carpetas!$C$5:$L$2060,9,FALSE),"")</f>
        <v>0</v>
      </c>
      <c r="I56" s="51" t="str">
        <f>IF(C56&lt;&gt;"",VLOOKUP($C56,Carpetas!$C$5:$L$2060,5,FALSE),"")</f>
        <v>Andino</v>
      </c>
      <c r="J56" s="51"/>
      <c r="K56" s="50">
        <v>45366</v>
      </c>
      <c r="L56" s="39" t="str">
        <f>VLOOKUP($C56,Carpetas!$C$5:$L$2060,4,FALSE)</f>
        <v>Fray Bentos</v>
      </c>
      <c r="M56" s="55">
        <f t="shared" si="4"/>
        <v>45367</v>
      </c>
      <c r="N56" s="53">
        <f t="shared" si="1"/>
        <v>32</v>
      </c>
      <c r="O56" s="51">
        <v>1920</v>
      </c>
      <c r="P56" s="51"/>
      <c r="Q56" s="51">
        <v>1920</v>
      </c>
      <c r="R56" s="51"/>
      <c r="S56" s="51"/>
      <c r="T56" s="65"/>
      <c r="U56" s="65"/>
      <c r="V56" s="65" t="s">
        <v>93</v>
      </c>
      <c r="W56" s="51" t="s">
        <v>146</v>
      </c>
      <c r="X56" s="66" t="s">
        <v>147</v>
      </c>
    </row>
    <row r="57" hidden="1" ht="27.75" customHeight="1" s="32" customFormat="1">
      <c r="A57" s="37"/>
      <c r="B57" s="31" t="s">
        <v>32</v>
      </c>
      <c r="C57" s="59" t="s">
        <v>148</v>
      </c>
      <c r="D57" s="59" t="s">
        <v>42</v>
      </c>
      <c r="E57" s="57">
        <v>45347</v>
      </c>
      <c r="F57" s="38" t="str">
        <f>IF(C57&lt;&gt;"",VLOOKUP($C57,Carpetas!$C$5:$L$2060,2,FALSE),"")</f>
        <v>ECA006</v>
      </c>
      <c r="G57" s="38" t="s">
        <v>43</v>
      </c>
      <c r="H57" s="44">
        <f>IF(C57&lt;&gt;"",VLOOKUP($C57,Carpetas!$C$5:$L$2060,9,FALSE),"")</f>
        <v>1484931</v>
      </c>
      <c r="I57" s="51" t="str">
        <f>IF(C57&lt;&gt;"",VLOOKUP($C57,Carpetas!$C$5:$L$2060,5,FALSE),"")</f>
        <v>Andino</v>
      </c>
      <c r="J57" s="51"/>
      <c r="K57" s="50">
        <v>45366</v>
      </c>
      <c r="L57" s="39" t="str">
        <f>VLOOKUP($C57,Carpetas!$C$5:$L$2060,4,FALSE)</f>
        <v>Fray Bentos</v>
      </c>
      <c r="M57" s="55">
        <f t="shared" si="4"/>
        <v>45367</v>
      </c>
      <c r="N57" s="53">
        <f t="shared" si="1"/>
        <v>20</v>
      </c>
      <c r="O57" s="51">
        <v>1680</v>
      </c>
      <c r="P57" s="51"/>
      <c r="Q57" s="51"/>
      <c r="R57" s="51"/>
      <c r="S57" s="51"/>
      <c r="T57" s="65"/>
      <c r="U57" s="65"/>
      <c r="V57" s="65"/>
      <c r="W57" s="51"/>
      <c r="X57" s="66"/>
    </row>
    <row r="58" hidden="1" ht="27.75" customHeight="1" s="32" customFormat="1">
      <c r="A58" s="37"/>
      <c r="B58" s="31" t="s">
        <v>32</v>
      </c>
      <c r="C58" s="59" t="s">
        <v>149</v>
      </c>
      <c r="D58" s="59" t="s">
        <v>34</v>
      </c>
      <c r="E58" s="57">
        <v>45347</v>
      </c>
      <c r="F58" s="38" t="str">
        <f>IF(C58&lt;&gt;"",VLOOKUP($C58,Carpetas!$C$5:$L$2060,2,FALSE),"")</f>
        <v>CLA003</v>
      </c>
      <c r="G58" s="38" t="s">
        <v>35</v>
      </c>
      <c r="H58" s="44">
        <f>IF(C58&lt;&gt;"",VLOOKUP($C58,Carpetas!$C$5:$L$2060,9,FALSE),"")</f>
        <v>0</v>
      </c>
      <c r="I58" s="51" t="str">
        <f>IF(C58&lt;&gt;"",VLOOKUP($C58,Carpetas!$C$5:$L$2060,5,FALSE),"")</f>
        <v>Nihuil</v>
      </c>
      <c r="J58" s="51"/>
      <c r="K58" s="50">
        <v>45366</v>
      </c>
      <c r="L58" s="39" t="str">
        <f>VLOOKUP($C58,Carpetas!$C$5:$L$2060,4,FALSE)</f>
        <v>Fray Bentos</v>
      </c>
      <c r="M58" s="55">
        <f t="shared" si="4"/>
        <v>45367</v>
      </c>
      <c r="N58" s="53">
        <f t="shared" si="1"/>
        <v>20</v>
      </c>
      <c r="O58" s="51">
        <v>7920</v>
      </c>
      <c r="P58" s="51"/>
      <c r="Q58" s="51"/>
      <c r="R58" s="51"/>
      <c r="S58" s="51"/>
      <c r="T58" s="65"/>
      <c r="U58" s="65"/>
      <c r="V58" s="65"/>
      <c r="W58" s="51"/>
      <c r="X58" s="66"/>
    </row>
    <row r="59" hidden="1" ht="27.75" customHeight="1" s="32" customFormat="1">
      <c r="A59" s="37"/>
      <c r="B59" s="31" t="s">
        <v>32</v>
      </c>
      <c r="C59" s="59" t="s">
        <v>150</v>
      </c>
      <c r="D59" s="59" t="s">
        <v>30</v>
      </c>
      <c r="E59" s="57">
        <v>45347</v>
      </c>
      <c r="F59" s="38" t="str">
        <f>IF(C59&lt;&gt;"",VLOOKUP($C59,Carpetas!$C$5:$L$2060,2,FALSE),"")</f>
        <v>ECB006</v>
      </c>
      <c r="G59" s="38" t="s">
        <v>43</v>
      </c>
      <c r="H59" s="44">
        <f>IF(C59&lt;&gt;"",VLOOKUP($C59,Carpetas!$C$5:$L$2060,9,FALSE),"")</f>
        <v>1484930</v>
      </c>
      <c r="I59" s="51" t="str">
        <f>IF(C59&lt;&gt;"",VLOOKUP($C59,Carpetas!$C$5:$L$2060,5,FALSE),"")</f>
        <v>Andino</v>
      </c>
      <c r="J59" s="51"/>
      <c r="K59" s="50">
        <v>45366</v>
      </c>
      <c r="L59" s="39" t="str">
        <f>VLOOKUP($C59,Carpetas!$C$5:$L$2060,4,FALSE)</f>
        <v>Fray Bentos</v>
      </c>
      <c r="M59" s="55">
        <v>45370</v>
      </c>
      <c r="N59" s="53">
        <f t="shared" si="1"/>
        <v>23</v>
      </c>
      <c r="O59" s="51">
        <v>2160</v>
      </c>
      <c r="P59" s="51"/>
      <c r="Q59" s="51">
        <v>2160</v>
      </c>
      <c r="R59" s="51"/>
      <c r="S59" s="51"/>
      <c r="T59" s="65"/>
      <c r="U59" s="65"/>
      <c r="V59" s="65"/>
      <c r="W59" s="51"/>
      <c r="X59" s="66"/>
    </row>
    <row r="60" hidden="1" ht="27.75" customHeight="1" s="32" customFormat="1">
      <c r="A60" s="37"/>
      <c r="B60" s="31" t="s">
        <v>32</v>
      </c>
      <c r="C60" s="59" t="s">
        <v>151</v>
      </c>
      <c r="D60" s="59" t="s">
        <v>30</v>
      </c>
      <c r="E60" s="57">
        <v>45354</v>
      </c>
      <c r="F60" s="38" t="str">
        <f>IF(C60&lt;&gt;"",VLOOKUP($C60,Carpetas!$C$5:$L$2060,2,FALSE),"")</f>
        <v>ECB007</v>
      </c>
      <c r="G60" s="38" t="s">
        <v>43</v>
      </c>
      <c r="H60" s="44">
        <f>IF(C60&lt;&gt;"",VLOOKUP($C60,Carpetas!$C$5:$L$2060,9,FALSE),"")</f>
        <v>1485552</v>
      </c>
      <c r="I60" s="51" t="str">
        <f>IF(C60&lt;&gt;"",VLOOKUP($C60,Carpetas!$C$5:$L$2060,5,FALSE),"")</f>
        <v>Andino</v>
      </c>
      <c r="J60" s="51"/>
      <c r="K60" s="50">
        <v>45372</v>
      </c>
      <c r="L60" s="39" t="str">
        <f>VLOOKUP($C60,Carpetas!$C$5:$L$2060,4,FALSE)</f>
        <v>Fray Bentos</v>
      </c>
      <c r="M60" s="55">
        <f ref="M60:M68" t="shared" si="5">K60+1</f>
        <v>45373</v>
      </c>
      <c r="N60" s="53">
        <f t="shared" si="1"/>
        <v>19</v>
      </c>
      <c r="O60" s="51">
        <v>2160</v>
      </c>
      <c r="P60" s="51"/>
      <c r="Q60" s="51">
        <v>2160</v>
      </c>
      <c r="R60" s="51"/>
      <c r="S60" s="51"/>
      <c r="T60" s="65"/>
      <c r="U60" s="65"/>
      <c r="V60" s="65" t="s">
        <v>55</v>
      </c>
      <c r="W60" s="51" t="s">
        <v>152</v>
      </c>
      <c r="X60" s="66" t="s">
        <v>153</v>
      </c>
    </row>
    <row r="61" hidden="1" ht="27.75" customHeight="1" s="32" customFormat="1">
      <c r="A61" s="37"/>
      <c r="B61" s="31" t="s">
        <v>32</v>
      </c>
      <c r="C61" s="59" t="s">
        <v>154</v>
      </c>
      <c r="D61" s="59" t="s">
        <v>30</v>
      </c>
      <c r="E61" s="57">
        <v>45354</v>
      </c>
      <c r="F61" s="38" t="str">
        <f>IF(C61&lt;&gt;"",VLOOKUP($C61,Carpetas!$C$5:$L$2060,2,FALSE),"")</f>
        <v>ECE015</v>
      </c>
      <c r="G61" s="38" t="s">
        <v>43</v>
      </c>
      <c r="H61" s="44">
        <f>IF(C61&lt;&gt;"",VLOOKUP($C61,Carpetas!$C$5:$L$2060,9,FALSE),"")</f>
        <v>1485551</v>
      </c>
      <c r="I61" s="51" t="str">
        <f>IF(C61&lt;&gt;"",VLOOKUP($C61,Carpetas!$C$5:$L$2060,5,FALSE),"")</f>
        <v>Andino</v>
      </c>
      <c r="J61" s="51"/>
      <c r="K61" s="50">
        <v>45372</v>
      </c>
      <c r="L61" s="39" t="str">
        <f>VLOOKUP($C61,Carpetas!$C$5:$L$2060,4,FALSE)</f>
        <v>Fray Bentos</v>
      </c>
      <c r="M61" s="55">
        <f t="shared" si="5"/>
        <v>45373</v>
      </c>
      <c r="N61" s="53">
        <f t="shared" si="1"/>
        <v>19</v>
      </c>
      <c r="O61" s="51">
        <v>3240</v>
      </c>
      <c r="P61" s="51"/>
      <c r="Q61" s="51">
        <v>3240</v>
      </c>
      <c r="R61" s="51"/>
      <c r="S61" s="51"/>
      <c r="T61" s="65"/>
      <c r="U61" s="65"/>
      <c r="V61" s="65" t="s">
        <v>60</v>
      </c>
      <c r="W61" s="51" t="s">
        <v>155</v>
      </c>
      <c r="X61" s="66" t="s">
        <v>156</v>
      </c>
    </row>
    <row r="62" hidden="1" ht="27.75" customHeight="1" s="32" customFormat="1">
      <c r="A62" s="37"/>
      <c r="B62" s="31" t="s">
        <v>32</v>
      </c>
      <c r="C62" s="59" t="s">
        <v>154</v>
      </c>
      <c r="D62" s="59" t="s">
        <v>30</v>
      </c>
      <c r="E62" s="57">
        <v>45354</v>
      </c>
      <c r="F62" s="38" t="str">
        <f>IF(C62&lt;&gt;"",VLOOKUP($C62,Carpetas!$C$5:$L$2060,2,FALSE),"")</f>
        <v>ECE015</v>
      </c>
      <c r="G62" s="38" t="s">
        <v>43</v>
      </c>
      <c r="H62" s="44">
        <f>IF(C62&lt;&gt;"",VLOOKUP($C62,Carpetas!$C$5:$L$2060,9,FALSE),"")</f>
        <v>1485551</v>
      </c>
      <c r="I62" s="51" t="str">
        <f>IF(C62&lt;&gt;"",VLOOKUP($C62,Carpetas!$C$5:$L$2060,5,FALSE),"")</f>
        <v>Andino</v>
      </c>
      <c r="J62" s="51"/>
      <c r="K62" s="50">
        <v>45373</v>
      </c>
      <c r="L62" s="39" t="str">
        <f>VLOOKUP($C62,Carpetas!$C$5:$L$2060,4,FALSE)</f>
        <v>Fray Bentos</v>
      </c>
      <c r="M62" s="55">
        <f t="shared" si="5"/>
        <v>45374</v>
      </c>
      <c r="N62" s="53">
        <f t="shared" si="1"/>
        <v>20</v>
      </c>
      <c r="O62" s="51">
        <v>1080</v>
      </c>
      <c r="P62" s="51"/>
      <c r="Q62" s="51">
        <v>1080</v>
      </c>
      <c r="R62" s="51"/>
      <c r="S62" s="51"/>
      <c r="T62" s="65"/>
      <c r="U62" s="65"/>
      <c r="V62" s="65" t="s">
        <v>60</v>
      </c>
      <c r="W62" s="51" t="s">
        <v>157</v>
      </c>
      <c r="X62" s="66" t="s">
        <v>158</v>
      </c>
    </row>
    <row r="63" hidden="1" ht="27.75" customHeight="1" s="32" customFormat="1">
      <c r="A63" s="37"/>
      <c r="B63" s="31" t="s">
        <v>32</v>
      </c>
      <c r="C63" s="59" t="s">
        <v>159</v>
      </c>
      <c r="D63" s="59" t="s">
        <v>48</v>
      </c>
      <c r="E63" s="57">
        <v>45354</v>
      </c>
      <c r="F63" s="38" t="str">
        <f>IF(C63&lt;&gt;"",VLOOKUP($C63,Carpetas!$C$5:$L$2060,2,FALSE),"")</f>
        <v>MXP008</v>
      </c>
      <c r="G63" s="38" t="s">
        <v>43</v>
      </c>
      <c r="H63" s="44">
        <f>IF(C63&lt;&gt;"",VLOOKUP($C63,Carpetas!$C$5:$L$2060,9,FALSE),"")</f>
        <v>0</v>
      </c>
      <c r="I63" s="51" t="str">
        <f>IF(C63&lt;&gt;"",VLOOKUP($C63,Carpetas!$C$5:$L$2060,5,FALSE),"")</f>
        <v>Andino</v>
      </c>
      <c r="J63" s="51"/>
      <c r="K63" s="50">
        <v>45377</v>
      </c>
      <c r="L63" s="39" t="str">
        <f>VLOOKUP($C63,Carpetas!$C$5:$L$2060,4,FALSE)</f>
        <v>Fray Bentos</v>
      </c>
      <c r="M63" s="55">
        <f t="shared" si="5"/>
        <v>45378</v>
      </c>
      <c r="N63" s="53">
        <f t="shared" si="1"/>
        <v>24</v>
      </c>
      <c r="O63" s="51">
        <v>1920</v>
      </c>
      <c r="P63" s="51"/>
      <c r="Q63" s="51">
        <v>1920</v>
      </c>
      <c r="R63" s="51"/>
      <c r="S63" s="51"/>
      <c r="T63" s="65"/>
      <c r="U63" s="65"/>
      <c r="V63" s="65" t="s">
        <v>93</v>
      </c>
      <c r="W63" s="51" t="s">
        <v>56</v>
      </c>
      <c r="X63" s="66" t="s">
        <v>160</v>
      </c>
    </row>
    <row r="64" hidden="1" ht="27.75" customHeight="1" s="32" customFormat="1">
      <c r="A64" s="37"/>
      <c r="B64" s="31" t="s">
        <v>32</v>
      </c>
      <c r="C64" s="59" t="s">
        <v>161</v>
      </c>
      <c r="D64" s="59" t="s">
        <v>48</v>
      </c>
      <c r="E64" s="57">
        <v>45354</v>
      </c>
      <c r="F64" s="38" t="str">
        <f>IF(C64&lt;&gt;"",VLOOKUP($C64,Carpetas!$C$5:$L$2060,2,FALSE),"")</f>
        <v>MXP009</v>
      </c>
      <c r="G64" s="38" t="s">
        <v>43</v>
      </c>
      <c r="H64" s="44">
        <f>IF(C64&lt;&gt;"",VLOOKUP($C64,Carpetas!$C$5:$L$2060,9,FALSE),"")</f>
        <v>0</v>
      </c>
      <c r="I64" s="51" t="str">
        <f>IF(C64&lt;&gt;"",VLOOKUP($C64,Carpetas!$C$5:$L$2060,5,FALSE),"")</f>
        <v>Andino</v>
      </c>
      <c r="J64" s="51"/>
      <c r="K64" s="50">
        <v>45377</v>
      </c>
      <c r="L64" s="39" t="str">
        <f>VLOOKUP($C64,Carpetas!$C$5:$L$2060,4,FALSE)</f>
        <v>Fray Bentos</v>
      </c>
      <c r="M64" s="55">
        <f t="shared" si="5"/>
        <v>45378</v>
      </c>
      <c r="N64" s="53">
        <f t="shared" si="1"/>
        <v>24</v>
      </c>
      <c r="O64" s="51">
        <v>1920</v>
      </c>
      <c r="P64" s="51"/>
      <c r="Q64" s="51">
        <v>1920</v>
      </c>
      <c r="R64" s="51"/>
      <c r="S64" s="51"/>
      <c r="T64" s="65"/>
      <c r="U64" s="65"/>
      <c r="V64" s="65" t="s">
        <v>93</v>
      </c>
      <c r="W64" s="51" t="s">
        <v>56</v>
      </c>
      <c r="X64" s="66" t="s">
        <v>160</v>
      </c>
    </row>
    <row r="65" hidden="1" ht="27.75" customHeight="1" s="32" customFormat="1">
      <c r="A65" s="37"/>
      <c r="B65" s="31" t="s">
        <v>32</v>
      </c>
      <c r="C65" s="59" t="s">
        <v>162</v>
      </c>
      <c r="D65" s="59" t="s">
        <v>48</v>
      </c>
      <c r="E65" s="57">
        <v>45354</v>
      </c>
      <c r="F65" s="38" t="str">
        <f>IF(C65&lt;&gt;"",VLOOKUP($C65,Carpetas!$C$5:$L$2060,2,FALSE),"")</f>
        <v>MXP010</v>
      </c>
      <c r="G65" s="38" t="s">
        <v>43</v>
      </c>
      <c r="H65" s="44">
        <f>IF(C65&lt;&gt;"",VLOOKUP($C65,Carpetas!$C$5:$L$2060,9,FALSE),"")</f>
        <v>0</v>
      </c>
      <c r="I65" s="51" t="str">
        <f>IF(C65&lt;&gt;"",VLOOKUP($C65,Carpetas!$C$5:$L$2060,5,FALSE),"")</f>
        <v>Andino</v>
      </c>
      <c r="J65" s="51"/>
      <c r="K65" s="50">
        <v>45377</v>
      </c>
      <c r="L65" s="39" t="str">
        <f>VLOOKUP($C65,Carpetas!$C$5:$L$2060,4,FALSE)</f>
        <v>Fray Bentos</v>
      </c>
      <c r="M65" s="55">
        <f t="shared" si="5"/>
        <v>45378</v>
      </c>
      <c r="N65" s="53">
        <f t="shared" si="1"/>
        <v>24</v>
      </c>
      <c r="O65" s="51">
        <v>1920</v>
      </c>
      <c r="P65" s="51"/>
      <c r="Q65" s="51"/>
      <c r="R65" s="51"/>
      <c r="S65" s="51"/>
      <c r="T65" s="65"/>
      <c r="U65" s="65"/>
      <c r="V65" s="65" t="s">
        <v>93</v>
      </c>
      <c r="W65" s="51" t="s">
        <v>163</v>
      </c>
      <c r="X65" s="66" t="s">
        <v>164</v>
      </c>
    </row>
    <row r="66" hidden="1" ht="27.75" customHeight="1" s="32" customFormat="1">
      <c r="A66" s="37"/>
      <c r="B66" s="31" t="s">
        <v>32</v>
      </c>
      <c r="C66" s="59" t="s">
        <v>165</v>
      </c>
      <c r="D66" s="59" t="s">
        <v>30</v>
      </c>
      <c r="E66" s="57">
        <v>45363</v>
      </c>
      <c r="F66" s="38" t="str">
        <f>IF(C66&lt;&gt;"",VLOOKUP($C66,Carpetas!$C$5:$L$2060,2,FALSE),"")</f>
        <v>ECB008</v>
      </c>
      <c r="G66" s="38" t="s">
        <v>43</v>
      </c>
      <c r="H66" s="44">
        <f>IF(C66&lt;&gt;"",VLOOKUP($C66,Carpetas!$C$5:$L$2060,9,FALSE),"")</f>
        <v>1486195</v>
      </c>
      <c r="I66" s="51" t="str">
        <f>IF(C66&lt;&gt;"",VLOOKUP($C66,Carpetas!$C$5:$L$2060,5,FALSE),"")</f>
        <v>Andino</v>
      </c>
      <c r="J66" s="51"/>
      <c r="K66" s="50">
        <v>45377</v>
      </c>
      <c r="L66" s="39" t="str">
        <f>VLOOKUP($C66,Carpetas!$C$5:$L$2060,4,FALSE)</f>
        <v>Fray Bentos</v>
      </c>
      <c r="M66" s="55">
        <f t="shared" si="5"/>
        <v>45378</v>
      </c>
      <c r="N66" s="53">
        <f t="shared" si="1"/>
        <v>15</v>
      </c>
      <c r="O66" s="51">
        <v>1080</v>
      </c>
      <c r="P66" s="51"/>
      <c r="Q66" s="51">
        <v>1080</v>
      </c>
      <c r="R66" s="51"/>
      <c r="S66" s="51"/>
      <c r="T66" s="65"/>
      <c r="U66" s="65"/>
      <c r="V66" s="65" t="s">
        <v>55</v>
      </c>
      <c r="W66" s="51" t="s">
        <v>140</v>
      </c>
      <c r="X66" s="66" t="s">
        <v>166</v>
      </c>
    </row>
    <row r="67" hidden="1" ht="27.75" customHeight="1" s="32" customFormat="1">
      <c r="A67" s="37"/>
      <c r="B67" s="31" t="s">
        <v>32</v>
      </c>
      <c r="C67" s="59" t="s">
        <v>165</v>
      </c>
      <c r="D67" s="59" t="s">
        <v>30</v>
      </c>
      <c r="E67" s="57">
        <v>45363</v>
      </c>
      <c r="F67" s="38" t="str">
        <f>IF(C67&lt;&gt;"",VLOOKUP($C67,Carpetas!$C$5:$L$2060,2,FALSE),"")</f>
        <v>ECB008</v>
      </c>
      <c r="G67" s="38" t="s">
        <v>43</v>
      </c>
      <c r="H67" s="44">
        <f>IF(C67&lt;&gt;"",VLOOKUP($C67,Carpetas!$C$5:$L$2060,9,FALSE),"")</f>
        <v>1486195</v>
      </c>
      <c r="I67" s="51" t="str">
        <f>IF(C67&lt;&gt;"",VLOOKUP($C67,Carpetas!$C$5:$L$2060,5,FALSE),"")</f>
        <v>Andino</v>
      </c>
      <c r="J67" s="51"/>
      <c r="K67" s="50">
        <v>45378</v>
      </c>
      <c r="L67" s="39" t="str">
        <f>VLOOKUP($C67,Carpetas!$C$5:$L$2060,4,FALSE)</f>
        <v>Fray Bentos</v>
      </c>
      <c r="M67" s="55">
        <f t="shared" si="5"/>
        <v>45379</v>
      </c>
      <c r="N67" s="53">
        <f t="shared" si="1"/>
        <v>16</v>
      </c>
      <c r="O67" s="51">
        <v>1080</v>
      </c>
      <c r="P67" s="51"/>
      <c r="Q67" s="51"/>
      <c r="R67" s="51"/>
      <c r="S67" s="51"/>
      <c r="T67" s="65"/>
      <c r="U67" s="65"/>
      <c r="V67" s="65" t="s">
        <v>55</v>
      </c>
      <c r="W67" s="51" t="s">
        <v>140</v>
      </c>
      <c r="X67" s="66" t="s">
        <v>166</v>
      </c>
    </row>
    <row r="68" hidden="1" ht="27.75" customHeight="1" s="32" customFormat="1">
      <c r="A68" s="37"/>
      <c r="B68" s="31" t="s">
        <v>32</v>
      </c>
      <c r="C68" s="59" t="s">
        <v>167</v>
      </c>
      <c r="D68" s="59" t="s">
        <v>42</v>
      </c>
      <c r="E68" s="57">
        <v>45363</v>
      </c>
      <c r="F68" s="38" t="str">
        <f>IF(C68&lt;&gt;"",VLOOKUP($C68,Carpetas!$C$5:$L$2060,2,FALSE),"")</f>
        <v>ECA007</v>
      </c>
      <c r="G68" s="38" t="s">
        <v>43</v>
      </c>
      <c r="H68" s="44" t="str">
        <f>IF(C68&lt;&gt;"",VLOOKUP($C68,Carpetas!$C$5:$L$2060,9,FALSE),"")</f>
        <v>148,61,97</v>
      </c>
      <c r="I68" s="51" t="str">
        <f>IF(C68&lt;&gt;"",VLOOKUP($C68,Carpetas!$C$5:$L$2060,5,FALSE),"")</f>
        <v>Andino</v>
      </c>
      <c r="J68" s="51"/>
      <c r="K68" s="50">
        <v>45378</v>
      </c>
      <c r="L68" s="39" t="str">
        <f>VLOOKUP($C68,Carpetas!$C$5:$L$2060,4,FALSE)</f>
        <v>Fray Bentos</v>
      </c>
      <c r="M68" s="55">
        <f t="shared" si="5"/>
        <v>45379</v>
      </c>
      <c r="N68" s="53">
        <f t="shared" si="1"/>
        <v>16</v>
      </c>
      <c r="O68" s="51">
        <v>1680</v>
      </c>
      <c r="P68" s="51"/>
      <c r="Q68" s="51"/>
      <c r="R68" s="51"/>
      <c r="S68" s="51"/>
      <c r="T68" s="65"/>
      <c r="U68" s="65"/>
      <c r="V68" s="65"/>
      <c r="W68" s="51"/>
      <c r="X68" s="66"/>
    </row>
    <row r="69" hidden="1" ht="27.75" customHeight="1" s="32" customFormat="1">
      <c r="A69" s="37"/>
      <c r="B69" s="31" t="s">
        <v>32</v>
      </c>
      <c r="C69" s="59" t="s">
        <v>165</v>
      </c>
      <c r="D69" s="59" t="s">
        <v>30</v>
      </c>
      <c r="E69" s="57">
        <v>45363</v>
      </c>
      <c r="F69" s="38" t="str">
        <f>IF(C69&lt;&gt;"",VLOOKUP($C69,Carpetas!$C$5:$L$2060,2,FALSE),"")</f>
        <v>ECB008</v>
      </c>
      <c r="G69" s="38" t="s">
        <v>43</v>
      </c>
      <c r="H69" s="44">
        <f>IF(C69&lt;&gt;"",VLOOKUP($C69,Carpetas!$C$5:$L$2060,9,FALSE),"")</f>
        <v>1486195</v>
      </c>
      <c r="I69" s="51" t="str">
        <f>IF(C69&lt;&gt;"",VLOOKUP($C69,Carpetas!$C$5:$L$2060,5,FALSE),"")</f>
        <v>Andino</v>
      </c>
      <c r="J69" s="51"/>
      <c r="K69" s="50">
        <v>45381</v>
      </c>
      <c r="L69" s="39" t="str">
        <f>VLOOKUP($C69,Carpetas!$C$5:$L$2060,4,FALSE)</f>
        <v>Fray Bentos</v>
      </c>
      <c r="M69" s="55">
        <v>45385</v>
      </c>
      <c r="N69" s="53">
        <f t="shared" si="1"/>
        <v>22</v>
      </c>
      <c r="O69" s="51">
        <v>1080</v>
      </c>
      <c r="P69" s="51"/>
      <c r="Q69" s="51"/>
      <c r="R69" s="51"/>
      <c r="S69" s="51"/>
      <c r="T69" s="65"/>
      <c r="U69" s="65"/>
      <c r="V69" s="65" t="s">
        <v>55</v>
      </c>
      <c r="W69" s="51"/>
      <c r="X69" s="66" t="s">
        <v>168</v>
      </c>
    </row>
    <row r="70" hidden="1" ht="27.75" customHeight="1" s="32" customFormat="1">
      <c r="A70" s="37"/>
      <c r="B70" s="31" t="s">
        <v>32</v>
      </c>
      <c r="C70" s="59" t="s">
        <v>169</v>
      </c>
      <c r="D70" s="59" t="s">
        <v>30</v>
      </c>
      <c r="E70" s="57">
        <v>45363</v>
      </c>
      <c r="F70" s="38" t="str">
        <f>IF(C70&lt;&gt;"",VLOOKUP($C70,Carpetas!$C$5:$L$2060,2,FALSE),"")</f>
        <v>ECE016</v>
      </c>
      <c r="G70" s="38" t="s">
        <v>43</v>
      </c>
      <c r="H70" s="44">
        <f>IF(C70&lt;&gt;"",VLOOKUP($C70,Carpetas!$C$5:$L$2060,9,FALSE),"")</f>
        <v>1486195</v>
      </c>
      <c r="I70" s="51" t="str">
        <f>IF(C70&lt;&gt;"",VLOOKUP($C70,Carpetas!$C$5:$L$2060,5,FALSE),"")</f>
        <v>Andino</v>
      </c>
      <c r="J70" s="51"/>
      <c r="K70" s="50">
        <v>45381</v>
      </c>
      <c r="L70" s="39" t="str">
        <f>VLOOKUP($C70,Carpetas!$C$5:$L$2060,4,FALSE)</f>
        <v>Fray Bentos</v>
      </c>
      <c r="M70" s="55">
        <v>45385</v>
      </c>
      <c r="N70" s="53">
        <f ref="N70:N133" t="shared" si="6">IF(M70&lt;&gt;"",M70-E70,"-")</f>
        <v>22</v>
      </c>
      <c r="O70" s="51">
        <v>1080</v>
      </c>
      <c r="P70" s="51"/>
      <c r="Q70" s="51"/>
      <c r="R70" s="51"/>
      <c r="S70" s="51"/>
      <c r="T70" s="65"/>
      <c r="U70" s="65"/>
      <c r="V70" s="65"/>
      <c r="W70" s="51"/>
      <c r="X70" s="66" t="s">
        <v>170</v>
      </c>
    </row>
    <row r="71" hidden="1" ht="27.75" customHeight="1" s="32" customFormat="1">
      <c r="A71" s="37"/>
      <c r="B71" s="31" t="s">
        <v>32</v>
      </c>
      <c r="C71" s="59" t="s">
        <v>169</v>
      </c>
      <c r="D71" s="59" t="s">
        <v>30</v>
      </c>
      <c r="E71" s="57">
        <v>45363</v>
      </c>
      <c r="F71" s="38" t="str">
        <f>IF(C71&lt;&gt;"",VLOOKUP($C71,Carpetas!$C$5:$L$2060,2,FALSE),"")</f>
        <v>ECE016</v>
      </c>
      <c r="G71" s="38" t="s">
        <v>43</v>
      </c>
      <c r="H71" s="44">
        <f>IF(C71&lt;&gt;"",VLOOKUP($C71,Carpetas!$C$5:$L$2060,9,FALSE),"")</f>
        <v>1486195</v>
      </c>
      <c r="I71" s="51" t="str">
        <f>IF(C71&lt;&gt;"",VLOOKUP($C71,Carpetas!$C$5:$L$2060,5,FALSE),"")</f>
        <v>Andino</v>
      </c>
      <c r="J71" s="51"/>
      <c r="K71" s="50">
        <v>45381</v>
      </c>
      <c r="L71" s="39" t="str">
        <f>VLOOKUP($C71,Carpetas!$C$5:$L$2060,4,FALSE)</f>
        <v>Fray Bentos</v>
      </c>
      <c r="M71" s="55">
        <v>45385</v>
      </c>
      <c r="N71" s="53">
        <f t="shared" si="6"/>
        <v>22</v>
      </c>
      <c r="O71" s="51">
        <f>972+140</f>
        <v>1112</v>
      </c>
      <c r="P71" s="51"/>
      <c r="Q71" s="51"/>
      <c r="R71" s="51"/>
      <c r="S71" s="51"/>
      <c r="T71" s="65"/>
      <c r="U71" s="65"/>
      <c r="V71" s="65"/>
      <c r="W71" s="51"/>
      <c r="X71" s="66" t="s">
        <v>170</v>
      </c>
    </row>
    <row r="72" hidden="1" ht="27.75" customHeight="1" s="32" customFormat="1">
      <c r="A72" s="37"/>
      <c r="B72" s="31" t="s">
        <v>32</v>
      </c>
      <c r="C72" s="59" t="s">
        <v>171</v>
      </c>
      <c r="D72" s="59" t="s">
        <v>30</v>
      </c>
      <c r="E72" s="57">
        <v>45370</v>
      </c>
      <c r="F72" s="38" t="str">
        <f>IF(C72&lt;&gt;"",VLOOKUP($C72,Carpetas!$C$5:$L$2060,2,FALSE),"")</f>
        <v>ECB009</v>
      </c>
      <c r="G72" s="38" t="s">
        <v>43</v>
      </c>
      <c r="H72" s="44">
        <f>IF(C72&lt;&gt;"",VLOOKUP($C72,Carpetas!$C$5:$L$2060,9,FALSE),"")</f>
        <v>1486672</v>
      </c>
      <c r="I72" s="51" t="str">
        <f>IF(C72&lt;&gt;"",VLOOKUP($C72,Carpetas!$C$5:$L$2060,5,FALSE),"")</f>
        <v>Andino</v>
      </c>
      <c r="J72" s="51"/>
      <c r="K72" s="50">
        <v>45385</v>
      </c>
      <c r="L72" s="39" t="str">
        <f>VLOOKUP($C72,Carpetas!$C$5:$L$2060,4,FALSE)</f>
        <v>Fray Bentos</v>
      </c>
      <c r="M72" s="55">
        <v>45386</v>
      </c>
      <c r="N72" s="53">
        <f t="shared" si="6"/>
        <v>16</v>
      </c>
      <c r="O72" s="51">
        <v>1080</v>
      </c>
      <c r="P72" s="51"/>
      <c r="Q72" s="51">
        <v>1080</v>
      </c>
      <c r="R72" s="51"/>
      <c r="S72" s="51"/>
      <c r="T72" s="65"/>
      <c r="U72" s="65"/>
      <c r="V72" s="65" t="s">
        <v>60</v>
      </c>
      <c r="W72" s="51"/>
      <c r="X72" s="66" t="s">
        <v>172</v>
      </c>
    </row>
    <row r="73" hidden="1" ht="27.75" customHeight="1" s="32" customFormat="1">
      <c r="A73" s="37"/>
      <c r="B73" s="31" t="s">
        <v>32</v>
      </c>
      <c r="C73" s="59" t="s">
        <v>173</v>
      </c>
      <c r="D73" s="59" t="s">
        <v>30</v>
      </c>
      <c r="E73" s="57">
        <v>45370</v>
      </c>
      <c r="F73" s="38" t="str">
        <f>IF(C73&lt;&gt;"",VLOOKUP($C73,Carpetas!$C$5:$L$2060,2,FALSE),"")</f>
        <v>ECE017</v>
      </c>
      <c r="G73" s="38" t="s">
        <v>43</v>
      </c>
      <c r="H73" s="44">
        <f>IF(C73&lt;&gt;"",VLOOKUP($C73,Carpetas!$C$5:$L$2060,9,FALSE),"")</f>
        <v>1486674</v>
      </c>
      <c r="I73" s="51" t="str">
        <f>IF(C73&lt;&gt;"",VLOOKUP($C73,Carpetas!$C$5:$L$2060,5,FALSE),"")</f>
        <v>Andino</v>
      </c>
      <c r="J73" s="51"/>
      <c r="K73" s="50">
        <v>45385</v>
      </c>
      <c r="L73" s="39" t="str">
        <f>VLOOKUP($C73,Carpetas!$C$5:$L$2060,4,FALSE)</f>
        <v>Fray Bentos</v>
      </c>
      <c r="M73" s="55">
        <v>45386</v>
      </c>
      <c r="N73" s="53">
        <f t="shared" si="6"/>
        <v>16</v>
      </c>
      <c r="O73" s="51">
        <v>1080</v>
      </c>
      <c r="P73" s="51"/>
      <c r="Q73" s="51">
        <v>1080</v>
      </c>
      <c r="R73" s="51"/>
      <c r="S73" s="51"/>
      <c r="T73" s="65"/>
      <c r="U73" s="65"/>
      <c r="V73" s="65" t="s">
        <v>60</v>
      </c>
      <c r="W73" s="51" t="s">
        <v>94</v>
      </c>
      <c r="X73" s="66" t="s">
        <v>174</v>
      </c>
    </row>
    <row r="74" hidden="1" ht="27.75" customHeight="1" s="32" customFormat="1">
      <c r="A74" s="37"/>
      <c r="B74" s="31" t="s">
        <v>32</v>
      </c>
      <c r="C74" s="59" t="s">
        <v>175</v>
      </c>
      <c r="D74" s="59" t="s">
        <v>30</v>
      </c>
      <c r="E74" s="57">
        <v>45370</v>
      </c>
      <c r="F74" s="38" t="str">
        <f>IF(C74&lt;&gt;"",VLOOKUP($C74,Carpetas!$C$5:$L$2060,2,FALSE),"")</f>
        <v>ECB010</v>
      </c>
      <c r="G74" s="38" t="s">
        <v>43</v>
      </c>
      <c r="H74" s="44">
        <f>IF(C74&lt;&gt;"",VLOOKUP($C74,Carpetas!$C$5:$L$2060,9,FALSE),"")</f>
        <v>1486673</v>
      </c>
      <c r="I74" s="51" t="str">
        <f>IF(C74&lt;&gt;"",VLOOKUP($C74,Carpetas!$C$5:$L$2060,5,FALSE),"")</f>
        <v>Andino</v>
      </c>
      <c r="J74" s="51"/>
      <c r="K74" s="50">
        <v>45386</v>
      </c>
      <c r="L74" s="39" t="str">
        <f>VLOOKUP($C74,Carpetas!$C$5:$L$2060,4,FALSE)</f>
        <v>Fray Bentos</v>
      </c>
      <c r="M74" s="55">
        <v>45387</v>
      </c>
      <c r="N74" s="53">
        <f t="shared" si="6"/>
        <v>17</v>
      </c>
      <c r="O74" s="51">
        <v>2160</v>
      </c>
      <c r="P74" s="51"/>
      <c r="Q74" s="51">
        <v>2160</v>
      </c>
      <c r="R74" s="51"/>
      <c r="S74" s="51"/>
      <c r="T74" s="65"/>
      <c r="U74" s="65"/>
      <c r="V74" s="65" t="s">
        <v>55</v>
      </c>
      <c r="W74" s="51"/>
      <c r="X74" s="66" t="s">
        <v>176</v>
      </c>
    </row>
    <row r="75" hidden="1" ht="27.75" customHeight="1" s="32" customFormat="1">
      <c r="A75" s="37"/>
      <c r="B75" s="31" t="s">
        <v>32</v>
      </c>
      <c r="C75" s="59" t="s">
        <v>173</v>
      </c>
      <c r="D75" s="59" t="s">
        <v>30</v>
      </c>
      <c r="E75" s="57">
        <v>45370</v>
      </c>
      <c r="F75" s="38" t="str">
        <f>IF(C75&lt;&gt;"",VLOOKUP($C75,Carpetas!$C$5:$L$2060,2,FALSE),"")</f>
        <v>ECE017</v>
      </c>
      <c r="G75" s="38" t="s">
        <v>43</v>
      </c>
      <c r="H75" s="44">
        <f>IF(C75&lt;&gt;"",VLOOKUP($C75,Carpetas!$C$5:$L$2060,9,FALSE),"")</f>
        <v>1486674</v>
      </c>
      <c r="I75" s="51" t="str">
        <f>IF(C75&lt;&gt;"",VLOOKUP($C75,Carpetas!$C$5:$L$2060,5,FALSE),"")</f>
        <v>Andino</v>
      </c>
      <c r="J75" s="51"/>
      <c r="K75" s="50">
        <v>45386</v>
      </c>
      <c r="L75" s="39" t="str">
        <f>VLOOKUP($C75,Carpetas!$C$5:$L$2060,4,FALSE)</f>
        <v>Fray Bentos</v>
      </c>
      <c r="M75" s="55">
        <v>45387</v>
      </c>
      <c r="N75" s="53">
        <f t="shared" si="6"/>
        <v>17</v>
      </c>
      <c r="O75" s="51">
        <v>1080</v>
      </c>
      <c r="P75" s="51"/>
      <c r="Q75" s="51">
        <v>1080</v>
      </c>
      <c r="R75" s="51"/>
      <c r="S75" s="51"/>
      <c r="T75" s="65"/>
      <c r="U75" s="65"/>
      <c r="V75" s="65" t="s">
        <v>60</v>
      </c>
      <c r="W75" s="51"/>
      <c r="X75" s="66" t="s">
        <v>177</v>
      </c>
    </row>
    <row r="76" hidden="1" ht="27.75" customHeight="1" s="32" customFormat="1">
      <c r="A76" s="37"/>
      <c r="B76" s="31" t="s">
        <v>32</v>
      </c>
      <c r="C76" s="59" t="s">
        <v>175</v>
      </c>
      <c r="D76" s="59" t="s">
        <v>30</v>
      </c>
      <c r="E76" s="57">
        <v>45370</v>
      </c>
      <c r="F76" s="38" t="str">
        <f>IF(C76&lt;&gt;"",VLOOKUP($C76,Carpetas!$C$5:$L$2060,2,FALSE),"")</f>
        <v>ECB010</v>
      </c>
      <c r="G76" s="38" t="s">
        <v>43</v>
      </c>
      <c r="H76" s="44">
        <f>IF(C76&lt;&gt;"",VLOOKUP($C76,Carpetas!$C$5:$L$2060,9,FALSE),"")</f>
        <v>1486673</v>
      </c>
      <c r="I76" s="51" t="str">
        <f>IF(C76&lt;&gt;"",VLOOKUP($C76,Carpetas!$C$5:$L$2060,5,FALSE),"")</f>
        <v>Andino</v>
      </c>
      <c r="J76" s="51"/>
      <c r="K76" s="50">
        <v>45388</v>
      </c>
      <c r="L76" s="39" t="str">
        <f>VLOOKUP($C76,Carpetas!$C$5:$L$2060,4,FALSE)</f>
        <v>Fray Bentos</v>
      </c>
      <c r="M76" s="55">
        <v>45390</v>
      </c>
      <c r="N76" s="53">
        <f t="shared" si="6"/>
        <v>20</v>
      </c>
      <c r="O76" s="51">
        <v>1080</v>
      </c>
      <c r="P76" s="51"/>
      <c r="Q76" s="51">
        <v>1080</v>
      </c>
      <c r="R76" s="51"/>
      <c r="S76" s="51"/>
      <c r="T76" s="65"/>
      <c r="U76" s="65"/>
      <c r="V76" s="65" t="s">
        <v>55</v>
      </c>
      <c r="W76" s="51" t="s">
        <v>178</v>
      </c>
      <c r="X76" s="66" t="s">
        <v>179</v>
      </c>
    </row>
    <row r="77" hidden="1" ht="27.75" customHeight="1" s="32" customFormat="1">
      <c r="A77" s="37"/>
      <c r="B77" s="31" t="s">
        <v>32</v>
      </c>
      <c r="C77" s="59" t="s">
        <v>180</v>
      </c>
      <c r="D77" s="59" t="s">
        <v>34</v>
      </c>
      <c r="E77" s="57">
        <v>45385</v>
      </c>
      <c r="F77" s="38" t="str">
        <f>IF(C77&lt;&gt;"",VLOOKUP($C77,Carpetas!$C$5:$L$2060,2,FALSE),"")</f>
        <v>CLA004</v>
      </c>
      <c r="G77" s="38" t="s">
        <v>35</v>
      </c>
      <c r="H77" s="44">
        <f>IF(C77&lt;&gt;"",VLOOKUP($C77,Carpetas!$C$5:$L$2060,9,FALSE),"")</f>
        <v>0</v>
      </c>
      <c r="I77" s="51" t="str">
        <f>IF(C77&lt;&gt;"",VLOOKUP($C77,Carpetas!$C$5:$L$2060,5,FALSE),"")</f>
        <v>Nihuil</v>
      </c>
      <c r="J77" s="51"/>
      <c r="K77" s="50">
        <v>45390</v>
      </c>
      <c r="L77" s="39" t="str">
        <f>VLOOKUP($C77,Carpetas!$C$5:$L$2060,4,FALSE)</f>
        <v>Fray Bentos</v>
      </c>
      <c r="M77" s="55">
        <v>45391</v>
      </c>
      <c r="N77" s="53">
        <f t="shared" si="6"/>
        <v>6</v>
      </c>
      <c r="O77" s="51">
        <v>7920</v>
      </c>
      <c r="P77" s="51"/>
      <c r="Q77" s="51"/>
      <c r="R77" s="51"/>
      <c r="S77" s="51"/>
      <c r="T77" s="65"/>
      <c r="U77" s="65"/>
      <c r="V77" s="65"/>
      <c r="W77" s="51"/>
      <c r="X77" s="66"/>
    </row>
    <row r="78" hidden="1" ht="27.75" customHeight="1" s="32" customFormat="1">
      <c r="A78" s="37"/>
      <c r="B78" s="31" t="s">
        <v>32</v>
      </c>
      <c r="C78" s="59" t="s">
        <v>181</v>
      </c>
      <c r="D78" s="59" t="s">
        <v>30</v>
      </c>
      <c r="E78" s="57">
        <v>45377</v>
      </c>
      <c r="F78" s="38" t="str">
        <f>IF(C78&lt;&gt;"",VLOOKUP($C78,Carpetas!$C$5:$L$2060,2,FALSE),"")</f>
        <v>ECE018</v>
      </c>
      <c r="G78" s="38" t="s">
        <v>43</v>
      </c>
      <c r="H78" s="44">
        <f>IF(C78&lt;&gt;"",VLOOKUP($C78,Carpetas!$C$5:$L$2060,9,FALSE),"")</f>
        <v>1487354</v>
      </c>
      <c r="I78" s="51" t="str">
        <f>IF(C78&lt;&gt;"",VLOOKUP($C78,Carpetas!$C$5:$L$2060,5,FALSE),"")</f>
        <v>Andino</v>
      </c>
      <c r="J78" s="51"/>
      <c r="K78" s="50">
        <v>45392</v>
      </c>
      <c r="L78" s="39" t="str">
        <f>VLOOKUP($C78,Carpetas!$C$5:$L$2060,4,FALSE)</f>
        <v>Fray Bentos</v>
      </c>
      <c r="M78" s="55">
        <f ref="M78:M88" t="shared" si="7">K78+1</f>
        <v>45393</v>
      </c>
      <c r="N78" s="53">
        <f t="shared" si="6"/>
        <v>16</v>
      </c>
      <c r="O78" s="51">
        <v>1080</v>
      </c>
      <c r="P78" s="51"/>
      <c r="Q78" s="51">
        <v>1080</v>
      </c>
      <c r="R78" s="51"/>
      <c r="S78" s="51"/>
      <c r="T78" s="65"/>
      <c r="U78" s="65"/>
      <c r="V78" s="65" t="s">
        <v>60</v>
      </c>
      <c r="W78" s="51"/>
      <c r="X78" s="66" t="s">
        <v>182</v>
      </c>
    </row>
    <row r="79" hidden="1" ht="27.75" customHeight="1" s="32" customFormat="1">
      <c r="A79" s="37"/>
      <c r="B79" s="31" t="s">
        <v>32</v>
      </c>
      <c r="C79" s="59" t="s">
        <v>181</v>
      </c>
      <c r="D79" s="59" t="s">
        <v>30</v>
      </c>
      <c r="E79" s="57">
        <v>45377</v>
      </c>
      <c r="F79" s="38" t="str">
        <f>IF(C79&lt;&gt;"",VLOOKUP($C79,Carpetas!$C$5:$L$2060,2,FALSE),"")</f>
        <v>ECE018</v>
      </c>
      <c r="G79" s="38" t="s">
        <v>43</v>
      </c>
      <c r="H79" s="44">
        <f>IF(C79&lt;&gt;"",VLOOKUP($C79,Carpetas!$C$5:$L$2060,9,FALSE),"")</f>
        <v>1487354</v>
      </c>
      <c r="I79" s="51" t="str">
        <f>IF(C79&lt;&gt;"",VLOOKUP($C79,Carpetas!$C$5:$L$2060,5,FALSE),"")</f>
        <v>Andino</v>
      </c>
      <c r="J79" s="51"/>
      <c r="K79" s="50">
        <v>45392</v>
      </c>
      <c r="L79" s="39" t="str">
        <f>VLOOKUP($C79,Carpetas!$C$5:$L$2060,4,FALSE)</f>
        <v>Fray Bentos</v>
      </c>
      <c r="M79" s="55">
        <f t="shared" si="7"/>
        <v>45393</v>
      </c>
      <c r="N79" s="53">
        <f t="shared" si="6"/>
        <v>16</v>
      </c>
      <c r="O79" s="51">
        <v>1080</v>
      </c>
      <c r="P79" s="51"/>
      <c r="Q79" s="51">
        <v>1080</v>
      </c>
      <c r="R79" s="51"/>
      <c r="S79" s="51"/>
      <c r="T79" s="65"/>
      <c r="U79" s="65"/>
      <c r="V79" s="65" t="s">
        <v>60</v>
      </c>
      <c r="W79" s="51"/>
      <c r="X79" s="66" t="s">
        <v>182</v>
      </c>
    </row>
    <row r="80" hidden="1" ht="27.75" customHeight="1" s="32" customFormat="1">
      <c r="A80" s="37"/>
      <c r="B80" s="31" t="s">
        <v>32</v>
      </c>
      <c r="C80" s="59" t="s">
        <v>183</v>
      </c>
      <c r="D80" s="59" t="s">
        <v>30</v>
      </c>
      <c r="E80" s="57">
        <v>45377</v>
      </c>
      <c r="F80" s="38" t="str">
        <f>IF(C80&lt;&gt;"",VLOOKUP($C80,Carpetas!$C$5:$L$2060,2,FALSE),"")</f>
        <v>ECB012</v>
      </c>
      <c r="G80" s="38" t="s">
        <v>43</v>
      </c>
      <c r="H80" s="44">
        <f>IF(C80&lt;&gt;"",VLOOKUP($C80,Carpetas!$C$5:$L$2060,9,FALSE),"")</f>
        <v>1487352</v>
      </c>
      <c r="I80" s="51" t="str">
        <f>IF(C80&lt;&gt;"",VLOOKUP($C80,Carpetas!$C$5:$L$2060,5,FALSE),"")</f>
        <v>Andino</v>
      </c>
      <c r="J80" s="51"/>
      <c r="K80" s="50">
        <v>45392</v>
      </c>
      <c r="L80" s="39" t="str">
        <f>VLOOKUP($C80,Carpetas!$C$5:$L$2060,4,FALSE)</f>
        <v>Fray Bentos</v>
      </c>
      <c r="M80" s="55">
        <f t="shared" si="7"/>
        <v>45393</v>
      </c>
      <c r="N80" s="53">
        <f t="shared" si="6"/>
        <v>16</v>
      </c>
      <c r="O80" s="51">
        <v>3240</v>
      </c>
      <c r="P80" s="51"/>
      <c r="Q80" s="51">
        <v>3240</v>
      </c>
      <c r="R80" s="51"/>
      <c r="S80" s="51"/>
      <c r="T80" s="65"/>
      <c r="U80" s="65"/>
      <c r="V80" s="65" t="s">
        <v>55</v>
      </c>
      <c r="W80" s="51" t="s">
        <v>184</v>
      </c>
      <c r="X80" s="66" t="s">
        <v>185</v>
      </c>
    </row>
    <row r="81" hidden="1" ht="15.75" customHeight="1" s="32" customFormat="1">
      <c r="A81" s="37"/>
      <c r="B81" s="31" t="s">
        <v>32</v>
      </c>
      <c r="C81" s="59" t="s">
        <v>186</v>
      </c>
      <c r="D81" s="59" t="s">
        <v>30</v>
      </c>
      <c r="E81" s="57">
        <v>45377</v>
      </c>
      <c r="F81" s="38" t="str">
        <f>IF(C81&lt;&gt;"",VLOOKUP($C81,Carpetas!$C$5:$L$2060,2,FALSE),"")</f>
        <v>ECE019</v>
      </c>
      <c r="G81" s="38" t="s">
        <v>43</v>
      </c>
      <c r="H81" s="44">
        <f>IF(C81&lt;&gt;"",VLOOKUP($C81,Carpetas!$C$5:$L$2060,9,FALSE),"")</f>
        <v>1487355</v>
      </c>
      <c r="I81" s="51" t="str">
        <f>IF(C81&lt;&gt;"",VLOOKUP($C81,Carpetas!$C$5:$L$2060,5,FALSE),"")</f>
        <v>Andino</v>
      </c>
      <c r="J81" s="51"/>
      <c r="K81" s="50">
        <v>45392</v>
      </c>
      <c r="L81" s="39" t="str">
        <f>VLOOKUP($C81,Carpetas!$C$5:$L$2060,4,FALSE)</f>
        <v>Fray Bentos</v>
      </c>
      <c r="M81" s="55">
        <f t="shared" si="7"/>
        <v>45393</v>
      </c>
      <c r="N81" s="53">
        <f t="shared" si="6"/>
        <v>16</v>
      </c>
      <c r="O81" s="51">
        <v>1112</v>
      </c>
      <c r="P81" s="51"/>
      <c r="Q81" s="51">
        <v>1128</v>
      </c>
      <c r="R81" s="51"/>
      <c r="S81" s="51"/>
      <c r="T81" s="65"/>
      <c r="U81" s="65"/>
      <c r="V81" s="65" t="s">
        <v>187</v>
      </c>
      <c r="W81" s="51"/>
      <c r="X81" s="66" t="s">
        <v>188</v>
      </c>
    </row>
    <row r="82" hidden="1" ht="27.75" customHeight="1" s="32" customFormat="1">
      <c r="A82" s="37"/>
      <c r="B82" s="31" t="s">
        <v>32</v>
      </c>
      <c r="C82" s="59" t="s">
        <v>181</v>
      </c>
      <c r="D82" s="59" t="s">
        <v>30</v>
      </c>
      <c r="E82" s="57">
        <v>45377</v>
      </c>
      <c r="F82" s="38" t="str">
        <f>IF(C82&lt;&gt;"",VLOOKUP($C82,Carpetas!$C$5:$L$2060,2,FALSE),"")</f>
        <v>ECE018</v>
      </c>
      <c r="G82" s="38" t="s">
        <v>43</v>
      </c>
      <c r="H82" s="44">
        <f>IF(C82&lt;&gt;"",VLOOKUP($C82,Carpetas!$C$5:$L$2060,9,FALSE),"")</f>
        <v>1487354</v>
      </c>
      <c r="I82" s="51" t="str">
        <f>IF(C82&lt;&gt;"",VLOOKUP($C82,Carpetas!$C$5:$L$2060,5,FALSE),"")</f>
        <v>Andino</v>
      </c>
      <c r="J82" s="51"/>
      <c r="K82" s="50">
        <v>45393</v>
      </c>
      <c r="L82" s="39" t="str">
        <f>VLOOKUP($C82,Carpetas!$C$5:$L$2060,4,FALSE)</f>
        <v>Fray Bentos</v>
      </c>
      <c r="M82" s="55">
        <f t="shared" si="7"/>
        <v>45394</v>
      </c>
      <c r="N82" s="53">
        <f t="shared" si="6"/>
        <v>17</v>
      </c>
      <c r="O82" s="51">
        <v>1080</v>
      </c>
      <c r="P82" s="51"/>
      <c r="Q82" s="51">
        <v>1080</v>
      </c>
      <c r="R82" s="51"/>
      <c r="S82" s="51"/>
      <c r="T82" s="65"/>
      <c r="U82" s="65"/>
      <c r="V82" s="65"/>
      <c r="W82" s="51"/>
      <c r="X82" s="66" t="s">
        <v>189</v>
      </c>
    </row>
    <row r="83" hidden="1" ht="27.75" customHeight="1" s="32" customFormat="1">
      <c r="A83" s="37"/>
      <c r="B83" s="31" t="s">
        <v>32</v>
      </c>
      <c r="C83" s="59" t="s">
        <v>190</v>
      </c>
      <c r="D83" s="59" t="s">
        <v>42</v>
      </c>
      <c r="E83" s="57">
        <v>45377</v>
      </c>
      <c r="F83" s="38" t="str">
        <f>IF(C83&lt;&gt;"",VLOOKUP($C83,Carpetas!$C$5:$L$2060,2,FALSE),"")</f>
        <v>ECA008</v>
      </c>
      <c r="G83" s="38" t="s">
        <v>43</v>
      </c>
      <c r="H83" s="44">
        <f>IF(C83&lt;&gt;"",VLOOKUP($C83,Carpetas!$C$5:$L$2060,9,FALSE),"")</f>
        <v>1487362</v>
      </c>
      <c r="I83" s="51" t="str">
        <f>IF(C83&lt;&gt;"",VLOOKUP($C83,Carpetas!$C$5:$L$2060,5,FALSE),"")</f>
        <v>Andino</v>
      </c>
      <c r="J83" s="51"/>
      <c r="K83" s="50">
        <v>45393</v>
      </c>
      <c r="L83" s="39" t="str">
        <f>VLOOKUP($C83,Carpetas!$C$5:$L$2060,4,FALSE)</f>
        <v>Fray Bentos</v>
      </c>
      <c r="M83" s="55">
        <f t="shared" si="7"/>
        <v>45394</v>
      </c>
      <c r="N83" s="53">
        <f t="shared" si="6"/>
        <v>17</v>
      </c>
      <c r="O83" s="51">
        <v>1680</v>
      </c>
      <c r="P83" s="51"/>
      <c r="Q83" s="51"/>
      <c r="R83" s="51"/>
      <c r="S83" s="51"/>
      <c r="T83" s="65"/>
      <c r="U83" s="65"/>
      <c r="V83" s="65"/>
      <c r="W83" s="51"/>
      <c r="X83" s="66"/>
    </row>
    <row r="84" hidden="1" ht="27.75" customHeight="1" s="32" customFormat="1">
      <c r="A84" s="37"/>
      <c r="B84" s="31" t="s">
        <v>32</v>
      </c>
      <c r="C84" s="59" t="s">
        <v>191</v>
      </c>
      <c r="D84" s="59" t="s">
        <v>30</v>
      </c>
      <c r="E84" s="57">
        <v>45377</v>
      </c>
      <c r="F84" s="38" t="str">
        <f>IF(C84&lt;&gt;"",VLOOKUP($C84,Carpetas!$C$5:$L$2060,2,FALSE),"")</f>
        <v>ECB011</v>
      </c>
      <c r="G84" s="38" t="s">
        <v>43</v>
      </c>
      <c r="H84" s="44">
        <f>IF(C84&lt;&gt;"",VLOOKUP($C84,Carpetas!$C$5:$L$2060,9,FALSE),"")</f>
        <v>1487353</v>
      </c>
      <c r="I84" s="51" t="str">
        <f>IF(C84&lt;&gt;"",VLOOKUP($C84,Carpetas!$C$5:$L$2060,5,FALSE),"")</f>
        <v>Andino</v>
      </c>
      <c r="J84" s="51"/>
      <c r="K84" s="50">
        <v>45393</v>
      </c>
      <c r="L84" s="39" t="str">
        <f>VLOOKUP($C84,Carpetas!$C$5:$L$2060,4,FALSE)</f>
        <v>Fray Bentos</v>
      </c>
      <c r="M84" s="55">
        <f t="shared" si="7"/>
        <v>45394</v>
      </c>
      <c r="N84" s="53">
        <f t="shared" si="6"/>
        <v>17</v>
      </c>
      <c r="O84" s="51">
        <v>3240</v>
      </c>
      <c r="P84" s="51"/>
      <c r="Q84" s="51"/>
      <c r="R84" s="51"/>
      <c r="S84" s="51"/>
      <c r="T84" s="65"/>
      <c r="U84" s="65"/>
      <c r="V84" s="65"/>
      <c r="W84" s="51"/>
      <c r="X84" s="66" t="s">
        <v>192</v>
      </c>
    </row>
    <row r="85" hidden="1" ht="27.75" customHeight="1" s="32" customFormat="1">
      <c r="A85" s="37"/>
      <c r="B85" s="31" t="s">
        <v>32</v>
      </c>
      <c r="C85" s="59" t="s">
        <v>193</v>
      </c>
      <c r="D85" s="59" t="s">
        <v>194</v>
      </c>
      <c r="E85" s="57">
        <v>45395</v>
      </c>
      <c r="F85" s="38" t="str">
        <f>IF(C85&lt;&gt;"",VLOOKUP($C85,Carpetas!$C$5:$L$2060,2,FALSE),"")</f>
        <v>CLZ001</v>
      </c>
      <c r="G85" s="38" t="s">
        <v>43</v>
      </c>
      <c r="H85" s="44" t="str">
        <f>IF(C85&lt;&gt;"",VLOOKUP($C85,Carpetas!$C$5:$L$2060,9,FALSE),"")</f>
        <v>148.82,27</v>
      </c>
      <c r="I85" s="51" t="str">
        <f>IF(C85&lt;&gt;"",VLOOKUP($C85,Carpetas!$C$5:$L$2060,5,FALSE),"")</f>
        <v>Nihuil</v>
      </c>
      <c r="J85" s="51"/>
      <c r="K85" s="50">
        <v>45397</v>
      </c>
      <c r="L85" s="39" t="str">
        <f>VLOOKUP($C85,Carpetas!$C$5:$L$2060,4,FALSE)</f>
        <v>Fray Bentos</v>
      </c>
      <c r="M85" s="55">
        <f t="shared" si="7"/>
        <v>45398</v>
      </c>
      <c r="N85" s="53">
        <f t="shared" si="6"/>
        <v>3</v>
      </c>
      <c r="O85" s="51">
        <v>1230</v>
      </c>
      <c r="P85" s="51"/>
      <c r="Q85" s="51"/>
      <c r="R85" s="51"/>
      <c r="S85" s="51"/>
      <c r="T85" s="65"/>
      <c r="U85" s="65"/>
      <c r="V85" s="65"/>
      <c r="W85" s="51"/>
      <c r="X85" s="66"/>
    </row>
    <row r="86" hidden="1" ht="27.75" customHeight="1" s="32" customFormat="1">
      <c r="A86" s="37"/>
      <c r="B86" s="31" t="s">
        <v>32</v>
      </c>
      <c r="C86" s="59" t="s">
        <v>195</v>
      </c>
      <c r="D86" s="59" t="s">
        <v>30</v>
      </c>
      <c r="E86" s="57">
        <v>45384</v>
      </c>
      <c r="F86" s="38" t="str">
        <f>IF(C86&lt;&gt;"",VLOOKUP($C86,Carpetas!$C$5:$L$2060,2,FALSE),"")</f>
        <v>ECB013</v>
      </c>
      <c r="G86" s="38" t="s">
        <v>43</v>
      </c>
      <c r="H86" s="44">
        <f>IF(C86&lt;&gt;"",VLOOKUP($C86,Carpetas!$C$5:$L$2060,9,FALSE),"")</f>
        <v>1487863</v>
      </c>
      <c r="I86" s="51" t="str">
        <f>IF(C86&lt;&gt;"",VLOOKUP($C86,Carpetas!$C$5:$L$2060,5,FALSE),"")</f>
        <v>Andino</v>
      </c>
      <c r="J86" s="51"/>
      <c r="K86" s="50">
        <v>45400</v>
      </c>
      <c r="L86" s="39" t="str">
        <f>VLOOKUP($C86,Carpetas!$C$5:$L$2060,4,FALSE)</f>
        <v>Fray Bentos</v>
      </c>
      <c r="M86" s="55">
        <f t="shared" si="7"/>
        <v>45401</v>
      </c>
      <c r="N86" s="53">
        <f t="shared" si="6"/>
        <v>17</v>
      </c>
      <c r="O86" s="51">
        <v>3240</v>
      </c>
      <c r="P86" s="51"/>
      <c r="Q86" s="51"/>
      <c r="R86" s="51"/>
      <c r="S86" s="51"/>
      <c r="T86" s="65"/>
      <c r="U86" s="65"/>
      <c r="V86" s="65" t="s">
        <v>55</v>
      </c>
      <c r="W86" s="51" t="s">
        <v>163</v>
      </c>
      <c r="X86" s="66" t="s">
        <v>196</v>
      </c>
    </row>
    <row r="87" hidden="1" ht="27.75" customHeight="1" s="32" customFormat="1">
      <c r="A87" s="37"/>
      <c r="B87" s="31" t="s">
        <v>32</v>
      </c>
      <c r="C87" s="59" t="s">
        <v>197</v>
      </c>
      <c r="D87" s="59" t="s">
        <v>30</v>
      </c>
      <c r="E87" s="57">
        <v>45384</v>
      </c>
      <c r="F87" s="38" t="str">
        <f>IF(C87&lt;&gt;"",VLOOKUP($C87,Carpetas!$C$5:$L$2060,2,FALSE),"")</f>
        <v>ECB014</v>
      </c>
      <c r="G87" s="38" t="s">
        <v>43</v>
      </c>
      <c r="H87" s="44">
        <f>IF(C87&lt;&gt;"",VLOOKUP($C87,Carpetas!$C$5:$L$2060,9,FALSE),"")</f>
        <v>1487864</v>
      </c>
      <c r="I87" s="51" t="str">
        <f>IF(C87&lt;&gt;"",VLOOKUP($C87,Carpetas!$C$5:$L$2060,5,FALSE),"")</f>
        <v>Andino</v>
      </c>
      <c r="J87" s="51"/>
      <c r="K87" s="50">
        <v>45400</v>
      </c>
      <c r="L87" s="39" t="str">
        <f>VLOOKUP($C87,Carpetas!$C$5:$L$2060,4,FALSE)</f>
        <v>Fray Bentos</v>
      </c>
      <c r="M87" s="55">
        <f t="shared" si="7"/>
        <v>45401</v>
      </c>
      <c r="N87" s="53">
        <f t="shared" si="6"/>
        <v>17</v>
      </c>
      <c r="O87" s="51">
        <v>3240</v>
      </c>
      <c r="P87" s="51"/>
      <c r="Q87" s="51"/>
      <c r="R87" s="51"/>
      <c r="S87" s="51"/>
      <c r="T87" s="65"/>
      <c r="U87" s="65"/>
      <c r="V87" s="65" t="s">
        <v>55</v>
      </c>
      <c r="W87" s="51" t="s">
        <v>198</v>
      </c>
      <c r="X87" s="66" t="s">
        <v>196</v>
      </c>
    </row>
    <row r="88" hidden="1" ht="27.75" customHeight="1" s="32" customFormat="1">
      <c r="A88" s="37"/>
      <c r="B88" s="31" t="s">
        <v>32</v>
      </c>
      <c r="C88" s="59" t="s">
        <v>199</v>
      </c>
      <c r="D88" s="59" t="s">
        <v>30</v>
      </c>
      <c r="E88" s="57">
        <v>45384</v>
      </c>
      <c r="F88" s="38" t="str">
        <f>IF(C88&lt;&gt;"",VLOOKUP($C88,Carpetas!$C$5:$L$2060,2,FALSE),"")</f>
        <v>ECE020</v>
      </c>
      <c r="G88" s="38" t="s">
        <v>43</v>
      </c>
      <c r="H88" s="44">
        <f>IF(C88&lt;&gt;"",VLOOKUP($C88,Carpetas!$C$5:$L$2060,9,FALSE),"")</f>
        <v>1487865</v>
      </c>
      <c r="I88" s="51" t="str">
        <f>IF(C88&lt;&gt;"",VLOOKUP($C88,Carpetas!$C$5:$L$2060,5,FALSE),"")</f>
        <v>Andino</v>
      </c>
      <c r="J88" s="51"/>
      <c r="K88" s="50">
        <v>45400</v>
      </c>
      <c r="L88" s="39" t="str">
        <f>VLOOKUP($C88,Carpetas!$C$5:$L$2060,4,FALSE)</f>
        <v>Fray Bentos</v>
      </c>
      <c r="M88" s="55">
        <f t="shared" si="7"/>
        <v>45401</v>
      </c>
      <c r="N88" s="53">
        <f t="shared" si="6"/>
        <v>17</v>
      </c>
      <c r="O88" s="51">
        <v>2160</v>
      </c>
      <c r="P88" s="51"/>
      <c r="Q88" s="51">
        <v>2160</v>
      </c>
      <c r="R88" s="51"/>
      <c r="S88" s="51"/>
      <c r="T88" s="65"/>
      <c r="U88" s="65"/>
      <c r="V88" s="65" t="s">
        <v>200</v>
      </c>
      <c r="W88" s="51" t="s">
        <v>201</v>
      </c>
      <c r="X88" s="66" t="s">
        <v>202</v>
      </c>
    </row>
    <row r="89" hidden="1" ht="27.75" customHeight="1" s="32" customFormat="1">
      <c r="A89" s="37"/>
      <c r="B89" s="31" t="s">
        <v>32</v>
      </c>
      <c r="C89" s="59" t="s">
        <v>203</v>
      </c>
      <c r="D89" s="59" t="s">
        <v>37</v>
      </c>
      <c r="E89" s="57">
        <v>45393</v>
      </c>
      <c r="F89" s="38" t="str">
        <f>IF(C89&lt;&gt;"",VLOOKUP($C89,Carpetas!$C$5:$L$2060,2,FALSE),"")</f>
        <v>CLK001</v>
      </c>
      <c r="G89" s="38" t="s">
        <v>35</v>
      </c>
      <c r="H89" s="44">
        <f>IF(C89&lt;&gt;"",VLOOKUP($C89,Carpetas!$C$5:$L$2060,9,FALSE),"")</f>
        <v>0</v>
      </c>
      <c r="I89" s="51" t="str">
        <f>IF(C89&lt;&gt;"",VLOOKUP($C89,Carpetas!$C$5:$L$2060,5,FALSE),"")</f>
        <v>Falero</v>
      </c>
      <c r="J89" s="51"/>
      <c r="K89" s="50">
        <v>45401</v>
      </c>
      <c r="L89" s="39" t="str">
        <f>VLOOKUP($C89,Carpetas!$C$5:$L$2060,4,FALSE)</f>
        <v>Fray Bentos</v>
      </c>
      <c r="M89" s="55">
        <v>45404</v>
      </c>
      <c r="N89" s="53">
        <f t="shared" si="6"/>
        <v>11</v>
      </c>
      <c r="O89" s="51">
        <v>2496</v>
      </c>
      <c r="P89" s="51"/>
      <c r="Q89" s="51"/>
      <c r="R89" s="51"/>
      <c r="S89" s="51"/>
      <c r="T89" s="65"/>
      <c r="U89" s="65"/>
      <c r="V89" s="65"/>
      <c r="W89" s="51"/>
      <c r="X89" s="66"/>
    </row>
    <row r="90" hidden="1" ht="27.75" customHeight="1" s="32" customFormat="1">
      <c r="A90" s="37"/>
      <c r="B90" s="31" t="s">
        <v>32</v>
      </c>
      <c r="C90" s="59" t="s">
        <v>204</v>
      </c>
      <c r="D90" s="59" t="s">
        <v>37</v>
      </c>
      <c r="E90" s="57">
        <v>45401</v>
      </c>
      <c r="F90" s="38" t="str">
        <f>IF(C90&lt;&gt;"",VLOOKUP($C90,Carpetas!$C$5:$L$2060,2,FALSE),"")</f>
        <v>CLK002</v>
      </c>
      <c r="G90" s="38" t="s">
        <v>43</v>
      </c>
      <c r="H90" s="44">
        <f>IF(C90&lt;&gt;"",VLOOKUP($C90,Carpetas!$C$5:$L$2060,9,FALSE),"")</f>
        <v>1499480</v>
      </c>
      <c r="I90" s="51" t="str">
        <f>IF(C90&lt;&gt;"",VLOOKUP($C90,Carpetas!$C$5:$L$2060,5,FALSE),"")</f>
        <v>Cisternas</v>
      </c>
      <c r="J90" s="51"/>
      <c r="K90" s="50">
        <v>45405</v>
      </c>
      <c r="L90" s="39" t="str">
        <f>VLOOKUP($C90,Carpetas!$C$5:$L$2060,4,FALSE)</f>
        <v>Fray Bentos</v>
      </c>
      <c r="M90" s="55">
        <f ref="M90:M108" t="shared" si="8">K90+1</f>
        <v>45406</v>
      </c>
      <c r="N90" s="53">
        <f t="shared" si="6"/>
        <v>5</v>
      </c>
      <c r="O90" s="51">
        <v>2288</v>
      </c>
      <c r="P90" s="51"/>
      <c r="Q90" s="51"/>
      <c r="R90" s="51"/>
      <c r="S90" s="51"/>
      <c r="T90" s="65"/>
      <c r="U90" s="65"/>
      <c r="V90" s="65"/>
      <c r="W90" s="51"/>
      <c r="X90" s="66"/>
    </row>
    <row r="91" hidden="1" ht="27.75" customHeight="1" s="32" customFormat="1">
      <c r="A91" s="37"/>
      <c r="B91" s="31" t="s">
        <v>32</v>
      </c>
      <c r="C91" s="59" t="s">
        <v>205</v>
      </c>
      <c r="D91" s="59" t="s">
        <v>194</v>
      </c>
      <c r="E91" s="57">
        <v>45402</v>
      </c>
      <c r="F91" s="38" t="str">
        <f>IF(C91&lt;&gt;"",VLOOKUP($C91,Carpetas!$C$5:$L$2060,2,FALSE),"")</f>
        <v>CLZ002</v>
      </c>
      <c r="G91" s="38" t="s">
        <v>43</v>
      </c>
      <c r="H91" s="44">
        <f>IF(C91&lt;&gt;"",VLOOKUP($C91,Carpetas!$C$5:$L$2060,9,FALSE),"")</f>
        <v>0</v>
      </c>
      <c r="I91" s="51" t="str">
        <f>IF(C91&lt;&gt;"",VLOOKUP($C91,Carpetas!$C$5:$L$2060,5,FALSE),"")</f>
        <v>Falero</v>
      </c>
      <c r="J91" s="51"/>
      <c r="K91" s="50">
        <v>45407</v>
      </c>
      <c r="L91" s="39" t="str">
        <f>VLOOKUP($C91,Carpetas!$C$5:$L$2060,4,FALSE)</f>
        <v>Fray Bentos</v>
      </c>
      <c r="M91" s="55">
        <f t="shared" si="8"/>
        <v>45408</v>
      </c>
      <c r="N91" s="53">
        <f t="shared" si="6"/>
        <v>6</v>
      </c>
      <c r="O91" s="51">
        <v>1230</v>
      </c>
      <c r="P91" s="51"/>
      <c r="Q91" s="51"/>
      <c r="R91" s="51"/>
      <c r="S91" s="51"/>
      <c r="T91" s="65"/>
      <c r="U91" s="65"/>
      <c r="V91" s="65"/>
      <c r="W91" s="51"/>
      <c r="X91" s="66"/>
    </row>
    <row r="92" hidden="1" ht="27.75" customHeight="1" s="32" customFormat="1">
      <c r="A92" s="37"/>
      <c r="B92" s="31" t="s">
        <v>32</v>
      </c>
      <c r="C92" s="59" t="s">
        <v>206</v>
      </c>
      <c r="D92" s="59" t="s">
        <v>30</v>
      </c>
      <c r="E92" s="57">
        <v>45389</v>
      </c>
      <c r="F92" s="38" t="str">
        <f>IF(C92&lt;&gt;"",VLOOKUP($C92,Carpetas!$C$5:$L$2060,2,FALSE),"")</f>
        <v>ECB015</v>
      </c>
      <c r="G92" s="38" t="s">
        <v>43</v>
      </c>
      <c r="H92" s="44">
        <f>IF(C92&lt;&gt;"",VLOOKUP($C92,Carpetas!$C$5:$L$2060,9,FALSE),"")</f>
        <v>1488112</v>
      </c>
      <c r="I92" s="51" t="str">
        <f>IF(C92&lt;&gt;"",VLOOKUP($C92,Carpetas!$C$5:$L$2060,5,FALSE),"")</f>
        <v>Andino</v>
      </c>
      <c r="J92" s="51"/>
      <c r="K92" s="50">
        <v>45407</v>
      </c>
      <c r="L92" s="39" t="str">
        <f>VLOOKUP($C92,Carpetas!$C$5:$L$2060,4,FALSE)</f>
        <v>Fray Bentos</v>
      </c>
      <c r="M92" s="55">
        <f t="shared" si="8"/>
        <v>45408</v>
      </c>
      <c r="N92" s="53">
        <f t="shared" si="6"/>
        <v>19</v>
      </c>
      <c r="O92" s="51">
        <v>2160</v>
      </c>
      <c r="P92" s="51"/>
      <c r="Q92" s="51">
        <v>2160</v>
      </c>
      <c r="R92" s="51"/>
      <c r="S92" s="51"/>
      <c r="T92" s="65"/>
      <c r="U92" s="65"/>
      <c r="V92" s="65" t="s">
        <v>55</v>
      </c>
      <c r="W92" s="51" t="s">
        <v>207</v>
      </c>
      <c r="X92" s="66" t="s">
        <v>208</v>
      </c>
    </row>
    <row r="93" hidden="1" ht="27.75" customHeight="1" s="32" customFormat="1">
      <c r="A93" s="37"/>
      <c r="B93" s="31" t="s">
        <v>32</v>
      </c>
      <c r="C93" s="59" t="s">
        <v>209</v>
      </c>
      <c r="D93" s="59" t="s">
        <v>30</v>
      </c>
      <c r="E93" s="57">
        <v>45389</v>
      </c>
      <c r="F93" s="38" t="str">
        <f>IF(C93&lt;&gt;"",VLOOKUP($C93,Carpetas!$C$5:$L$2060,2,FALSE),"")</f>
        <v>ECB016</v>
      </c>
      <c r="G93" s="38" t="s">
        <v>43</v>
      </c>
      <c r="H93" s="44">
        <f>IF(C93&lt;&gt;"",VLOOKUP($C93,Carpetas!$C$5:$L$2060,9,FALSE),"")</f>
        <v>1488113</v>
      </c>
      <c r="I93" s="51" t="str">
        <f>IF(C93&lt;&gt;"",VLOOKUP($C93,Carpetas!$C$5:$L$2060,5,FALSE),"")</f>
        <v>Andino</v>
      </c>
      <c r="J93" s="51"/>
      <c r="K93" s="50">
        <v>45407</v>
      </c>
      <c r="L93" s="39" t="str">
        <f>VLOOKUP($C93,Carpetas!$C$5:$L$2060,4,FALSE)</f>
        <v>Fray Bentos</v>
      </c>
      <c r="M93" s="55">
        <f t="shared" si="8"/>
        <v>45408</v>
      </c>
      <c r="N93" s="53">
        <f t="shared" si="6"/>
        <v>19</v>
      </c>
      <c r="O93" s="51">
        <v>2160</v>
      </c>
      <c r="P93" s="51"/>
      <c r="Q93" s="51">
        <v>2160</v>
      </c>
      <c r="R93" s="51"/>
      <c r="S93" s="51"/>
      <c r="T93" s="65"/>
      <c r="U93" s="65"/>
      <c r="V93" s="65" t="s">
        <v>55</v>
      </c>
      <c r="W93" s="51" t="s">
        <v>210</v>
      </c>
      <c r="X93" s="66" t="s">
        <v>208</v>
      </c>
    </row>
    <row r="94" hidden="1" ht="27.75" customHeight="1" s="32" customFormat="1">
      <c r="A94" s="37"/>
      <c r="B94" s="31" t="s">
        <v>32</v>
      </c>
      <c r="C94" s="59" t="s">
        <v>211</v>
      </c>
      <c r="D94" s="59" t="s">
        <v>30</v>
      </c>
      <c r="E94" s="57">
        <v>45389</v>
      </c>
      <c r="F94" s="38" t="str">
        <f>IF(C94&lt;&gt;"",VLOOKUP($C94,Carpetas!$C$5:$L$2060,2,FALSE),"")</f>
        <v>ECE021</v>
      </c>
      <c r="G94" s="38" t="s">
        <v>43</v>
      </c>
      <c r="H94" s="44">
        <f>IF(C94&lt;&gt;"",VLOOKUP($C94,Carpetas!$C$5:$L$2060,9,FALSE),"")</f>
        <v>1488115</v>
      </c>
      <c r="I94" s="51" t="str">
        <f>IF(C94&lt;&gt;"",VLOOKUP($C94,Carpetas!$C$5:$L$2060,5,FALSE),"")</f>
        <v>Andino</v>
      </c>
      <c r="J94" s="51"/>
      <c r="K94" s="50">
        <v>45407</v>
      </c>
      <c r="L94" s="39" t="str">
        <f>VLOOKUP($C94,Carpetas!$C$5:$L$2060,4,FALSE)</f>
        <v>Fray Bentos</v>
      </c>
      <c r="M94" s="55">
        <f t="shared" si="8"/>
        <v>45408</v>
      </c>
      <c r="N94" s="53">
        <f t="shared" si="6"/>
        <v>19</v>
      </c>
      <c r="O94" s="51">
        <v>2208</v>
      </c>
      <c r="P94" s="51"/>
      <c r="Q94" s="51">
        <v>2208</v>
      </c>
      <c r="R94" s="51"/>
      <c r="S94" s="51"/>
      <c r="T94" s="65"/>
      <c r="U94" s="65"/>
      <c r="V94" s="65" t="s">
        <v>60</v>
      </c>
      <c r="W94" s="51" t="s">
        <v>212</v>
      </c>
      <c r="X94" s="66" t="s">
        <v>213</v>
      </c>
    </row>
    <row r="95" hidden="1" ht="27.75" customHeight="1" s="32" customFormat="1">
      <c r="A95" s="37"/>
      <c r="B95" s="31" t="s">
        <v>32</v>
      </c>
      <c r="C95" s="59" t="s">
        <v>214</v>
      </c>
      <c r="D95" s="59" t="s">
        <v>42</v>
      </c>
      <c r="E95" s="57">
        <v>45389</v>
      </c>
      <c r="F95" s="38" t="str">
        <f>IF(C95&lt;&gt;"",VLOOKUP($C95,Carpetas!$C$5:$L$2060,2,FALSE),"")</f>
        <v>ECA009</v>
      </c>
      <c r="G95" s="38" t="s">
        <v>43</v>
      </c>
      <c r="H95" s="44">
        <f>IF(C95&lt;&gt;"",VLOOKUP($C95,Carpetas!$C$5:$L$2060,9,FALSE),"")</f>
        <v>1488133</v>
      </c>
      <c r="I95" s="51" t="str">
        <f>IF(C95&lt;&gt;"",VLOOKUP($C95,Carpetas!$C$5:$L$2060,5,FALSE),"")</f>
        <v>Andino</v>
      </c>
      <c r="J95" s="51"/>
      <c r="K95" s="50">
        <v>45407</v>
      </c>
      <c r="L95" s="39" t="str">
        <f>VLOOKUP($C95,Carpetas!$C$5:$L$2060,4,FALSE)</f>
        <v>Fray Bentos</v>
      </c>
      <c r="M95" s="55">
        <f t="shared" si="8"/>
        <v>45408</v>
      </c>
      <c r="N95" s="53">
        <f t="shared" si="6"/>
        <v>19</v>
      </c>
      <c r="O95" s="51">
        <v>1680</v>
      </c>
      <c r="P95" s="51"/>
      <c r="Q95" s="51"/>
      <c r="R95" s="51"/>
      <c r="S95" s="51"/>
      <c r="T95" s="65"/>
      <c r="U95" s="65"/>
      <c r="V95" s="65"/>
      <c r="W95" s="51"/>
      <c r="X95" s="66"/>
    </row>
    <row r="96" hidden="1" ht="27.75" customHeight="1" s="32" customFormat="1">
      <c r="A96" s="37"/>
      <c r="B96" s="31" t="s">
        <v>32</v>
      </c>
      <c r="C96" s="59" t="s">
        <v>215</v>
      </c>
      <c r="D96" s="59" t="s">
        <v>48</v>
      </c>
      <c r="E96" s="57">
        <v>45398</v>
      </c>
      <c r="F96" s="38" t="str">
        <f>IF(C96&lt;&gt;"",VLOOKUP($C96,Carpetas!$C$5:$L$2060,2,FALSE),"")</f>
        <v>PEP001</v>
      </c>
      <c r="G96" s="38" t="s">
        <v>216</v>
      </c>
      <c r="H96" s="44">
        <f>IF(C96&lt;&gt;"",VLOOKUP($C96,Carpetas!$C$5:$L$2060,9,FALSE),"")</f>
        <v>0</v>
      </c>
      <c r="I96" s="51" t="str">
        <f>IF(C96&lt;&gt;"",VLOOKUP($C96,Carpetas!$C$5:$L$2060,5,FALSE),"")</f>
        <v>Andino</v>
      </c>
      <c r="J96" s="51"/>
      <c r="K96" s="50">
        <v>45414</v>
      </c>
      <c r="L96" s="39" t="str">
        <f>VLOOKUP($C96,Carpetas!$C$5:$L$2060,4,FALSE)</f>
        <v>Fray Bentos</v>
      </c>
      <c r="M96" s="55">
        <f t="shared" si="8"/>
        <v>45415</v>
      </c>
      <c r="N96" s="53">
        <f t="shared" si="6"/>
        <v>17</v>
      </c>
      <c r="O96" s="51">
        <v>1920</v>
      </c>
      <c r="P96" s="51"/>
      <c r="Q96" s="51"/>
      <c r="R96" s="51"/>
      <c r="S96" s="51"/>
      <c r="T96" s="65"/>
      <c r="U96" s="65"/>
      <c r="V96" s="65"/>
      <c r="W96" s="51"/>
      <c r="X96" s="66"/>
    </row>
    <row r="97" hidden="1" ht="27.75" customHeight="1" s="32" customFormat="1">
      <c r="A97" s="37"/>
      <c r="B97" s="31" t="s">
        <v>32</v>
      </c>
      <c r="C97" s="59" t="s">
        <v>217</v>
      </c>
      <c r="D97" s="59" t="s">
        <v>48</v>
      </c>
      <c r="E97" s="57">
        <v>45360</v>
      </c>
      <c r="F97" s="38" t="str">
        <f>IF(C97&lt;&gt;"",VLOOKUP($C97,Carpetas!$C$5:$L$2060,2,FALSE),"")</f>
        <v>MXP012</v>
      </c>
      <c r="G97" s="38" t="s">
        <v>216</v>
      </c>
      <c r="H97" s="44">
        <f>IF(C97&lt;&gt;"",VLOOKUP($C97,Carpetas!$C$5:$L$2060,9,FALSE),"")</f>
        <v>0</v>
      </c>
      <c r="I97" s="51" t="str">
        <f>IF(C97&lt;&gt;"",VLOOKUP($C97,Carpetas!$C$5:$L$2060,5,FALSE),"")</f>
        <v>Ciatran</v>
      </c>
      <c r="J97" s="51"/>
      <c r="K97" s="50">
        <v>45418</v>
      </c>
      <c r="L97" s="39" t="str">
        <f>VLOOKUP($C97,Carpetas!$C$5:$L$2060,4,FALSE)</f>
        <v>Montevideo</v>
      </c>
      <c r="M97" s="55">
        <f t="shared" si="8"/>
        <v>45419</v>
      </c>
      <c r="N97" s="53">
        <f t="shared" si="6"/>
        <v>59</v>
      </c>
      <c r="O97" s="51">
        <v>1920</v>
      </c>
      <c r="P97" s="51"/>
      <c r="Q97" s="51">
        <v>1920</v>
      </c>
      <c r="R97" s="51"/>
      <c r="S97" s="51"/>
      <c r="T97" s="65"/>
      <c r="U97" s="65"/>
      <c r="V97" s="65" t="s">
        <v>93</v>
      </c>
      <c r="W97" s="51" t="s">
        <v>218</v>
      </c>
      <c r="X97" s="66" t="s">
        <v>219</v>
      </c>
    </row>
    <row r="98" hidden="1" ht="27.75" customHeight="1" s="32" customFormat="1">
      <c r="A98" s="37"/>
      <c r="B98" s="31" t="s">
        <v>32</v>
      </c>
      <c r="C98" s="59" t="s">
        <v>220</v>
      </c>
      <c r="D98" s="59" t="s">
        <v>48</v>
      </c>
      <c r="E98" s="57">
        <v>45360</v>
      </c>
      <c r="F98" s="38" t="str">
        <f>IF(C98&lt;&gt;"",VLOOKUP($C98,Carpetas!$C$5:$L$2060,2,FALSE),"")</f>
        <v>MXP011</v>
      </c>
      <c r="G98" s="38" t="s">
        <v>216</v>
      </c>
      <c r="H98" s="44">
        <f>IF(C98&lt;&gt;"",VLOOKUP($C98,Carpetas!$C$5:$L$2060,9,FALSE),"")</f>
        <v>0</v>
      </c>
      <c r="I98" s="51" t="str">
        <f>IF(C98&lt;&gt;"",VLOOKUP($C98,Carpetas!$C$5:$L$2060,5,FALSE),"")</f>
        <v>Ciatran</v>
      </c>
      <c r="J98" s="51"/>
      <c r="K98" s="50">
        <v>45418</v>
      </c>
      <c r="L98" s="39" t="str">
        <f>VLOOKUP($C98,Carpetas!$C$5:$L$2060,4,FALSE)</f>
        <v>Montevideo</v>
      </c>
      <c r="M98" s="55">
        <f t="shared" si="8"/>
        <v>45419</v>
      </c>
      <c r="N98" s="53">
        <f t="shared" si="6"/>
        <v>59</v>
      </c>
      <c r="O98" s="51">
        <v>1920</v>
      </c>
      <c r="P98" s="51"/>
      <c r="Q98" s="51">
        <v>1920</v>
      </c>
      <c r="R98" s="51"/>
      <c r="S98" s="51"/>
      <c r="T98" s="65"/>
      <c r="U98" s="65"/>
      <c r="V98" s="65" t="s">
        <v>93</v>
      </c>
      <c r="W98" s="51" t="s">
        <v>221</v>
      </c>
      <c r="X98" s="66" t="s">
        <v>222</v>
      </c>
    </row>
    <row r="99" hidden="1" ht="27.75" customHeight="1" s="32" customFormat="1">
      <c r="A99" s="37"/>
      <c r="B99" s="31" t="s">
        <v>32</v>
      </c>
      <c r="C99" s="59" t="s">
        <v>223</v>
      </c>
      <c r="D99" s="59" t="s">
        <v>30</v>
      </c>
      <c r="E99" s="57">
        <v>45404</v>
      </c>
      <c r="F99" s="38" t="str">
        <f>IF(C99&lt;&gt;"",VLOOKUP($C99,Carpetas!$C$5:$L$2060,2,FALSE),"")</f>
        <v>ECB018</v>
      </c>
      <c r="G99" s="38" t="s">
        <v>43</v>
      </c>
      <c r="H99" s="44">
        <f>IF(C99&lt;&gt;"",VLOOKUP($C99,Carpetas!$C$5:$L$2060,9,FALSE),"")</f>
        <v>1499595</v>
      </c>
      <c r="I99" s="51" t="str">
        <f>IF(C99&lt;&gt;"",VLOOKUP($C99,Carpetas!$C$5:$L$2060,5,FALSE),"")</f>
        <v>Andino</v>
      </c>
      <c r="J99" s="51"/>
      <c r="K99" s="50">
        <v>45419</v>
      </c>
      <c r="L99" s="39" t="str">
        <f>VLOOKUP($C99,Carpetas!$C$5:$L$2060,4,FALSE)</f>
        <v>Fray Bentos</v>
      </c>
      <c r="M99" s="55">
        <f t="shared" si="8"/>
        <v>45420</v>
      </c>
      <c r="N99" s="53">
        <f t="shared" si="6"/>
        <v>16</v>
      </c>
      <c r="O99" s="51">
        <v>2160</v>
      </c>
      <c r="P99" s="51"/>
      <c r="Q99" s="51"/>
      <c r="R99" s="51"/>
      <c r="S99" s="51"/>
      <c r="T99" s="65"/>
      <c r="U99" s="65"/>
      <c r="V99" s="65"/>
      <c r="W99" s="51"/>
      <c r="X99" s="66"/>
    </row>
    <row r="100" hidden="1" ht="27.75" customHeight="1" s="32" customFormat="1">
      <c r="A100" s="37"/>
      <c r="B100" s="31" t="s">
        <v>32</v>
      </c>
      <c r="C100" s="59" t="s">
        <v>224</v>
      </c>
      <c r="D100" s="59" t="s">
        <v>30</v>
      </c>
      <c r="E100" s="57">
        <v>45404</v>
      </c>
      <c r="F100" s="38" t="str">
        <f>IF(C100&lt;&gt;"",VLOOKUP($C100,Carpetas!$C$5:$L$2060,2,FALSE),"")</f>
        <v>ECE022</v>
      </c>
      <c r="G100" s="38" t="s">
        <v>43</v>
      </c>
      <c r="H100" s="44">
        <f>IF(C100&lt;&gt;"",VLOOKUP($C100,Carpetas!$C$5:$L$2060,9,FALSE),"")</f>
        <v>1489497</v>
      </c>
      <c r="I100" s="51" t="str">
        <f>IF(C100&lt;&gt;"",VLOOKUP($C100,Carpetas!$C$5:$L$2060,5,FALSE),"")</f>
        <v>Andino</v>
      </c>
      <c r="J100" s="51"/>
      <c r="K100" s="50">
        <v>45421</v>
      </c>
      <c r="L100" s="39" t="str">
        <f>VLOOKUP($C100,Carpetas!$C$5:$L$2060,4,FALSE)</f>
        <v>Fray Bentos</v>
      </c>
      <c r="M100" s="55">
        <f t="shared" si="8"/>
        <v>45422</v>
      </c>
      <c r="N100" s="53">
        <f t="shared" si="6"/>
        <v>18</v>
      </c>
      <c r="O100" s="51">
        <v>1080</v>
      </c>
      <c r="P100" s="51"/>
      <c r="Q100" s="51">
        <v>1080</v>
      </c>
      <c r="R100" s="51"/>
      <c r="S100" s="51"/>
      <c r="T100" s="65"/>
      <c r="U100" s="65"/>
      <c r="V100" s="65" t="s">
        <v>60</v>
      </c>
      <c r="W100" s="51" t="s">
        <v>146</v>
      </c>
      <c r="X100" s="66" t="s">
        <v>225</v>
      </c>
    </row>
    <row r="101" hidden="1" ht="27.75" customHeight="1" s="32" customFormat="1">
      <c r="A101" s="37"/>
      <c r="B101" s="31" t="s">
        <v>32</v>
      </c>
      <c r="C101" s="59" t="s">
        <v>226</v>
      </c>
      <c r="D101" s="59" t="s">
        <v>42</v>
      </c>
      <c r="E101" s="57">
        <v>45404</v>
      </c>
      <c r="F101" s="38" t="str">
        <f>IF(C101&lt;&gt;"",VLOOKUP($C101,Carpetas!$C$5:$L$2060,2,FALSE),"")</f>
        <v>ECA010</v>
      </c>
      <c r="G101" s="38" t="s">
        <v>43</v>
      </c>
      <c r="H101" s="44">
        <f>IF(C101&lt;&gt;"",VLOOKUP($C101,Carpetas!$C$5:$L$2060,9,FALSE),"")</f>
        <v>1489473</v>
      </c>
      <c r="I101" s="51" t="str">
        <f>IF(C101&lt;&gt;"",VLOOKUP($C101,Carpetas!$C$5:$L$2060,5,FALSE),"")</f>
        <v>Andino</v>
      </c>
      <c r="J101" s="51"/>
      <c r="K101" s="50">
        <v>45425</v>
      </c>
      <c r="L101" s="39" t="str">
        <f>VLOOKUP($C101,Carpetas!$C$5:$L$2060,4,FALSE)</f>
        <v>Fray Bentos</v>
      </c>
      <c r="M101" s="55">
        <f t="shared" si="8"/>
        <v>45426</v>
      </c>
      <c r="N101" s="53">
        <f t="shared" si="6"/>
        <v>22</v>
      </c>
      <c r="O101" s="51">
        <v>1680</v>
      </c>
      <c r="P101" s="51"/>
      <c r="Q101" s="51"/>
      <c r="R101" s="51"/>
      <c r="S101" s="51"/>
      <c r="T101" s="65"/>
      <c r="U101" s="65"/>
      <c r="V101" s="65"/>
      <c r="W101" s="51"/>
      <c r="X101" s="66"/>
    </row>
    <row r="102" hidden="1" ht="27.75" customHeight="1" s="32" customFormat="1">
      <c r="A102" s="37"/>
      <c r="B102" s="31" t="s">
        <v>32</v>
      </c>
      <c r="C102" s="59" t="s">
        <v>227</v>
      </c>
      <c r="D102" s="59" t="s">
        <v>30</v>
      </c>
      <c r="E102" s="57">
        <v>45404</v>
      </c>
      <c r="F102" s="38" t="str">
        <f>IF(C102&lt;&gt;"",VLOOKUP($C102,Carpetas!$C$5:$L$2060,2,FALSE),"")</f>
        <v>ECB017</v>
      </c>
      <c r="G102" s="38" t="s">
        <v>43</v>
      </c>
      <c r="H102" s="44">
        <f>IF(C102&lt;&gt;"",VLOOKUP($C102,Carpetas!$C$5:$L$2060,9,FALSE),"")</f>
        <v>1489495</v>
      </c>
      <c r="I102" s="51" t="str">
        <f>IF(C102&lt;&gt;"",VLOOKUP($C102,Carpetas!$C$5:$L$2060,5,FALSE),"")</f>
        <v>Andino</v>
      </c>
      <c r="J102" s="51"/>
      <c r="K102" s="50">
        <v>45425</v>
      </c>
      <c r="L102" s="39" t="str">
        <f>VLOOKUP($C102,Carpetas!$C$5:$L$2060,4,FALSE)</f>
        <v>Fray Bentos</v>
      </c>
      <c r="M102" s="55">
        <f t="shared" si="8"/>
        <v>45426</v>
      </c>
      <c r="N102" s="53">
        <f t="shared" si="6"/>
        <v>22</v>
      </c>
      <c r="O102" s="51">
        <v>2160</v>
      </c>
      <c r="P102" s="51"/>
      <c r="Q102" s="51">
        <v>2160</v>
      </c>
      <c r="R102" s="51"/>
      <c r="S102" s="51"/>
      <c r="T102" s="65"/>
      <c r="U102" s="65"/>
      <c r="V102" s="65" t="s">
        <v>55</v>
      </c>
      <c r="W102" s="51" t="s">
        <v>110</v>
      </c>
      <c r="X102" s="66" t="s">
        <v>228</v>
      </c>
    </row>
    <row r="103" hidden="1" ht="27.75" customHeight="1" s="32" customFormat="1">
      <c r="A103" s="37"/>
      <c r="B103" s="31" t="s">
        <v>32</v>
      </c>
      <c r="C103" s="59" t="s">
        <v>229</v>
      </c>
      <c r="D103" s="59" t="s">
        <v>230</v>
      </c>
      <c r="E103" s="57">
        <v>45421</v>
      </c>
      <c r="F103" s="38" t="str">
        <f>IF(C103&lt;&gt;"",VLOOKUP($C103,Carpetas!$C$5:$L$2060,2,FALSE),"")</f>
        <v>CLPA001</v>
      </c>
      <c r="G103" s="38" t="s">
        <v>35</v>
      </c>
      <c r="H103" s="44">
        <f>IF(C103&lt;&gt;"",VLOOKUP($C103,Carpetas!$C$5:$L$2060,9,FALSE),"")</f>
        <v>1491458</v>
      </c>
      <c r="I103" s="51" t="str">
        <f>IF(C103&lt;&gt;"",VLOOKUP($C103,Carpetas!$C$5:$L$2060,5,FALSE),"")</f>
        <v>Sarla y Ramón</v>
      </c>
      <c r="J103" s="51"/>
      <c r="K103" s="50">
        <v>45425</v>
      </c>
      <c r="L103" s="39" t="str">
        <f>VLOOKUP($C103,Carpetas!$C$5:$L$2060,4,FALSE)</f>
        <v>Fray Bentos</v>
      </c>
      <c r="M103" s="55">
        <f t="shared" si="8"/>
        <v>45426</v>
      </c>
      <c r="N103" s="53">
        <f t="shared" si="6"/>
        <v>5</v>
      </c>
      <c r="O103" s="51">
        <v>1180</v>
      </c>
      <c r="P103" s="51"/>
      <c r="Q103" s="51"/>
      <c r="R103" s="51"/>
      <c r="S103" s="51"/>
      <c r="T103" s="65"/>
      <c r="U103" s="65"/>
      <c r="V103" s="65"/>
      <c r="W103" s="51"/>
      <c r="X103" s="66"/>
    </row>
    <row r="104" hidden="1" ht="27.75" customHeight="1" s="32" customFormat="1">
      <c r="A104" s="37"/>
      <c r="B104" s="31" t="s">
        <v>32</v>
      </c>
      <c r="C104" s="59" t="s">
        <v>231</v>
      </c>
      <c r="D104" s="59" t="s">
        <v>230</v>
      </c>
      <c r="E104" s="57">
        <v>45421</v>
      </c>
      <c r="F104" s="38" t="str">
        <f>IF(C104&lt;&gt;"",VLOOKUP($C104,Carpetas!$C$5:$L$2060,2,FALSE),"")</f>
        <v>CLPA002</v>
      </c>
      <c r="G104" s="38" t="s">
        <v>35</v>
      </c>
      <c r="H104" s="44">
        <f>IF(C104&lt;&gt;"",VLOOKUP($C104,Carpetas!$C$5:$L$2060,9,FALSE),"")</f>
        <v>1491459</v>
      </c>
      <c r="I104" s="51" t="str">
        <f>IF(C104&lt;&gt;"",VLOOKUP($C104,Carpetas!$C$5:$L$2060,5,FALSE),"")</f>
        <v>Cisternas</v>
      </c>
      <c r="J104" s="51"/>
      <c r="K104" s="50">
        <v>45425</v>
      </c>
      <c r="L104" s="39" t="str">
        <f>VLOOKUP($C104,Carpetas!$C$5:$L$2060,4,FALSE)</f>
        <v>Fray Bentos</v>
      </c>
      <c r="M104" s="55">
        <f t="shared" si="8"/>
        <v>45426</v>
      </c>
      <c r="N104" s="53">
        <f t="shared" si="6"/>
        <v>5</v>
      </c>
      <c r="O104" s="51">
        <v>1250</v>
      </c>
      <c r="P104" s="51"/>
      <c r="Q104" s="51"/>
      <c r="R104" s="51"/>
      <c r="S104" s="51"/>
      <c r="T104" s="65"/>
      <c r="U104" s="65"/>
      <c r="V104" s="65"/>
      <c r="W104" s="51"/>
      <c r="X104" s="66"/>
    </row>
    <row r="105" hidden="1" ht="15.75" customHeight="1" s="32" customFormat="1">
      <c r="A105" s="37"/>
      <c r="B105" s="31" t="s">
        <v>32</v>
      </c>
      <c r="C105" s="59" t="s">
        <v>224</v>
      </c>
      <c r="D105" s="59" t="s">
        <v>30</v>
      </c>
      <c r="E105" s="57">
        <v>45404</v>
      </c>
      <c r="F105" s="38" t="str">
        <f>IF(C105&lt;&gt;"",VLOOKUP($C105,Carpetas!$C$5:$L$2060,2,FALSE),"")</f>
        <v>ECE022</v>
      </c>
      <c r="G105" s="38" t="s">
        <v>43</v>
      </c>
      <c r="H105" s="44">
        <f>IF(C105&lt;&gt;"",VLOOKUP($C105,Carpetas!$C$5:$L$2060,9,FALSE),"")</f>
        <v>1489497</v>
      </c>
      <c r="I105" s="51" t="str">
        <f>IF(C105&lt;&gt;"",VLOOKUP($C105,Carpetas!$C$5:$L$2060,5,FALSE),"")</f>
        <v>Andino</v>
      </c>
      <c r="J105" s="51"/>
      <c r="K105" s="50">
        <v>45425</v>
      </c>
      <c r="L105" s="39" t="str">
        <f>VLOOKUP($C105,Carpetas!$C$5:$L$2060,4,FALSE)</f>
        <v>Fray Bentos</v>
      </c>
      <c r="M105" s="55">
        <f t="shared" si="8"/>
        <v>45426</v>
      </c>
      <c r="N105" s="53">
        <f t="shared" si="6"/>
        <v>22</v>
      </c>
      <c r="O105" s="51">
        <v>1128</v>
      </c>
      <c r="P105" s="51"/>
      <c r="Q105" s="51">
        <v>1128</v>
      </c>
      <c r="R105" s="51"/>
      <c r="S105" s="51"/>
      <c r="T105" s="65"/>
      <c r="U105" s="65"/>
      <c r="V105" s="65" t="s">
        <v>232</v>
      </c>
      <c r="W105" s="51" t="s">
        <v>233</v>
      </c>
      <c r="X105" s="66" t="s">
        <v>234</v>
      </c>
    </row>
    <row r="106" hidden="1" ht="27.75" customHeight="1" s="32" customFormat="1">
      <c r="A106" s="37"/>
      <c r="B106" s="31" t="s">
        <v>32</v>
      </c>
      <c r="C106" s="59" t="s">
        <v>235</v>
      </c>
      <c r="D106" s="59" t="s">
        <v>30</v>
      </c>
      <c r="E106" s="57">
        <v>45410</v>
      </c>
      <c r="F106" s="38" t="str">
        <f>IF(C106&lt;&gt;"",VLOOKUP($C106,Carpetas!$C$5:$L$2060,2,FALSE),"")</f>
        <v>ECE023</v>
      </c>
      <c r="G106" s="38" t="s">
        <v>43</v>
      </c>
      <c r="H106" s="44">
        <f>IF(C106&lt;&gt;"",VLOOKUP($C106,Carpetas!$C$5:$L$2060,9,FALSE),"")</f>
        <v>1490094</v>
      </c>
      <c r="I106" s="51" t="str">
        <f>IF(C106&lt;&gt;"",VLOOKUP($C106,Carpetas!$C$5:$L$2060,5,FALSE),"")</f>
        <v>Andino</v>
      </c>
      <c r="J106" s="51"/>
      <c r="K106" s="50">
        <v>45428</v>
      </c>
      <c r="L106" s="39" t="str">
        <f>VLOOKUP($C106,Carpetas!$C$5:$L$2060,4,FALSE)</f>
        <v>Fray Bentos</v>
      </c>
      <c r="M106" s="55">
        <f t="shared" si="8"/>
        <v>45429</v>
      </c>
      <c r="N106" s="53">
        <f t="shared" si="6"/>
        <v>19</v>
      </c>
      <c r="O106" s="51">
        <v>2208</v>
      </c>
      <c r="P106" s="51"/>
      <c r="Q106" s="51"/>
      <c r="R106" s="51"/>
      <c r="S106" s="51"/>
      <c r="T106" s="65"/>
      <c r="U106" s="65"/>
      <c r="V106" s="65"/>
      <c r="W106" s="51"/>
      <c r="X106" s="66"/>
    </row>
    <row r="107" hidden="1" ht="27.75" customHeight="1" s="32" customFormat="1">
      <c r="A107" s="37"/>
      <c r="B107" s="31" t="s">
        <v>32</v>
      </c>
      <c r="C107" s="59" t="s">
        <v>236</v>
      </c>
      <c r="D107" s="59" t="s">
        <v>30</v>
      </c>
      <c r="E107" s="57">
        <v>45410</v>
      </c>
      <c r="F107" s="38" t="str">
        <f>IF(C107&lt;&gt;"",VLOOKUP($C107,Carpetas!$C$5:$L$2060,2,FALSE),"")</f>
        <v>ECB019</v>
      </c>
      <c r="G107" s="38" t="s">
        <v>43</v>
      </c>
      <c r="H107" s="44">
        <f>IF(C107&lt;&gt;"",VLOOKUP($C107,Carpetas!$C$5:$L$2060,9,FALSE),"")</f>
        <v>1490093</v>
      </c>
      <c r="I107" s="51" t="str">
        <f>IF(C107&lt;&gt;"",VLOOKUP($C107,Carpetas!$C$5:$L$2060,5,FALSE),"")</f>
        <v>Andino</v>
      </c>
      <c r="J107" s="51"/>
      <c r="K107" s="50">
        <v>45428</v>
      </c>
      <c r="L107" s="39" t="str">
        <f>VLOOKUP($C107,Carpetas!$C$5:$L$2060,4,FALSE)</f>
        <v>Fray Bentos</v>
      </c>
      <c r="M107" s="55">
        <f t="shared" si="8"/>
        <v>45429</v>
      </c>
      <c r="N107" s="53">
        <f t="shared" si="6"/>
        <v>19</v>
      </c>
      <c r="O107" s="51">
        <v>3240</v>
      </c>
      <c r="P107" s="51"/>
      <c r="Q107" s="51">
        <v>3240</v>
      </c>
      <c r="R107" s="51"/>
      <c r="S107" s="51"/>
      <c r="T107" s="65"/>
      <c r="U107" s="65"/>
      <c r="V107" s="65" t="s">
        <v>55</v>
      </c>
      <c r="W107" s="51" t="s">
        <v>237</v>
      </c>
      <c r="X107" s="66" t="s">
        <v>238</v>
      </c>
    </row>
    <row r="108" hidden="1" ht="27.75" customHeight="1" s="32" customFormat="1">
      <c r="A108" s="37"/>
      <c r="B108" s="31" t="s">
        <v>32</v>
      </c>
      <c r="C108" s="59" t="s">
        <v>236</v>
      </c>
      <c r="D108" s="59" t="s">
        <v>30</v>
      </c>
      <c r="E108" s="57">
        <v>45410</v>
      </c>
      <c r="F108" s="38" t="str">
        <f>IF(C108&lt;&gt;"",VLOOKUP($C108,Carpetas!$C$5:$L$2060,2,FALSE),"")</f>
        <v>ECB019</v>
      </c>
      <c r="G108" s="38" t="s">
        <v>43</v>
      </c>
      <c r="H108" s="44">
        <f>IF(C108&lt;&gt;"",VLOOKUP($C108,Carpetas!$C$5:$L$2060,9,FALSE),"")</f>
        <v>1490093</v>
      </c>
      <c r="I108" s="51" t="str">
        <f>IF(C108&lt;&gt;"",VLOOKUP($C108,Carpetas!$C$5:$L$2060,5,FALSE),"")</f>
        <v>Andino</v>
      </c>
      <c r="J108" s="51"/>
      <c r="K108" s="50">
        <v>45429</v>
      </c>
      <c r="L108" s="39" t="str">
        <f>VLOOKUP($C108,Carpetas!$C$5:$L$2060,4,FALSE)</f>
        <v>Fray Bentos</v>
      </c>
      <c r="M108" s="55">
        <f t="shared" si="8"/>
        <v>45430</v>
      </c>
      <c r="N108" s="53">
        <f t="shared" si="6"/>
        <v>20</v>
      </c>
      <c r="O108" s="51">
        <v>1080</v>
      </c>
      <c r="P108" s="51"/>
      <c r="Q108" s="51">
        <v>1080</v>
      </c>
      <c r="R108" s="51"/>
      <c r="S108" s="51"/>
      <c r="T108" s="65"/>
      <c r="U108" s="65"/>
      <c r="V108" s="65" t="s">
        <v>55</v>
      </c>
      <c r="W108" s="51" t="s">
        <v>143</v>
      </c>
      <c r="X108" s="66" t="s">
        <v>239</v>
      </c>
    </row>
    <row r="109" hidden="1" ht="27.75" customHeight="1" s="32" customFormat="1">
      <c r="A109" s="37"/>
      <c r="B109" s="31" t="s">
        <v>32</v>
      </c>
      <c r="C109" s="59" t="s">
        <v>240</v>
      </c>
      <c r="D109" s="59" t="s">
        <v>230</v>
      </c>
      <c r="E109" s="57">
        <v>45426</v>
      </c>
      <c r="F109" s="38" t="str">
        <f>IF(C109&lt;&gt;"",VLOOKUP($C109,Carpetas!$C$5:$L$2060,2,FALSE),"")</f>
        <v>CLPA003</v>
      </c>
      <c r="G109" s="38" t="s">
        <v>35</v>
      </c>
      <c r="H109" s="44">
        <f>IF(C109&lt;&gt;"",VLOOKUP($C109,Carpetas!$C$5:$L$2060,9,FALSE),"")</f>
        <v>0</v>
      </c>
      <c r="I109" s="51" t="str">
        <f>IF(C109&lt;&gt;"",VLOOKUP($C109,Carpetas!$C$5:$L$2060,5,FALSE),"")</f>
        <v>Nihuil</v>
      </c>
      <c r="J109" s="51"/>
      <c r="K109" s="50">
        <v>45430</v>
      </c>
      <c r="L109" s="39" t="str">
        <f>VLOOKUP($C109,Carpetas!$C$5:$L$2060,4,FALSE)</f>
        <v>Fray Bentos</v>
      </c>
      <c r="M109" s="55">
        <v>45432</v>
      </c>
      <c r="N109" s="53">
        <f t="shared" si="6"/>
        <v>6</v>
      </c>
      <c r="O109" s="51">
        <v>1250</v>
      </c>
      <c r="P109" s="51"/>
      <c r="Q109" s="51"/>
      <c r="R109" s="51"/>
      <c r="S109" s="51"/>
      <c r="T109" s="65"/>
      <c r="U109" s="65"/>
      <c r="V109" s="65"/>
      <c r="W109" s="51"/>
      <c r="X109" s="66"/>
    </row>
    <row r="110" hidden="1" ht="27.75" customHeight="1" s="32" customFormat="1">
      <c r="A110" s="37"/>
      <c r="B110" s="31" t="s">
        <v>32</v>
      </c>
      <c r="C110" s="59" t="s">
        <v>241</v>
      </c>
      <c r="D110" s="59" t="s">
        <v>230</v>
      </c>
      <c r="E110" s="57">
        <v>45426</v>
      </c>
      <c r="F110" s="38" t="str">
        <f>IF(C110&lt;&gt;"",VLOOKUP($C110,Carpetas!$C$5:$L$2060,2,FALSE),"")</f>
        <v>CLPA004</v>
      </c>
      <c r="G110" s="38" t="s">
        <v>35</v>
      </c>
      <c r="H110" s="44">
        <f>IF(C110&lt;&gt;"",VLOOKUP($C110,Carpetas!$C$5:$L$2060,9,FALSE),"")</f>
        <v>0</v>
      </c>
      <c r="I110" s="51" t="str">
        <f>IF(C110&lt;&gt;"",VLOOKUP($C110,Carpetas!$C$5:$L$2060,5,FALSE),"")</f>
        <v>Cisternas</v>
      </c>
      <c r="J110" s="51"/>
      <c r="K110" s="50">
        <v>45430</v>
      </c>
      <c r="L110" s="39" t="str">
        <f>VLOOKUP($C110,Carpetas!$C$5:$L$2060,4,FALSE)</f>
        <v>Fray Bentos</v>
      </c>
      <c r="M110" s="55">
        <v>45432</v>
      </c>
      <c r="N110" s="53">
        <f t="shared" si="6"/>
        <v>6</v>
      </c>
      <c r="O110" s="51">
        <v>1250</v>
      </c>
      <c r="P110" s="51"/>
      <c r="Q110" s="51"/>
      <c r="R110" s="51"/>
      <c r="S110" s="51"/>
      <c r="T110" s="65"/>
      <c r="U110" s="65"/>
      <c r="V110" s="65"/>
      <c r="W110" s="51"/>
      <c r="X110" s="66"/>
    </row>
    <row r="111" hidden="1" ht="27.75" customHeight="1" s="32" customFormat="1">
      <c r="A111" s="37"/>
      <c r="B111" s="31" t="s">
        <v>32</v>
      </c>
      <c r="C111" s="59" t="s">
        <v>242</v>
      </c>
      <c r="D111" s="59" t="s">
        <v>230</v>
      </c>
      <c r="E111" s="57">
        <v>45428</v>
      </c>
      <c r="F111" s="38" t="str">
        <f>IF(C111&lt;&gt;"",VLOOKUP($C111,Carpetas!$C$5:$L$2060,2,FALSE),"")</f>
        <v>CLPA005</v>
      </c>
      <c r="G111" s="38" t="s">
        <v>35</v>
      </c>
      <c r="H111" s="44">
        <f>IF(C111&lt;&gt;"",VLOOKUP($C111,Carpetas!$C$5:$L$2060,9,FALSE),"")</f>
        <v>0</v>
      </c>
      <c r="I111" s="51" t="str">
        <f>IF(C111&lt;&gt;"",VLOOKUP($C111,Carpetas!$C$5:$L$2060,5,FALSE),"")</f>
        <v>Nihuil</v>
      </c>
      <c r="J111" s="51"/>
      <c r="K111" s="50">
        <v>45432</v>
      </c>
      <c r="L111" s="39" t="str">
        <f>VLOOKUP($C111,Carpetas!$C$5:$L$2060,4,FALSE)</f>
        <v>Fray Bentos</v>
      </c>
      <c r="M111" s="55">
        <f ref="M111:M126" t="shared" si="9">K111+1</f>
        <v>45433</v>
      </c>
      <c r="N111" s="53">
        <f t="shared" si="6"/>
        <v>5</v>
      </c>
      <c r="O111" s="51">
        <v>1250</v>
      </c>
      <c r="P111" s="51"/>
      <c r="Q111" s="51"/>
      <c r="R111" s="51"/>
      <c r="S111" s="51"/>
      <c r="T111" s="65"/>
      <c r="U111" s="65"/>
      <c r="V111" s="65"/>
      <c r="W111" s="51"/>
      <c r="X111" s="66"/>
    </row>
    <row r="112" hidden="1" ht="27.75" customHeight="1" s="32" customFormat="1">
      <c r="A112" s="37"/>
      <c r="B112" s="31" t="s">
        <v>32</v>
      </c>
      <c r="C112" s="59" t="s">
        <v>243</v>
      </c>
      <c r="D112" s="59" t="s">
        <v>48</v>
      </c>
      <c r="E112" s="57">
        <v>45420</v>
      </c>
      <c r="F112" s="38" t="str">
        <f>IF(C112&lt;&gt;"",VLOOKUP($C112,Carpetas!$C$5:$L$2060,2,FALSE),"")</f>
        <v>PEP002</v>
      </c>
      <c r="G112" s="38" t="s">
        <v>43</v>
      </c>
      <c r="H112" s="44">
        <f>IF(C112&lt;&gt;"",VLOOKUP($C112,Carpetas!$C$5:$L$2060,9,FALSE),"")</f>
        <v>0</v>
      </c>
      <c r="I112" s="51" t="str">
        <f>IF(C112&lt;&gt;"",VLOOKUP($C112,Carpetas!$C$5:$L$2060,5,FALSE),"")</f>
        <v>Andino</v>
      </c>
      <c r="J112" s="51"/>
      <c r="K112" s="50">
        <v>45433</v>
      </c>
      <c r="L112" s="39" t="str">
        <f>VLOOKUP($C112,Carpetas!$C$5:$L$2060,4,FALSE)</f>
        <v>Fray Bentos</v>
      </c>
      <c r="M112" s="55">
        <f t="shared" si="9"/>
        <v>45434</v>
      </c>
      <c r="N112" s="53">
        <f t="shared" si="6"/>
        <v>14</v>
      </c>
      <c r="O112" s="51">
        <v>1920</v>
      </c>
      <c r="P112" s="51"/>
      <c r="Q112" s="51">
        <v>1920</v>
      </c>
      <c r="R112" s="51"/>
      <c r="S112" s="51"/>
      <c r="T112" s="65"/>
      <c r="U112" s="65"/>
      <c r="V112" s="65" t="s">
        <v>93</v>
      </c>
      <c r="W112" s="51" t="s">
        <v>244</v>
      </c>
      <c r="X112" s="66" t="s">
        <v>245</v>
      </c>
    </row>
    <row r="113" hidden="1" ht="27.75" customHeight="1" s="32" customFormat="1">
      <c r="A113" s="37"/>
      <c r="B113" s="31" t="s">
        <v>32</v>
      </c>
      <c r="C113" s="59" t="s">
        <v>246</v>
      </c>
      <c r="D113" s="59" t="s">
        <v>42</v>
      </c>
      <c r="E113" s="57">
        <v>45410</v>
      </c>
      <c r="F113" s="38" t="str">
        <f>IF(C113&lt;&gt;"",VLOOKUP($C113,Carpetas!$C$5:$L$2060,2,FALSE),"")</f>
        <v>ECA011</v>
      </c>
      <c r="G113" s="38" t="s">
        <v>43</v>
      </c>
      <c r="H113" s="44">
        <f>IF(C113&lt;&gt;"",VLOOKUP($C113,Carpetas!$C$5:$L$2060,9,FALSE),"")</f>
        <v>1490753</v>
      </c>
      <c r="I113" s="51" t="str">
        <f>IF(C113&lt;&gt;"",VLOOKUP($C113,Carpetas!$C$5:$L$2060,5,FALSE),"")</f>
        <v>Andino</v>
      </c>
      <c r="J113" s="51"/>
      <c r="K113" s="50">
        <v>45434</v>
      </c>
      <c r="L113" s="39" t="str">
        <f>VLOOKUP($C113,Carpetas!$C$5:$L$2060,4,FALSE)</f>
        <v>Fray Bentos</v>
      </c>
      <c r="M113" s="55">
        <f t="shared" si="9"/>
        <v>45435</v>
      </c>
      <c r="N113" s="53">
        <f t="shared" si="6"/>
        <v>25</v>
      </c>
      <c r="O113" s="51">
        <v>1680</v>
      </c>
      <c r="P113" s="51"/>
      <c r="Q113" s="51"/>
      <c r="R113" s="51"/>
      <c r="S113" s="51"/>
      <c r="T113" s="65"/>
      <c r="U113" s="65"/>
      <c r="V113" s="65"/>
      <c r="W113" s="51"/>
      <c r="X113" s="66"/>
    </row>
    <row r="114" hidden="1" ht="27.75" customHeight="1" s="32" customFormat="1">
      <c r="A114" s="37"/>
      <c r="B114" s="31" t="s">
        <v>32</v>
      </c>
      <c r="C114" s="59" t="s">
        <v>247</v>
      </c>
      <c r="D114" s="59" t="s">
        <v>30</v>
      </c>
      <c r="E114" s="57">
        <v>45410</v>
      </c>
      <c r="F114" s="38" t="str">
        <f>IF(C114&lt;&gt;"",VLOOKUP($C114,Carpetas!$C$5:$L$2060,2,FALSE),"")</f>
        <v>ECB020</v>
      </c>
      <c r="G114" s="38" t="s">
        <v>43</v>
      </c>
      <c r="H114" s="44">
        <f>IF(C114&lt;&gt;"",VLOOKUP($C114,Carpetas!$C$5:$L$2060,9,FALSE),"")</f>
        <v>1490763</v>
      </c>
      <c r="I114" s="51" t="str">
        <f>IF(C114&lt;&gt;"",VLOOKUP($C114,Carpetas!$C$5:$L$2060,5,FALSE),"")</f>
        <v>Andino</v>
      </c>
      <c r="J114" s="51"/>
      <c r="K114" s="50">
        <v>45434</v>
      </c>
      <c r="L114" s="39" t="str">
        <f>VLOOKUP($C114,Carpetas!$C$5:$L$2060,4,FALSE)</f>
        <v>Fray Bentos</v>
      </c>
      <c r="M114" s="55">
        <f t="shared" si="9"/>
        <v>45435</v>
      </c>
      <c r="N114" s="53">
        <f t="shared" si="6"/>
        <v>25</v>
      </c>
      <c r="O114" s="51">
        <v>4320</v>
      </c>
      <c r="P114" s="51"/>
      <c r="Q114" s="51"/>
      <c r="R114" s="51"/>
      <c r="S114" s="51"/>
      <c r="T114" s="65"/>
      <c r="U114" s="65"/>
      <c r="V114" s="65" t="s">
        <v>55</v>
      </c>
      <c r="W114" s="51" t="s">
        <v>233</v>
      </c>
      <c r="X114" s="66" t="s">
        <v>248</v>
      </c>
    </row>
    <row r="115" hidden="1" ht="27.75" customHeight="1" s="32" customFormat="1">
      <c r="A115" s="37"/>
      <c r="B115" s="31" t="s">
        <v>32</v>
      </c>
      <c r="C115" s="59" t="s">
        <v>249</v>
      </c>
      <c r="D115" s="59" t="s">
        <v>230</v>
      </c>
      <c r="E115" s="57">
        <v>45430</v>
      </c>
      <c r="F115" s="38" t="str">
        <f>IF(C115&lt;&gt;"",VLOOKUP($C115,Carpetas!$C$5:$L$2060,2,FALSE),"")</f>
        <v>CLPA006</v>
      </c>
      <c r="G115" s="38" t="s">
        <v>35</v>
      </c>
      <c r="H115" s="44">
        <f>IF(C115&lt;&gt;"",VLOOKUP($C115,Carpetas!$C$5:$L$2060,9,FALSE),"")</f>
        <v>0</v>
      </c>
      <c r="I115" s="51" t="str">
        <f>IF(C115&lt;&gt;"",VLOOKUP($C115,Carpetas!$C$5:$L$2060,5,FALSE),"")</f>
        <v>Nihuil</v>
      </c>
      <c r="J115" s="51"/>
      <c r="K115" s="50">
        <v>45441</v>
      </c>
      <c r="L115" s="39" t="str">
        <f>VLOOKUP($C115,Carpetas!$C$5:$L$2060,4,FALSE)</f>
        <v>Fray Bentos</v>
      </c>
      <c r="M115" s="55">
        <f t="shared" si="9"/>
        <v>45442</v>
      </c>
      <c r="N115" s="53">
        <f t="shared" si="6"/>
        <v>12</v>
      </c>
      <c r="O115" s="51">
        <v>1250</v>
      </c>
      <c r="P115" s="51"/>
      <c r="Q115" s="51"/>
      <c r="R115" s="51"/>
      <c r="S115" s="51"/>
      <c r="T115" s="65"/>
      <c r="U115" s="65"/>
      <c r="V115" s="65"/>
      <c r="W115" s="51"/>
      <c r="X115" s="66"/>
    </row>
    <row r="116" hidden="1" ht="27.75" customHeight="1" s="32" customFormat="1">
      <c r="A116" s="37"/>
      <c r="B116" s="31" t="s">
        <v>32</v>
      </c>
      <c r="C116" s="59" t="s">
        <v>250</v>
      </c>
      <c r="D116" s="59" t="s">
        <v>37</v>
      </c>
      <c r="E116" s="57">
        <v>45432</v>
      </c>
      <c r="F116" s="38" t="str">
        <f>IF(C116&lt;&gt;"",VLOOKUP($C116,Carpetas!$C$5:$L$2060,2,FALSE),"")</f>
        <v>CLK003</v>
      </c>
      <c r="G116" s="38" t="s">
        <v>35</v>
      </c>
      <c r="H116" s="44">
        <f>IF(C116&lt;&gt;"",VLOOKUP($C116,Carpetas!$C$5:$L$2060,9,FALSE),"")</f>
        <v>1492382</v>
      </c>
      <c r="I116" s="51" t="str">
        <f>IF(C116&lt;&gt;"",VLOOKUP($C116,Carpetas!$C$5:$L$2060,5,FALSE),"")</f>
        <v>Nihuil</v>
      </c>
      <c r="J116" s="51"/>
      <c r="K116" s="50">
        <v>45441</v>
      </c>
      <c r="L116" s="39" t="str">
        <f>VLOOKUP($C116,Carpetas!$C$5:$L$2060,4,FALSE)</f>
        <v>Fray Bentos</v>
      </c>
      <c r="M116" s="55">
        <f t="shared" si="9"/>
        <v>45442</v>
      </c>
      <c r="N116" s="53">
        <f t="shared" si="6"/>
        <v>10</v>
      </c>
      <c r="O116" s="51">
        <v>2288</v>
      </c>
      <c r="P116" s="51"/>
      <c r="Q116" s="51">
        <v>2288</v>
      </c>
      <c r="R116" s="51"/>
      <c r="S116" s="51"/>
      <c r="T116" s="65"/>
      <c r="U116" s="65"/>
      <c r="V116" s="65" t="s">
        <v>93</v>
      </c>
      <c r="W116" s="51" t="s">
        <v>251</v>
      </c>
      <c r="X116" s="66" t="s">
        <v>252</v>
      </c>
    </row>
    <row r="117" hidden="1" ht="27.75" customHeight="1" s="32" customFormat="1">
      <c r="A117" s="37"/>
      <c r="B117" s="31" t="s">
        <v>253</v>
      </c>
      <c r="C117" s="59" t="s">
        <v>254</v>
      </c>
      <c r="D117" s="59" t="s">
        <v>30</v>
      </c>
      <c r="E117" s="57">
        <v>45410</v>
      </c>
      <c r="F117" s="38" t="str">
        <f>IF(C117&lt;&gt;"",VLOOKUP($C117,Carpetas!$C$5:$L$2060,2,FALSE),"")</f>
        <v>ECE024</v>
      </c>
      <c r="G117" s="38" t="s">
        <v>43</v>
      </c>
      <c r="H117" s="44">
        <f>IF(C117&lt;&gt;"",VLOOKUP($C117,Carpetas!$C$5:$L$2060,9,FALSE),"")</f>
        <v>1490949</v>
      </c>
      <c r="I117" s="51" t="str">
        <f>IF(C117&lt;&gt;"",VLOOKUP($C117,Carpetas!$C$5:$L$2060,5,FALSE),"")</f>
        <v>Andino</v>
      </c>
      <c r="J117" s="51"/>
      <c r="K117" s="50">
        <v>45441</v>
      </c>
      <c r="L117" s="39" t="str">
        <f>VLOOKUP($C117,Carpetas!$C$5:$L$2060,4,FALSE)</f>
        <v>Fray Bentos</v>
      </c>
      <c r="M117" s="55">
        <f t="shared" si="9"/>
        <v>45442</v>
      </c>
      <c r="N117" s="53">
        <f t="shared" si="6"/>
        <v>32</v>
      </c>
      <c r="O117" s="51">
        <v>2208</v>
      </c>
      <c r="P117" s="51"/>
      <c r="Q117" s="51">
        <v>2208</v>
      </c>
      <c r="R117" s="51"/>
      <c r="S117" s="51"/>
      <c r="T117" s="65"/>
      <c r="U117" s="65"/>
      <c r="V117" s="65" t="s">
        <v>232</v>
      </c>
      <c r="W117" s="51" t="s">
        <v>255</v>
      </c>
      <c r="X117" s="66" t="s">
        <v>256</v>
      </c>
    </row>
    <row r="118" hidden="1" ht="27.75" customHeight="1" s="32" customFormat="1">
      <c r="A118" s="37"/>
      <c r="B118" s="31" t="s">
        <v>253</v>
      </c>
      <c r="C118" s="59" t="s">
        <v>257</v>
      </c>
      <c r="D118" s="59" t="s">
        <v>30</v>
      </c>
      <c r="E118" s="57">
        <v>45424</v>
      </c>
      <c r="F118" s="38" t="str">
        <f>IF(C118&lt;&gt;"",VLOOKUP($C118,Carpetas!$C$5:$L$2060,2,FALSE),"")</f>
        <v>ECB021</v>
      </c>
      <c r="G118" s="38" t="s">
        <v>43</v>
      </c>
      <c r="H118" s="44">
        <f>IF(C118&lt;&gt;"",VLOOKUP($C118,Carpetas!$C$5:$L$2060,9,FALSE),"")</f>
        <v>1491326</v>
      </c>
      <c r="I118" s="51" t="str">
        <f>IF(C118&lt;&gt;"",VLOOKUP($C118,Carpetas!$C$5:$L$2060,5,FALSE),"")</f>
        <v>Andino</v>
      </c>
      <c r="J118" s="51"/>
      <c r="K118" s="50">
        <v>45441</v>
      </c>
      <c r="L118" s="39" t="str">
        <f>VLOOKUP($C118,Carpetas!$C$5:$L$2060,4,FALSE)</f>
        <v>Fray Bentos</v>
      </c>
      <c r="M118" s="55">
        <f t="shared" si="9"/>
        <v>45442</v>
      </c>
      <c r="N118" s="53">
        <f t="shared" si="6"/>
        <v>18</v>
      </c>
      <c r="O118" s="51">
        <v>2160</v>
      </c>
      <c r="P118" s="51"/>
      <c r="Q118" s="51">
        <v>2160</v>
      </c>
      <c r="R118" s="51"/>
      <c r="S118" s="51"/>
      <c r="T118" s="65"/>
      <c r="U118" s="65"/>
      <c r="V118" s="65" t="s">
        <v>55</v>
      </c>
      <c r="W118" s="51" t="s">
        <v>258</v>
      </c>
      <c r="X118" s="66" t="s">
        <v>259</v>
      </c>
    </row>
    <row r="119" hidden="1" ht="27.75" customHeight="1" s="32" customFormat="1">
      <c r="A119" s="37"/>
      <c r="B119" s="31" t="s">
        <v>253</v>
      </c>
      <c r="C119" s="59" t="s">
        <v>260</v>
      </c>
      <c r="D119" s="59" t="s">
        <v>30</v>
      </c>
      <c r="E119" s="57">
        <v>45424</v>
      </c>
      <c r="F119" s="38" t="str">
        <f>IF(C119&lt;&gt;"",VLOOKUP($C119,Carpetas!$C$5:$L$2060,2,FALSE),"")</f>
        <v>ECE025</v>
      </c>
      <c r="G119" s="38" t="s">
        <v>43</v>
      </c>
      <c r="H119" s="44">
        <f>IF(C119&lt;&gt;"",VLOOKUP($C119,Carpetas!$C$5:$L$2060,9,FALSE),"")</f>
        <v>1491325</v>
      </c>
      <c r="I119" s="51" t="str">
        <f>IF(C119&lt;&gt;"",VLOOKUP($C119,Carpetas!$C$5:$L$2060,5,FALSE),"")</f>
        <v>Andino</v>
      </c>
      <c r="J119" s="51"/>
      <c r="K119" s="50">
        <v>45441</v>
      </c>
      <c r="L119" s="39" t="str">
        <f>VLOOKUP($C119,Carpetas!$C$5:$L$2060,4,FALSE)</f>
        <v>Fray Bentos</v>
      </c>
      <c r="M119" s="55">
        <f t="shared" si="9"/>
        <v>45442</v>
      </c>
      <c r="N119" s="53">
        <f t="shared" si="6"/>
        <v>18</v>
      </c>
      <c r="O119" s="51">
        <v>1080</v>
      </c>
      <c r="P119" s="51"/>
      <c r="Q119" s="51">
        <v>1080</v>
      </c>
      <c r="R119" s="51"/>
      <c r="S119" s="51"/>
      <c r="T119" s="65"/>
      <c r="U119" s="65"/>
      <c r="V119" s="65" t="s">
        <v>60</v>
      </c>
      <c r="W119" s="51" t="s">
        <v>94</v>
      </c>
      <c r="X119" s="66" t="s">
        <v>261</v>
      </c>
    </row>
    <row r="120" hidden="1" ht="27.75" customHeight="1" s="32" customFormat="1">
      <c r="A120" s="37"/>
      <c r="B120" s="31" t="s">
        <v>253</v>
      </c>
      <c r="C120" s="59" t="s">
        <v>260</v>
      </c>
      <c r="D120" s="59" t="s">
        <v>30</v>
      </c>
      <c r="E120" s="57">
        <v>45424</v>
      </c>
      <c r="F120" s="38" t="str">
        <f>IF(C120&lt;&gt;"",VLOOKUP($C120,Carpetas!$C$5:$L$2060,2,FALSE),"")</f>
        <v>ECE025</v>
      </c>
      <c r="G120" s="38" t="s">
        <v>43</v>
      </c>
      <c r="H120" s="44">
        <f>IF(C120&lt;&gt;"",VLOOKUP($C120,Carpetas!$C$5:$L$2060,9,FALSE),"")</f>
        <v>1491325</v>
      </c>
      <c r="I120" s="51" t="str">
        <f>IF(C120&lt;&gt;"",VLOOKUP($C120,Carpetas!$C$5:$L$2060,5,FALSE),"")</f>
        <v>Andino</v>
      </c>
      <c r="J120" s="51"/>
      <c r="K120" s="50">
        <v>45441</v>
      </c>
      <c r="L120" s="39" t="str">
        <f>VLOOKUP($C120,Carpetas!$C$5:$L$2060,4,FALSE)</f>
        <v>Fray Bentos</v>
      </c>
      <c r="M120" s="55">
        <f t="shared" si="9"/>
        <v>45442</v>
      </c>
      <c r="N120" s="53">
        <f t="shared" si="6"/>
        <v>18</v>
      </c>
      <c r="O120" s="51">
        <v>1080</v>
      </c>
      <c r="P120" s="51"/>
      <c r="Q120" s="51">
        <v>1080</v>
      </c>
      <c r="R120" s="51"/>
      <c r="S120" s="51"/>
      <c r="T120" s="65"/>
      <c r="U120" s="65"/>
      <c r="V120" s="65" t="s">
        <v>60</v>
      </c>
      <c r="W120" s="51" t="s">
        <v>262</v>
      </c>
      <c r="X120" s="66" t="s">
        <v>263</v>
      </c>
    </row>
    <row r="121" hidden="1" ht="27.75" customHeight="1" s="32" customFormat="1">
      <c r="A121" s="37"/>
      <c r="B121" s="31" t="s">
        <v>32</v>
      </c>
      <c r="C121" s="59" t="s">
        <v>264</v>
      </c>
      <c r="D121" s="59" t="s">
        <v>230</v>
      </c>
      <c r="E121" s="57">
        <v>45432</v>
      </c>
      <c r="F121" s="38" t="str">
        <f>IF(C121&lt;&gt;"",VLOOKUP($C121,Carpetas!$C$5:$L$2060,2,FALSE),"")</f>
        <v>CLPA008</v>
      </c>
      <c r="G121" s="38" t="s">
        <v>35</v>
      </c>
      <c r="H121" s="44">
        <f>IF(C121&lt;&gt;"",VLOOKUP($C121,Carpetas!$C$5:$L$2060,9,FALSE),"")</f>
        <v>0</v>
      </c>
      <c r="I121" s="51" t="str">
        <f>IF(C121&lt;&gt;"",VLOOKUP($C121,Carpetas!$C$5:$L$2060,5,FALSE),"")</f>
        <v>Falero</v>
      </c>
      <c r="J121" s="51"/>
      <c r="K121" s="50">
        <v>45441</v>
      </c>
      <c r="L121" s="39" t="str">
        <f>VLOOKUP($C121,Carpetas!$C$5:$L$2060,4,FALSE)</f>
        <v>Fray Bentos</v>
      </c>
      <c r="M121" s="55">
        <f t="shared" si="9"/>
        <v>45442</v>
      </c>
      <c r="N121" s="53">
        <f t="shared" si="6"/>
        <v>10</v>
      </c>
      <c r="O121" s="51">
        <v>1250</v>
      </c>
      <c r="P121" s="51"/>
      <c r="Q121" s="51"/>
      <c r="R121" s="51"/>
      <c r="S121" s="51"/>
      <c r="T121" s="65"/>
      <c r="U121" s="65"/>
      <c r="V121" s="65"/>
      <c r="W121" s="51"/>
      <c r="X121" s="66"/>
    </row>
    <row r="122" hidden="1" ht="27.75" customHeight="1" s="32" customFormat="1">
      <c r="A122" s="37"/>
      <c r="B122" s="31" t="s">
        <v>253</v>
      </c>
      <c r="C122" s="59" t="s">
        <v>265</v>
      </c>
      <c r="D122" s="59" t="s">
        <v>230</v>
      </c>
      <c r="E122" s="57">
        <v>45433</v>
      </c>
      <c r="F122" s="38" t="str">
        <f>IF(C122&lt;&gt;"",VLOOKUP($C122,Carpetas!$C$5:$L$2060,2,FALSE),"")</f>
        <v>CLPA007</v>
      </c>
      <c r="G122" s="38" t="s">
        <v>35</v>
      </c>
      <c r="H122" s="44">
        <f>IF(C122&lt;&gt;"",VLOOKUP($C122,Carpetas!$C$5:$L$2060,9,FALSE),"")</f>
        <v>0</v>
      </c>
      <c r="I122" s="51" t="str">
        <f>IF(C122&lt;&gt;"",VLOOKUP($C122,Carpetas!$C$5:$L$2060,5,FALSE),"")</f>
        <v>Falero</v>
      </c>
      <c r="J122" s="51"/>
      <c r="K122" s="50">
        <v>45441</v>
      </c>
      <c r="L122" s="39" t="str">
        <f>VLOOKUP($C122,Carpetas!$C$5:$L$2060,4,FALSE)</f>
        <v>Fray Bentos</v>
      </c>
      <c r="M122" s="55">
        <f t="shared" si="9"/>
        <v>45442</v>
      </c>
      <c r="N122" s="53">
        <f t="shared" si="6"/>
        <v>9</v>
      </c>
      <c r="O122" s="51">
        <v>1250</v>
      </c>
      <c r="P122" s="51"/>
      <c r="Q122" s="51"/>
      <c r="R122" s="51"/>
      <c r="S122" s="51"/>
      <c r="T122" s="65"/>
      <c r="U122" s="65"/>
      <c r="V122" s="65"/>
      <c r="W122" s="51"/>
      <c r="X122" s="66"/>
    </row>
    <row r="123" hidden="1" ht="27.75" customHeight="1" s="32" customFormat="1">
      <c r="A123" s="37"/>
      <c r="B123" s="31" t="s">
        <v>253</v>
      </c>
      <c r="C123" s="59" t="s">
        <v>266</v>
      </c>
      <c r="D123" s="59" t="s">
        <v>30</v>
      </c>
      <c r="E123" s="57">
        <v>45418</v>
      </c>
      <c r="F123" s="38" t="str">
        <f>IF(C123&lt;&gt;"",VLOOKUP($C123,Carpetas!$C$5:$L$2060,2,FALSE),"")</f>
        <v>COB001</v>
      </c>
      <c r="G123" s="38" t="s">
        <v>267</v>
      </c>
      <c r="H123" s="44">
        <f>IF(C123&lt;&gt;"",VLOOKUP($C123,Carpetas!$C$5:$L$2060,9,FALSE),"")</f>
        <v>0</v>
      </c>
      <c r="I123" s="51" t="str">
        <f>IF(C123&lt;&gt;"",VLOOKUP($C123,Carpetas!$C$5:$L$2060,5,FALSE),"")</f>
        <v>Andino</v>
      </c>
      <c r="J123" s="51"/>
      <c r="K123" s="50">
        <v>45446</v>
      </c>
      <c r="L123" s="39" t="str">
        <f>VLOOKUP($C123,Carpetas!$C$5:$L$2060,4,FALSE)</f>
        <v>Fray Bentos</v>
      </c>
      <c r="M123" s="55">
        <f t="shared" si="9"/>
        <v>45447</v>
      </c>
      <c r="N123" s="53">
        <f t="shared" si="6"/>
        <v>29</v>
      </c>
      <c r="O123" s="51">
        <v>1080</v>
      </c>
      <c r="P123" s="51"/>
      <c r="Q123" s="51">
        <v>1080</v>
      </c>
      <c r="R123" s="51"/>
      <c r="S123" s="51"/>
      <c r="T123" s="65"/>
      <c r="U123" s="65"/>
      <c r="V123" s="65" t="s">
        <v>268</v>
      </c>
      <c r="W123" s="51" t="s">
        <v>97</v>
      </c>
      <c r="X123" s="66" t="s">
        <v>269</v>
      </c>
    </row>
    <row r="124" hidden="1" ht="27.75" customHeight="1" s="32" customFormat="1">
      <c r="A124" s="37"/>
      <c r="B124" s="31" t="s">
        <v>253</v>
      </c>
      <c r="C124" s="59" t="s">
        <v>270</v>
      </c>
      <c r="D124" s="59" t="s">
        <v>230</v>
      </c>
      <c r="E124" s="57">
        <v>45443</v>
      </c>
      <c r="F124" s="38" t="str">
        <f>IF(C124&lt;&gt;"",VLOOKUP($C124,Carpetas!$C$5:$L$2060,2,FALSE),"")</f>
        <v>CLPA010</v>
      </c>
      <c r="G124" s="38" t="s">
        <v>35</v>
      </c>
      <c r="H124" s="44">
        <f>IF(C124&lt;&gt;"",VLOOKUP($C124,Carpetas!$C$5:$L$2060,9,FALSE),"")</f>
        <v>0</v>
      </c>
      <c r="I124" s="51" t="str">
        <f>IF(C124&lt;&gt;"",VLOOKUP($C124,Carpetas!$C$5:$L$2060,5,FALSE),"")</f>
        <v>Sarla y Ramón</v>
      </c>
      <c r="J124" s="51"/>
      <c r="K124" s="50">
        <v>45446</v>
      </c>
      <c r="L124" s="39" t="str">
        <f>VLOOKUP($C124,Carpetas!$C$5:$L$2060,4,FALSE)</f>
        <v>Fray Bentos</v>
      </c>
      <c r="M124" s="55">
        <f t="shared" si="9"/>
        <v>45447</v>
      </c>
      <c r="N124" s="53">
        <f t="shared" si="6"/>
        <v>4</v>
      </c>
      <c r="O124" s="51">
        <v>980</v>
      </c>
      <c r="P124" s="51"/>
      <c r="Q124" s="51"/>
      <c r="R124" s="51"/>
      <c r="S124" s="51"/>
      <c r="T124" s="65"/>
      <c r="U124" s="65"/>
      <c r="V124" s="65"/>
      <c r="W124" s="51"/>
      <c r="X124" s="66"/>
    </row>
    <row r="125" hidden="1" ht="27.75" customHeight="1" s="32" customFormat="1">
      <c r="A125" s="37"/>
      <c r="B125" s="31" t="s">
        <v>253</v>
      </c>
      <c r="C125" s="59" t="s">
        <v>271</v>
      </c>
      <c r="D125" s="59" t="s">
        <v>230</v>
      </c>
      <c r="E125" s="57">
        <v>45443</v>
      </c>
      <c r="F125" s="38" t="str">
        <f>IF(C125&lt;&gt;"",VLOOKUP($C125,Carpetas!$C$5:$L$2060,2,FALSE),"")</f>
        <v>CLPA011</v>
      </c>
      <c r="G125" s="38" t="s">
        <v>35</v>
      </c>
      <c r="H125" s="44">
        <f>IF(C125&lt;&gt;"",VLOOKUP($C125,Carpetas!$C$5:$L$2060,9,FALSE),"")</f>
        <v>0</v>
      </c>
      <c r="I125" s="51" t="str">
        <f>IF(C125&lt;&gt;"",VLOOKUP($C125,Carpetas!$C$5:$L$2060,5,FALSE),"")</f>
        <v>Nihuil</v>
      </c>
      <c r="J125" s="51"/>
      <c r="K125" s="50">
        <v>45446</v>
      </c>
      <c r="L125" s="39" t="str">
        <f>VLOOKUP($C125,Carpetas!$C$5:$L$2060,4,FALSE)</f>
        <v>Fray Bentos</v>
      </c>
      <c r="M125" s="55">
        <f t="shared" si="9"/>
        <v>45447</v>
      </c>
      <c r="N125" s="53">
        <f t="shared" si="6"/>
        <v>4</v>
      </c>
      <c r="O125" s="51">
        <v>1080</v>
      </c>
      <c r="P125" s="51"/>
      <c r="Q125" s="51">
        <v>1080</v>
      </c>
      <c r="R125" s="51"/>
      <c r="S125" s="51"/>
      <c r="T125" s="65"/>
      <c r="U125" s="65"/>
      <c r="V125" s="65"/>
      <c r="W125" s="51" t="s">
        <v>272</v>
      </c>
      <c r="X125" s="66" t="s">
        <v>273</v>
      </c>
    </row>
    <row r="126" hidden="1" ht="27.75" customHeight="1" s="32" customFormat="1">
      <c r="A126" s="37"/>
      <c r="B126" s="31" t="s">
        <v>253</v>
      </c>
      <c r="C126" s="59" t="s">
        <v>274</v>
      </c>
      <c r="D126" s="59" t="s">
        <v>48</v>
      </c>
      <c r="E126" s="57">
        <v>45434</v>
      </c>
      <c r="F126" s="38" t="str">
        <f>IF(C126&lt;&gt;"",VLOOKUP($C126,Carpetas!$C$5:$L$2060,2,FALSE),"")</f>
        <v>PEP003</v>
      </c>
      <c r="G126" s="38" t="s">
        <v>35</v>
      </c>
      <c r="H126" s="44">
        <f>IF(C126&lt;&gt;"",VLOOKUP($C126,Carpetas!$C$5:$L$2060,9,FALSE),"")</f>
        <v>0</v>
      </c>
      <c r="I126" s="51" t="str">
        <f>IF(C126&lt;&gt;"",VLOOKUP($C126,Carpetas!$C$5:$L$2060,5,FALSE),"")</f>
        <v>Andino</v>
      </c>
      <c r="J126" s="51"/>
      <c r="K126" s="50">
        <v>45446</v>
      </c>
      <c r="L126" s="39" t="str">
        <f>VLOOKUP($C126,Carpetas!$C$5:$L$2060,4,FALSE)</f>
        <v>Fray Bentos</v>
      </c>
      <c r="M126" s="55">
        <f t="shared" si="9"/>
        <v>45447</v>
      </c>
      <c r="N126" s="53">
        <f t="shared" si="6"/>
        <v>13</v>
      </c>
      <c r="O126" s="51">
        <v>1920</v>
      </c>
      <c r="P126" s="51"/>
      <c r="Q126" s="51">
        <v>1920</v>
      </c>
      <c r="R126" s="51"/>
      <c r="S126" s="51"/>
      <c r="T126" s="65"/>
      <c r="U126" s="65"/>
      <c r="V126" s="65" t="s">
        <v>93</v>
      </c>
      <c r="W126" s="51" t="s">
        <v>275</v>
      </c>
      <c r="X126" s="66" t="s">
        <v>276</v>
      </c>
    </row>
    <row r="127" hidden="1" ht="27.75" customHeight="1" s="32" customFormat="1">
      <c r="A127" s="37"/>
      <c r="B127" s="31" t="s">
        <v>32</v>
      </c>
      <c r="C127" s="59" t="s">
        <v>277</v>
      </c>
      <c r="D127" s="59" t="s">
        <v>230</v>
      </c>
      <c r="E127" s="57">
        <v>45439</v>
      </c>
      <c r="F127" s="38" t="str">
        <f>IF(C127&lt;&gt;"",VLOOKUP($C127,Carpetas!$C$5:$L$2060,2,FALSE),"")</f>
        <v>CLPA009</v>
      </c>
      <c r="G127" s="38" t="s">
        <v>35</v>
      </c>
      <c r="H127" s="44">
        <f>IF(C127&lt;&gt;"",VLOOKUP($C127,Carpetas!$C$5:$L$2060,9,FALSE),"")</f>
        <v>0</v>
      </c>
      <c r="I127" s="51" t="str">
        <f>IF(C127&lt;&gt;"",VLOOKUP($C127,Carpetas!$C$5:$L$2060,5,FALSE),"")</f>
        <v>Nihuil</v>
      </c>
      <c r="J127" s="51"/>
      <c r="K127" s="50">
        <v>45446</v>
      </c>
      <c r="L127" s="39" t="str">
        <f>VLOOKUP($C127,Carpetas!$C$5:$L$2060,4,FALSE)</f>
        <v>Fray Bentos</v>
      </c>
      <c r="M127" s="55">
        <v>45449</v>
      </c>
      <c r="N127" s="53">
        <f t="shared" si="6"/>
        <v>10</v>
      </c>
      <c r="O127" s="51">
        <v>980</v>
      </c>
      <c r="P127" s="51"/>
      <c r="Q127" s="51"/>
      <c r="R127" s="51"/>
      <c r="S127" s="51"/>
      <c r="T127" s="65"/>
      <c r="U127" s="65"/>
      <c r="V127" s="65"/>
      <c r="W127" s="51"/>
      <c r="X127" s="66"/>
    </row>
    <row r="128" hidden="1" ht="27.75" customHeight="1" s="32" customFormat="1">
      <c r="A128" s="37"/>
      <c r="B128" s="31" t="s">
        <v>253</v>
      </c>
      <c r="C128" s="59" t="s">
        <v>278</v>
      </c>
      <c r="D128" s="59" t="s">
        <v>34</v>
      </c>
      <c r="E128" s="57">
        <v>45439</v>
      </c>
      <c r="F128" s="38" t="str">
        <f>IF(C128&lt;&gt;"",VLOOKUP($C128,Carpetas!$C$5:$L$2060,2,FALSE),"")</f>
        <v>PEA001</v>
      </c>
      <c r="G128" s="38" t="s">
        <v>216</v>
      </c>
      <c r="H128" s="44">
        <f>IF(C128&lt;&gt;"",VLOOKUP($C128,Carpetas!$C$5:$L$2060,9,FALSE),"")</f>
        <v>0</v>
      </c>
      <c r="I128" s="51" t="str">
        <f>IF(C128&lt;&gt;"",VLOOKUP($C128,Carpetas!$C$5:$L$2060,5,FALSE),"")</f>
        <v>Padword</v>
      </c>
      <c r="J128" s="51"/>
      <c r="K128" s="50">
        <v>45450</v>
      </c>
      <c r="L128" s="39" t="str">
        <f>VLOOKUP($C128,Carpetas!$C$5:$L$2060,4,FALSE)</f>
        <v>Fray Bentos</v>
      </c>
      <c r="M128" s="55">
        <f>K128+1</f>
        <v>45451</v>
      </c>
      <c r="N128" s="53">
        <f t="shared" si="6"/>
        <v>12</v>
      </c>
      <c r="O128" s="51">
        <v>7800</v>
      </c>
      <c r="P128" s="51"/>
      <c r="Q128" s="51"/>
      <c r="R128" s="51"/>
      <c r="S128" s="51"/>
      <c r="T128" s="65"/>
      <c r="U128" s="65"/>
      <c r="V128" s="65"/>
      <c r="W128" s="51"/>
      <c r="X128" s="66"/>
    </row>
    <row r="129" hidden="1" ht="27.75" customHeight="1" s="32" customFormat="1">
      <c r="A129" s="37"/>
      <c r="B129" s="31" t="s">
        <v>253</v>
      </c>
      <c r="C129" s="59" t="s">
        <v>279</v>
      </c>
      <c r="D129" s="59" t="s">
        <v>42</v>
      </c>
      <c r="E129" s="57">
        <v>45431</v>
      </c>
      <c r="F129" s="38" t="str">
        <f>IF(C129&lt;&gt;"",VLOOKUP($C129,Carpetas!$C$5:$L$2060,2,FALSE),"")</f>
        <v>ECA012</v>
      </c>
      <c r="G129" s="38" t="s">
        <v>43</v>
      </c>
      <c r="H129" s="44">
        <f>IF(C129&lt;&gt;"",VLOOKUP($C129,Carpetas!$C$5:$L$2060,9,FALSE),"")</f>
        <v>1492402</v>
      </c>
      <c r="I129" s="51" t="str">
        <f>IF(C129&lt;&gt;"",VLOOKUP($C129,Carpetas!$C$5:$L$2060,5,FALSE),"")</f>
        <v>Andino</v>
      </c>
      <c r="J129" s="51"/>
      <c r="K129" s="50">
        <v>45451</v>
      </c>
      <c r="L129" s="39" t="str">
        <f>VLOOKUP($C129,Carpetas!$C$5:$L$2060,4,FALSE)</f>
        <v>Fray Bentos</v>
      </c>
      <c r="M129" s="55">
        <v>45453</v>
      </c>
      <c r="N129" s="53">
        <f t="shared" si="6"/>
        <v>22</v>
      </c>
      <c r="O129" s="51">
        <v>1680</v>
      </c>
      <c r="P129" s="51"/>
      <c r="Q129" s="51"/>
      <c r="R129" s="51"/>
      <c r="S129" s="51"/>
      <c r="T129" s="65"/>
      <c r="U129" s="65"/>
      <c r="V129" s="65"/>
      <c r="W129" s="51"/>
      <c r="X129" s="66"/>
    </row>
    <row r="130" hidden="1" ht="27.75" customHeight="1" s="32" customFormat="1">
      <c r="A130" s="37"/>
      <c r="B130" s="31" t="s">
        <v>253</v>
      </c>
      <c r="C130" s="59" t="s">
        <v>280</v>
      </c>
      <c r="D130" s="59" t="s">
        <v>30</v>
      </c>
      <c r="E130" s="57">
        <v>45431</v>
      </c>
      <c r="F130" s="38" t="str">
        <f>IF(C130&lt;&gt;"",VLOOKUP($C130,Carpetas!$C$5:$L$2060,2,FALSE),"")</f>
        <v>ECB022</v>
      </c>
      <c r="G130" s="38" t="s">
        <v>43</v>
      </c>
      <c r="H130" s="44">
        <f>IF(C130&lt;&gt;"",VLOOKUP($C130,Carpetas!$C$5:$L$2060,9,FALSE),"")</f>
        <v>1491326</v>
      </c>
      <c r="I130" s="51" t="str">
        <f>IF(C130&lt;&gt;"",VLOOKUP($C130,Carpetas!$C$5:$L$2060,5,FALSE),"")</f>
        <v>Andino</v>
      </c>
      <c r="J130" s="51"/>
      <c r="K130" s="50">
        <v>45453</v>
      </c>
      <c r="L130" s="39" t="str">
        <f>VLOOKUP($C130,Carpetas!$C$5:$L$2060,4,FALSE)</f>
        <v>Fray Bentos</v>
      </c>
      <c r="M130" s="55">
        <f ref="M130:M150" t="shared" si="10">K130+1</f>
        <v>45454</v>
      </c>
      <c r="N130" s="53">
        <f t="shared" si="6"/>
        <v>23</v>
      </c>
      <c r="O130" s="51">
        <v>2160</v>
      </c>
      <c r="P130" s="51"/>
      <c r="Q130" s="51">
        <v>2160</v>
      </c>
      <c r="R130" s="51"/>
      <c r="S130" s="51"/>
      <c r="T130" s="65"/>
      <c r="U130" s="65"/>
      <c r="V130" s="65" t="s">
        <v>55</v>
      </c>
      <c r="W130" s="51" t="s">
        <v>281</v>
      </c>
      <c r="X130" s="66" t="s">
        <v>282</v>
      </c>
    </row>
    <row r="131" hidden="1" ht="27.75" customHeight="1" s="32" customFormat="1">
      <c r="A131" s="37"/>
      <c r="B131" s="31" t="s">
        <v>253</v>
      </c>
      <c r="C131" s="59" t="s">
        <v>283</v>
      </c>
      <c r="D131" s="59" t="s">
        <v>230</v>
      </c>
      <c r="E131" s="57">
        <v>45449</v>
      </c>
      <c r="F131" s="38" t="str">
        <f>IF(C131&lt;&gt;"",VLOOKUP($C131,Carpetas!$C$5:$L$2060,2,FALSE),"")</f>
        <v>CLPA012</v>
      </c>
      <c r="G131" s="38" t="s">
        <v>35</v>
      </c>
      <c r="H131" s="44">
        <f>IF(C131&lt;&gt;"",VLOOKUP($C131,Carpetas!$C$5:$L$2060,9,FALSE),"")</f>
        <v>0</v>
      </c>
      <c r="I131" s="51" t="str">
        <f>IF(C131&lt;&gt;"",VLOOKUP($C131,Carpetas!$C$5:$L$2060,5,FALSE),"")</f>
        <v>Nihuil</v>
      </c>
      <c r="J131" s="51"/>
      <c r="K131" s="50">
        <v>45453</v>
      </c>
      <c r="L131" s="39" t="str">
        <f>VLOOKUP($C131,Carpetas!$C$5:$L$2060,4,FALSE)</f>
        <v>Fray Bentos</v>
      </c>
      <c r="M131" s="55">
        <f t="shared" si="10"/>
        <v>45454</v>
      </c>
      <c r="N131" s="53">
        <f t="shared" si="6"/>
        <v>5</v>
      </c>
      <c r="O131" s="51">
        <v>1030</v>
      </c>
      <c r="P131" s="51"/>
      <c r="Q131" s="51"/>
      <c r="R131" s="51"/>
      <c r="S131" s="51"/>
      <c r="T131" s="65"/>
      <c r="U131" s="65"/>
      <c r="V131" s="65"/>
      <c r="W131" s="51"/>
      <c r="X131" s="66"/>
    </row>
    <row r="132" hidden="1" ht="27.75" customHeight="1" s="32" customFormat="1">
      <c r="A132" s="37"/>
      <c r="B132" s="31" t="s">
        <v>253</v>
      </c>
      <c r="C132" s="59" t="s">
        <v>284</v>
      </c>
      <c r="D132" s="59" t="s">
        <v>30</v>
      </c>
      <c r="E132" s="57">
        <v>45440</v>
      </c>
      <c r="F132" s="38" t="str">
        <f>IF(C132&lt;&gt;"",VLOOKUP($C132,Carpetas!$C$5:$L$2060,2,FALSE),"")</f>
        <v>ECB023</v>
      </c>
      <c r="G132" s="38" t="s">
        <v>43</v>
      </c>
      <c r="H132" s="44">
        <f>IF(C132&lt;&gt;"",VLOOKUP($C132,Carpetas!$C$5:$L$2060,9,FALSE),"")</f>
        <v>1492888</v>
      </c>
      <c r="I132" s="51" t="str">
        <f>IF(C132&lt;&gt;"",VLOOKUP($C132,Carpetas!$C$5:$L$2060,5,FALSE),"")</f>
        <v>Andino</v>
      </c>
      <c r="J132" s="51"/>
      <c r="K132" s="50">
        <v>45457</v>
      </c>
      <c r="L132" s="39" t="str">
        <f>VLOOKUP($C132,Carpetas!$C$5:$L$2060,4,FALSE)</f>
        <v>Fray Bentos</v>
      </c>
      <c r="M132" s="55">
        <f t="shared" si="10"/>
        <v>45458</v>
      </c>
      <c r="N132" s="53">
        <f t="shared" si="6"/>
        <v>18</v>
      </c>
      <c r="O132" s="51">
        <v>2160</v>
      </c>
      <c r="P132" s="51"/>
      <c r="Q132" s="51">
        <v>2160</v>
      </c>
      <c r="R132" s="51"/>
      <c r="S132" s="51"/>
      <c r="T132" s="65"/>
      <c r="U132" s="65"/>
      <c r="V132" s="65"/>
      <c r="W132" s="51"/>
      <c r="X132" s="66" t="s">
        <v>285</v>
      </c>
    </row>
    <row r="133" hidden="1" ht="27.75" customHeight="1" s="32" customFormat="1">
      <c r="A133" s="37"/>
      <c r="B133" s="31" t="s">
        <v>253</v>
      </c>
      <c r="C133" s="59" t="s">
        <v>286</v>
      </c>
      <c r="D133" s="59" t="s">
        <v>30</v>
      </c>
      <c r="E133" s="57">
        <v>45440</v>
      </c>
      <c r="F133" s="38" t="str">
        <f>IF(C133&lt;&gt;"",VLOOKUP($C133,Carpetas!$C$5:$L$2060,2,FALSE),"")</f>
        <v>ECB024</v>
      </c>
      <c r="G133" s="38" t="s">
        <v>43</v>
      </c>
      <c r="H133" s="44">
        <f>IF(C133&lt;&gt;"",VLOOKUP($C133,Carpetas!$C$5:$L$2060,9,FALSE),"")</f>
        <v>1492890</v>
      </c>
      <c r="I133" s="51" t="str">
        <f>IF(C133&lt;&gt;"",VLOOKUP($C133,Carpetas!$C$5:$L$2060,5,FALSE),"")</f>
        <v>Andino</v>
      </c>
      <c r="J133" s="51"/>
      <c r="K133" s="50">
        <v>45457</v>
      </c>
      <c r="L133" s="39" t="str">
        <f>VLOOKUP($C133,Carpetas!$C$5:$L$2060,4,FALSE)</f>
        <v>Fray Bentos</v>
      </c>
      <c r="M133" s="55">
        <f t="shared" si="10"/>
        <v>45458</v>
      </c>
      <c r="N133" s="53">
        <f t="shared" si="6"/>
        <v>18</v>
      </c>
      <c r="O133" s="51">
        <v>2160</v>
      </c>
      <c r="P133" s="51"/>
      <c r="Q133" s="51">
        <v>2160</v>
      </c>
      <c r="R133" s="51"/>
      <c r="S133" s="51"/>
      <c r="T133" s="65"/>
      <c r="U133" s="65"/>
      <c r="V133" s="65"/>
      <c r="W133" s="51"/>
      <c r="X133" s="66" t="s">
        <v>287</v>
      </c>
    </row>
    <row r="134" hidden="1" ht="27.75" customHeight="1" s="32" customFormat="1">
      <c r="A134" s="37"/>
      <c r="B134" s="31" t="s">
        <v>288</v>
      </c>
      <c r="C134" s="59" t="s">
        <v>289</v>
      </c>
      <c r="D134" s="59" t="s">
        <v>230</v>
      </c>
      <c r="E134" s="57">
        <v>45449</v>
      </c>
      <c r="F134" s="38" t="str">
        <f>IF(C134&lt;&gt;"",VLOOKUP($C134,Carpetas!$C$5:$L$2060,2,FALSE),"")</f>
        <v>CLPA013</v>
      </c>
      <c r="G134" s="38" t="s">
        <v>35</v>
      </c>
      <c r="H134" s="44">
        <f>IF(C134&lt;&gt;"",VLOOKUP($C134,Carpetas!$C$5:$L$2060,9,FALSE),"")</f>
        <v>0</v>
      </c>
      <c r="I134" s="51" t="str">
        <f>IF(C134&lt;&gt;"",VLOOKUP($C134,Carpetas!$C$5:$L$2060,5,FALSE),"")</f>
        <v>Nihuil</v>
      </c>
      <c r="J134" s="51"/>
      <c r="K134" s="50">
        <v>45460</v>
      </c>
      <c r="L134" s="39" t="str">
        <f>VLOOKUP($C134,Carpetas!$C$5:$L$2060,4,FALSE)</f>
        <v>Fray Bentos</v>
      </c>
      <c r="M134" s="55">
        <f t="shared" si="10"/>
        <v>45461</v>
      </c>
      <c r="N134" s="53">
        <f ref="N134:N197" t="shared" si="11">IF(M134&lt;&gt;"",M134-E134,"-")</f>
        <v>12</v>
      </c>
      <c r="O134" s="51">
        <v>1080</v>
      </c>
      <c r="P134" s="51"/>
      <c r="Q134" s="51"/>
      <c r="R134" s="51"/>
      <c r="S134" s="51"/>
      <c r="T134" s="65"/>
      <c r="U134" s="65"/>
      <c r="V134" s="65"/>
      <c r="W134" s="51"/>
      <c r="X134" s="66"/>
    </row>
    <row r="135" hidden="1" ht="27.75" customHeight="1" s="32" customFormat="1">
      <c r="A135" s="37"/>
      <c r="B135" s="31" t="s">
        <v>288</v>
      </c>
      <c r="C135" s="59" t="s">
        <v>290</v>
      </c>
      <c r="D135" s="59" t="s">
        <v>230</v>
      </c>
      <c r="E135" s="57">
        <v>45453</v>
      </c>
      <c r="F135" s="38" t="str">
        <f>IF(C135&lt;&gt;"",VLOOKUP($C135,Carpetas!$C$5:$L$2060,2,FALSE),"")</f>
        <v>CLPA014</v>
      </c>
      <c r="G135" s="38" t="s">
        <v>35</v>
      </c>
      <c r="H135" s="44">
        <f>IF(C135&lt;&gt;"",VLOOKUP($C135,Carpetas!$C$5:$L$2060,9,FALSE),"")</f>
        <v>0</v>
      </c>
      <c r="I135" s="51" t="str">
        <f>IF(C135&lt;&gt;"",VLOOKUP($C135,Carpetas!$C$5:$L$2060,5,FALSE),"")</f>
        <v>Falero</v>
      </c>
      <c r="J135" s="51"/>
      <c r="K135" s="50">
        <v>45460</v>
      </c>
      <c r="L135" s="39" t="str">
        <f>VLOOKUP($C135,Carpetas!$C$5:$L$2060,4,FALSE)</f>
        <v>Fray Bentos</v>
      </c>
      <c r="M135" s="55">
        <f t="shared" si="10"/>
        <v>45461</v>
      </c>
      <c r="N135" s="53">
        <f t="shared" si="11"/>
        <v>8</v>
      </c>
      <c r="O135" s="51">
        <v>980</v>
      </c>
      <c r="P135" s="51"/>
      <c r="Q135" s="51"/>
      <c r="R135" s="51"/>
      <c r="S135" s="51"/>
      <c r="T135" s="65"/>
      <c r="U135" s="65"/>
      <c r="V135" s="65"/>
      <c r="W135" s="51"/>
      <c r="X135" s="66"/>
    </row>
    <row r="136" hidden="1" ht="27.75" customHeight="1" s="32" customFormat="1">
      <c r="A136" s="37"/>
      <c r="B136" s="31" t="s">
        <v>288</v>
      </c>
      <c r="C136" s="59" t="s">
        <v>291</v>
      </c>
      <c r="D136" s="59" t="s">
        <v>230</v>
      </c>
      <c r="E136" s="57">
        <v>45453</v>
      </c>
      <c r="F136" s="38" t="str">
        <f>IF(C136&lt;&gt;"",VLOOKUP($C136,Carpetas!$C$5:$L$2060,2,FALSE),"")</f>
        <v>CLPA016</v>
      </c>
      <c r="G136" s="38" t="s">
        <v>35</v>
      </c>
      <c r="H136" s="44">
        <f>IF(C136&lt;&gt;"",VLOOKUP($C136,Carpetas!$C$5:$L$2060,9,FALSE),"")</f>
        <v>0</v>
      </c>
      <c r="I136" s="51" t="str">
        <f>IF(C136&lt;&gt;"",VLOOKUP($C136,Carpetas!$C$5:$L$2060,5,FALSE),"")</f>
        <v>Rio Colorado</v>
      </c>
      <c r="J136" s="51"/>
      <c r="K136" s="50">
        <v>45461</v>
      </c>
      <c r="L136" s="39" t="str">
        <f>VLOOKUP($C136,Carpetas!$C$5:$L$2060,4,FALSE)</f>
        <v>Fray Bentos</v>
      </c>
      <c r="M136" s="55">
        <f t="shared" si="10"/>
        <v>45462</v>
      </c>
      <c r="N136" s="53">
        <f t="shared" si="11"/>
        <v>9</v>
      </c>
      <c r="O136" s="51">
        <v>1080</v>
      </c>
      <c r="P136" s="51"/>
      <c r="Q136" s="51"/>
      <c r="R136" s="51"/>
      <c r="S136" s="51"/>
      <c r="T136" s="65"/>
      <c r="U136" s="65"/>
      <c r="V136" s="65"/>
      <c r="W136" s="51"/>
      <c r="X136" s="66"/>
    </row>
    <row r="137" hidden="1" ht="27.75" customHeight="1" s="32" customFormat="1">
      <c r="A137" s="37"/>
      <c r="B137" s="31" t="s">
        <v>253</v>
      </c>
      <c r="C137" s="59" t="s">
        <v>292</v>
      </c>
      <c r="D137" s="59" t="s">
        <v>30</v>
      </c>
      <c r="E137" s="57">
        <v>45447</v>
      </c>
      <c r="F137" s="38" t="str">
        <f>IF(C137&lt;&gt;"",VLOOKUP($C137,Carpetas!$C$5:$L$2060,2,FALSE),"")</f>
        <v>ECB025</v>
      </c>
      <c r="G137" s="38" t="s">
        <v>43</v>
      </c>
      <c r="H137" s="44">
        <f>IF(C137&lt;&gt;"",VLOOKUP($C137,Carpetas!$C$5:$L$2060,9,FALSE),"")</f>
        <v>1493361</v>
      </c>
      <c r="I137" s="51" t="str">
        <f>IF(C137&lt;&gt;"",VLOOKUP($C137,Carpetas!$C$5:$L$2060,5,FALSE),"")</f>
        <v>Andino</v>
      </c>
      <c r="J137" s="51"/>
      <c r="K137" s="50">
        <v>45467</v>
      </c>
      <c r="L137" s="39" t="str">
        <f>VLOOKUP($C137,Carpetas!$C$5:$L$2060,4,FALSE)</f>
        <v>Fray Bentos</v>
      </c>
      <c r="M137" s="55">
        <f t="shared" si="10"/>
        <v>45468</v>
      </c>
      <c r="N137" s="53">
        <f t="shared" si="11"/>
        <v>21</v>
      </c>
      <c r="O137" s="51">
        <v>2160</v>
      </c>
      <c r="P137" s="51"/>
      <c r="Q137" s="51">
        <v>2160</v>
      </c>
      <c r="R137" s="51"/>
      <c r="S137" s="51"/>
      <c r="T137" s="65"/>
      <c r="U137" s="65"/>
      <c r="V137" s="65" t="s">
        <v>55</v>
      </c>
      <c r="W137" s="51" t="s">
        <v>293</v>
      </c>
      <c r="X137" s="66" t="s">
        <v>294</v>
      </c>
    </row>
    <row r="138" hidden="1" ht="27.75" customHeight="1" s="32" customFormat="1">
      <c r="A138" s="37"/>
      <c r="B138" s="31" t="s">
        <v>288</v>
      </c>
      <c r="C138" s="59" t="s">
        <v>295</v>
      </c>
      <c r="D138" s="59" t="s">
        <v>30</v>
      </c>
      <c r="E138" s="57">
        <v>45447</v>
      </c>
      <c r="F138" s="38" t="str">
        <f>IF(C138&lt;&gt;"",VLOOKUP($C138,Carpetas!$C$5:$L$2060,2,FALSE),"")</f>
        <v>ECB026</v>
      </c>
      <c r="G138" s="38" t="s">
        <v>43</v>
      </c>
      <c r="H138" s="44">
        <f>IF(C138&lt;&gt;"",VLOOKUP($C138,Carpetas!$C$5:$L$2060,9,FALSE),"")</f>
        <v>1493359</v>
      </c>
      <c r="I138" s="51" t="str">
        <f>IF(C138&lt;&gt;"",VLOOKUP($C138,Carpetas!$C$5:$L$2060,5,FALSE),"")</f>
        <v>Andino</v>
      </c>
      <c r="J138" s="51"/>
      <c r="K138" s="50">
        <v>45467</v>
      </c>
      <c r="L138" s="39" t="str">
        <f>VLOOKUP($C138,Carpetas!$C$5:$L$2060,4,FALSE)</f>
        <v>Fray Bentos</v>
      </c>
      <c r="M138" s="55">
        <f t="shared" si="10"/>
        <v>45468</v>
      </c>
      <c r="N138" s="53">
        <f t="shared" si="11"/>
        <v>21</v>
      </c>
      <c r="O138" s="51">
        <v>2160</v>
      </c>
      <c r="P138" s="51"/>
      <c r="Q138" s="51"/>
      <c r="R138" s="51"/>
      <c r="S138" s="51"/>
      <c r="T138" s="65"/>
      <c r="U138" s="65"/>
      <c r="V138" s="65" t="s">
        <v>55</v>
      </c>
      <c r="W138" s="51" t="s">
        <v>296</v>
      </c>
      <c r="X138" s="66"/>
    </row>
    <row r="139" hidden="1" ht="27.75" customHeight="1" s="32" customFormat="1">
      <c r="A139" s="37"/>
      <c r="B139" s="31" t="s">
        <v>253</v>
      </c>
      <c r="C139" s="59" t="s">
        <v>297</v>
      </c>
      <c r="D139" s="59" t="s">
        <v>48</v>
      </c>
      <c r="E139" s="57">
        <v>45449</v>
      </c>
      <c r="F139" s="38" t="str">
        <f>IF(C139&lt;&gt;"",VLOOKUP($C139,Carpetas!$C$5:$L$2060,2,FALSE),"")</f>
        <v>PEP004</v>
      </c>
      <c r="G139" s="38" t="s">
        <v>216</v>
      </c>
      <c r="H139" s="44">
        <f>IF(C139&lt;&gt;"",VLOOKUP($C139,Carpetas!$C$5:$L$2060,9,FALSE),"")</f>
        <v>0</v>
      </c>
      <c r="I139" s="51" t="str">
        <f>IF(C139&lt;&gt;"",VLOOKUP($C139,Carpetas!$C$5:$L$2060,5,FALSE),"")</f>
        <v>Andino</v>
      </c>
      <c r="J139" s="51"/>
      <c r="K139" s="50">
        <v>45467</v>
      </c>
      <c r="L139" s="39" t="str">
        <f>VLOOKUP($C139,Carpetas!$C$5:$L$2060,4,FALSE)</f>
        <v>Fray Bentos</v>
      </c>
      <c r="M139" s="55">
        <f t="shared" si="10"/>
        <v>45468</v>
      </c>
      <c r="N139" s="53">
        <f t="shared" si="11"/>
        <v>19</v>
      </c>
      <c r="O139" s="51">
        <v>1920</v>
      </c>
      <c r="P139" s="51"/>
      <c r="Q139" s="51">
        <v>1920</v>
      </c>
      <c r="R139" s="51"/>
      <c r="S139" s="51"/>
      <c r="T139" s="65"/>
      <c r="U139" s="65"/>
      <c r="V139" s="65" t="s">
        <v>93</v>
      </c>
      <c r="W139" s="51" t="s">
        <v>233</v>
      </c>
      <c r="X139" s="66" t="s">
        <v>298</v>
      </c>
    </row>
    <row r="140" hidden="1" ht="27.75" customHeight="1" s="32" customFormat="1">
      <c r="A140" s="37"/>
      <c r="B140" s="31" t="s">
        <v>288</v>
      </c>
      <c r="C140" s="59" t="s">
        <v>299</v>
      </c>
      <c r="D140" s="59" t="s">
        <v>230</v>
      </c>
      <c r="E140" s="57">
        <v>45453</v>
      </c>
      <c r="F140" s="38" t="str">
        <f>IF(C140&lt;&gt;"",VLOOKUP($C140,Carpetas!$C$5:$L$2060,2,FALSE),"")</f>
        <v>CLPA015</v>
      </c>
      <c r="G140" s="38" t="s">
        <v>35</v>
      </c>
      <c r="H140" s="44">
        <f>IF(C140&lt;&gt;"",VLOOKUP($C140,Carpetas!$C$5:$L$2060,9,FALSE),"")</f>
        <v>0</v>
      </c>
      <c r="I140" s="51" t="str">
        <f>IF(C140&lt;&gt;"",VLOOKUP($C140,Carpetas!$C$5:$L$2060,5,FALSE),"")</f>
        <v>Falero</v>
      </c>
      <c r="J140" s="51"/>
      <c r="K140" s="50">
        <v>45475</v>
      </c>
      <c r="L140" s="39" t="str">
        <f>VLOOKUP($C140,Carpetas!$C$5:$L$2060,4,FALSE)</f>
        <v>Fray Bentos</v>
      </c>
      <c r="M140" s="55">
        <f t="shared" si="10"/>
        <v>45476</v>
      </c>
      <c r="N140" s="53">
        <f t="shared" si="11"/>
        <v>23</v>
      </c>
      <c r="O140" s="51">
        <v>980</v>
      </c>
      <c r="P140" s="51"/>
      <c r="Q140" s="51"/>
      <c r="R140" s="51"/>
      <c r="S140" s="51"/>
      <c r="T140" s="65"/>
      <c r="U140" s="65"/>
      <c r="V140" s="65"/>
      <c r="W140" s="51"/>
      <c r="X140" s="66"/>
    </row>
    <row r="141" hidden="1" ht="27.75" customHeight="1" s="32" customFormat="1">
      <c r="A141" s="37"/>
      <c r="B141" s="31" t="s">
        <v>288</v>
      </c>
      <c r="C141" s="59" t="s">
        <v>300</v>
      </c>
      <c r="D141" s="57" t="s">
        <v>30</v>
      </c>
      <c r="E141" s="57">
        <v>45454</v>
      </c>
      <c r="F141" s="38" t="str">
        <f>IF(C141&lt;&gt;"",VLOOKUP($C141,Carpetas!$C$5:$L$2060,2,FALSE),"")</f>
        <v>ECB027</v>
      </c>
      <c r="G141" s="38" t="s">
        <v>43</v>
      </c>
      <c r="H141" s="44">
        <f>IF(C141&lt;&gt;"",VLOOKUP($C141,Carpetas!$C$5:$L$2060,9,FALSE),"")</f>
        <v>1493867</v>
      </c>
      <c r="I141" s="51" t="str">
        <f>IF(C141&lt;&gt;"",VLOOKUP($C141,Carpetas!$C$5:$L$2060,5,FALSE),"")</f>
        <v>Andino</v>
      </c>
      <c r="J141" s="51"/>
      <c r="K141" s="50">
        <v>45476</v>
      </c>
      <c r="L141" s="39" t="str">
        <f>VLOOKUP($C141,Carpetas!$C$5:$L$2060,4,FALSE)</f>
        <v>Fray Bentos</v>
      </c>
      <c r="M141" s="55">
        <f t="shared" si="10"/>
        <v>45477</v>
      </c>
      <c r="N141" s="53">
        <f t="shared" si="11"/>
        <v>23</v>
      </c>
      <c r="O141" s="51">
        <v>2160</v>
      </c>
      <c r="P141" s="51"/>
      <c r="Q141" s="51" t="s">
        <v>301</v>
      </c>
      <c r="R141" s="51"/>
      <c r="S141" s="51"/>
      <c r="T141" s="65"/>
      <c r="U141" s="65"/>
      <c r="V141" s="65" t="s">
        <v>302</v>
      </c>
      <c r="W141" s="51" t="s">
        <v>303</v>
      </c>
      <c r="X141" s="66"/>
    </row>
    <row r="142" hidden="1" ht="15.75" customHeight="1" s="32" customFormat="1">
      <c r="A142" s="37"/>
      <c r="B142" s="31" t="s">
        <v>253</v>
      </c>
      <c r="C142" s="59" t="s">
        <v>304</v>
      </c>
      <c r="D142" s="57" t="s">
        <v>30</v>
      </c>
      <c r="E142" s="57">
        <v>45454</v>
      </c>
      <c r="F142" s="38" t="str">
        <f>IF(C142&lt;&gt;"",VLOOKUP($C142,Carpetas!$C$5:$L$2060,2,FALSE),"")</f>
        <v>ECE026</v>
      </c>
      <c r="G142" s="38" t="s">
        <v>43</v>
      </c>
      <c r="H142" s="44">
        <f>IF(C142&lt;&gt;"",VLOOKUP($C142,Carpetas!$C$5:$L$2060,9,FALSE),"")</f>
        <v>1493869</v>
      </c>
      <c r="I142" s="51" t="str">
        <f>IF(C142&lt;&gt;"",VLOOKUP($C142,Carpetas!$C$5:$L$2060,5,FALSE),"")</f>
        <v>Andino</v>
      </c>
      <c r="J142" s="51"/>
      <c r="K142" s="50">
        <v>45476</v>
      </c>
      <c r="L142" s="39" t="str">
        <f>VLOOKUP($C142,Carpetas!$C$5:$L$2060,4,FALSE)</f>
        <v>Fray Bentos</v>
      </c>
      <c r="M142" s="55">
        <f t="shared" si="10"/>
        <v>45477</v>
      </c>
      <c r="N142" s="53">
        <f t="shared" si="11"/>
        <v>23</v>
      </c>
      <c r="O142" s="51">
        <v>1128</v>
      </c>
      <c r="P142" s="51"/>
      <c r="Q142" s="51">
        <v>1128</v>
      </c>
      <c r="R142" s="51"/>
      <c r="S142" s="51"/>
      <c r="T142" s="65"/>
      <c r="U142" s="65"/>
      <c r="V142" s="65" t="s">
        <v>60</v>
      </c>
      <c r="W142" s="51" t="s">
        <v>64</v>
      </c>
      <c r="X142" s="66" t="s">
        <v>305</v>
      </c>
    </row>
    <row r="143" hidden="1" ht="27.75" customHeight="1" s="32" customFormat="1">
      <c r="A143" s="37"/>
      <c r="B143" s="31" t="s">
        <v>253</v>
      </c>
      <c r="C143" s="59" t="s">
        <v>306</v>
      </c>
      <c r="D143" s="57" t="s">
        <v>30</v>
      </c>
      <c r="E143" s="57">
        <v>45454</v>
      </c>
      <c r="F143" s="38" t="str">
        <f>IF(C143&lt;&gt;"",VLOOKUP($C143,Carpetas!$C$5:$L$2060,2,FALSE),"")</f>
        <v>ECB028</v>
      </c>
      <c r="G143" s="38" t="s">
        <v>43</v>
      </c>
      <c r="H143" s="44">
        <f>IF(C143&lt;&gt;"",VLOOKUP($C143,Carpetas!$C$5:$L$2060,9,FALSE),"")</f>
        <v>1493868</v>
      </c>
      <c r="I143" s="51" t="str">
        <f>IF(C143&lt;&gt;"",VLOOKUP($C143,Carpetas!$C$5:$L$2060,5,FALSE),"")</f>
        <v>Andino</v>
      </c>
      <c r="J143" s="51"/>
      <c r="K143" s="50">
        <v>45478</v>
      </c>
      <c r="L143" s="39" t="str">
        <f>VLOOKUP($C143,Carpetas!$C$5:$L$2060,4,FALSE)</f>
        <v>Fray Bentos</v>
      </c>
      <c r="M143" s="55">
        <f t="shared" si="10"/>
        <v>45479</v>
      </c>
      <c r="N143" s="53">
        <f t="shared" si="11"/>
        <v>25</v>
      </c>
      <c r="O143" s="51">
        <v>2160</v>
      </c>
      <c r="P143" s="51"/>
      <c r="Q143" s="51">
        <v>2160</v>
      </c>
      <c r="R143" s="51"/>
      <c r="S143" s="51"/>
      <c r="T143" s="65"/>
      <c r="U143" s="65"/>
      <c r="V143" s="65"/>
      <c r="W143" s="51"/>
      <c r="X143" s="66" t="s">
        <v>307</v>
      </c>
    </row>
    <row r="144" hidden="1" ht="27.75" customHeight="1" s="32" customFormat="1">
      <c r="A144" s="37"/>
      <c r="B144" s="31" t="s">
        <v>253</v>
      </c>
      <c r="C144" s="59" t="s">
        <v>308</v>
      </c>
      <c r="D144" s="57" t="s">
        <v>42</v>
      </c>
      <c r="E144" s="57">
        <v>45461</v>
      </c>
      <c r="F144" s="38" t="str">
        <f>IF(C144&lt;&gt;"",VLOOKUP($C144,Carpetas!$C$5:$L$2060,2,FALSE),"")</f>
        <v>ECA013</v>
      </c>
      <c r="G144" s="38" t="s">
        <v>43</v>
      </c>
      <c r="H144" s="44">
        <f>IF(C144&lt;&gt;"",VLOOKUP($C144,Carpetas!$C$5:$L$2060,9,FALSE),"")</f>
        <v>1493404</v>
      </c>
      <c r="I144" s="51" t="str">
        <f>IF(C144&lt;&gt;"",VLOOKUP($C144,Carpetas!$C$5:$L$2060,5,FALSE),"")</f>
        <v>Andino</v>
      </c>
      <c r="J144" s="51"/>
      <c r="K144" s="50">
        <v>45478</v>
      </c>
      <c r="L144" s="39" t="str">
        <f>VLOOKUP($C144,Carpetas!$C$5:$L$2060,4,FALSE)</f>
        <v>Fray Bentos</v>
      </c>
      <c r="M144" s="55">
        <f t="shared" si="10"/>
        <v>45479</v>
      </c>
      <c r="N144" s="53">
        <f t="shared" si="11"/>
        <v>18</v>
      </c>
      <c r="O144" s="51">
        <v>1680</v>
      </c>
      <c r="P144" s="51"/>
      <c r="Q144" s="51"/>
      <c r="R144" s="51"/>
      <c r="S144" s="51"/>
      <c r="T144" s="65"/>
      <c r="U144" s="65"/>
      <c r="V144" s="65"/>
      <c r="W144" s="51"/>
      <c r="X144" s="66"/>
    </row>
    <row r="145" hidden="1" ht="27.75" customHeight="1" s="32" customFormat="1">
      <c r="A145" s="37"/>
      <c r="B145" s="31" t="s">
        <v>288</v>
      </c>
      <c r="C145" s="59" t="s">
        <v>309</v>
      </c>
      <c r="D145" s="57" t="s">
        <v>310</v>
      </c>
      <c r="E145" s="57">
        <v>45479</v>
      </c>
      <c r="F145" s="38" t="str">
        <f>IF(C145&lt;&gt;"",VLOOKUP($C145,Carpetas!$C$5:$L$2060,2,FALSE),"")</f>
        <v>PEA002</v>
      </c>
      <c r="G145" s="38" t="s">
        <v>216</v>
      </c>
      <c r="H145" s="44">
        <f>IF(C145&lt;&gt;"",VLOOKUP($C145,Carpetas!$C$5:$L$2060,9,FALSE),"")</f>
        <v>0</v>
      </c>
      <c r="I145" s="51" t="str">
        <f>IF(C145&lt;&gt;"",VLOOKUP($C145,Carpetas!$C$5:$L$2060,5,FALSE),"")</f>
        <v>Ciatran</v>
      </c>
      <c r="J145" s="51"/>
      <c r="K145" s="50">
        <v>45481</v>
      </c>
      <c r="L145" s="39" t="str">
        <f>VLOOKUP($C145,Carpetas!$C$5:$L$2060,4,FALSE)</f>
        <v>Carrasco</v>
      </c>
      <c r="M145" s="55">
        <f t="shared" si="10"/>
        <v>45482</v>
      </c>
      <c r="N145" s="53">
        <f t="shared" si="11"/>
        <v>3</v>
      </c>
      <c r="O145" s="51">
        <v>1008</v>
      </c>
      <c r="P145" s="51"/>
      <c r="Q145" s="51"/>
      <c r="R145" s="51"/>
      <c r="S145" s="51"/>
      <c r="T145" s="65"/>
      <c r="U145" s="65"/>
      <c r="V145" s="65"/>
      <c r="W145" s="51"/>
      <c r="X145" s="66"/>
    </row>
    <row r="146" hidden="1" ht="27.75" customHeight="1" s="32" customFormat="1">
      <c r="A146" s="37"/>
      <c r="B146" s="31" t="s">
        <v>253</v>
      </c>
      <c r="C146" s="59" t="s">
        <v>311</v>
      </c>
      <c r="D146" s="57" t="s">
        <v>48</v>
      </c>
      <c r="E146" s="57">
        <v>45464</v>
      </c>
      <c r="F146" s="38" t="str">
        <f>IF(C146&lt;&gt;"",VLOOKUP($C146,Carpetas!$C$5:$L$2060,2,FALSE),"")</f>
        <v>PEP005</v>
      </c>
      <c r="G146" s="38" t="s">
        <v>216</v>
      </c>
      <c r="H146" s="44">
        <f>IF(C146&lt;&gt;"",VLOOKUP($C146,Carpetas!$C$5:$L$2060,9,FALSE),"")</f>
        <v>0</v>
      </c>
      <c r="I146" s="51" t="str">
        <f>IF(C146&lt;&gt;"",VLOOKUP($C146,Carpetas!$C$5:$L$2060,5,FALSE),"")</f>
        <v>Andino</v>
      </c>
      <c r="J146" s="51"/>
      <c r="K146" s="50">
        <v>45481</v>
      </c>
      <c r="L146" s="39" t="str">
        <f>VLOOKUP($C146,Carpetas!$C$5:$L$2060,4,FALSE)</f>
        <v>Fray Bentos</v>
      </c>
      <c r="M146" s="55">
        <f t="shared" si="10"/>
        <v>45482</v>
      </c>
      <c r="N146" s="53">
        <f t="shared" si="11"/>
        <v>18</v>
      </c>
      <c r="O146" s="51">
        <v>1920</v>
      </c>
      <c r="P146" s="51"/>
      <c r="Q146" s="51">
        <v>1920</v>
      </c>
      <c r="R146" s="51"/>
      <c r="S146" s="51"/>
      <c r="T146" s="65"/>
      <c r="U146" s="65"/>
      <c r="V146" s="65" t="s">
        <v>93</v>
      </c>
      <c r="W146" s="51" t="s">
        <v>163</v>
      </c>
      <c r="X146" s="66" t="s">
        <v>312</v>
      </c>
    </row>
    <row r="147" hidden="1" ht="27.75" customHeight="1" s="32" customFormat="1">
      <c r="A147" s="37"/>
      <c r="B147" s="31" t="s">
        <v>253</v>
      </c>
      <c r="C147" s="59" t="s">
        <v>313</v>
      </c>
      <c r="D147" s="57" t="s">
        <v>30</v>
      </c>
      <c r="E147" s="57">
        <v>45461</v>
      </c>
      <c r="F147" s="38" t="str">
        <f>IF(C147&lt;&gt;"",VLOOKUP($C147,Carpetas!$C$5:$L$2060,2,FALSE),"")</f>
        <v>ECE027</v>
      </c>
      <c r="G147" s="38" t="s">
        <v>43</v>
      </c>
      <c r="H147" s="44">
        <f>IF(C147&lt;&gt;"",VLOOKUP($C147,Carpetas!$C$5:$L$2060,9,FALSE),"")</f>
        <v>1494356</v>
      </c>
      <c r="I147" s="51" t="str">
        <f>IF(C147&lt;&gt;"",VLOOKUP($C147,Carpetas!$C$5:$L$2060,5,FALSE),"")</f>
        <v>Andino</v>
      </c>
      <c r="J147" s="51"/>
      <c r="K147" s="50">
        <v>45481</v>
      </c>
      <c r="L147" s="39" t="str">
        <f>VLOOKUP($C147,Carpetas!$C$5:$L$2060,4,FALSE)</f>
        <v>Fray Bentos</v>
      </c>
      <c r="M147" s="55">
        <f t="shared" si="10"/>
        <v>45482</v>
      </c>
      <c r="N147" s="53">
        <f t="shared" si="11"/>
        <v>21</v>
      </c>
      <c r="O147" s="51">
        <v>1080</v>
      </c>
      <c r="P147" s="51"/>
      <c r="Q147" s="51">
        <v>1080</v>
      </c>
      <c r="R147" s="51"/>
      <c r="S147" s="51"/>
      <c r="T147" s="65"/>
      <c r="U147" s="65"/>
      <c r="V147" s="65" t="s">
        <v>60</v>
      </c>
      <c r="W147" s="51"/>
      <c r="X147" s="66" t="s">
        <v>314</v>
      </c>
    </row>
    <row r="148" hidden="1" ht="27.75" customHeight="1" s="32" customFormat="1">
      <c r="A148" s="37"/>
      <c r="B148" s="31" t="s">
        <v>288</v>
      </c>
      <c r="C148" s="59" t="s">
        <v>315</v>
      </c>
      <c r="D148" s="57" t="s">
        <v>37</v>
      </c>
      <c r="E148" s="57">
        <v>45477</v>
      </c>
      <c r="F148" s="38" t="str">
        <f>IF(C148&lt;&gt;"",VLOOKUP($C148,Carpetas!$C$5:$L$2060,2,FALSE),"")</f>
        <v>CLK005</v>
      </c>
      <c r="G148" s="38" t="s">
        <v>35</v>
      </c>
      <c r="H148" s="44">
        <f>IF(C148&lt;&gt;"",VLOOKUP($C148,Carpetas!$C$5:$L$2060,9,FALSE),"")</f>
        <v>0</v>
      </c>
      <c r="I148" s="51" t="str">
        <f>IF(C148&lt;&gt;"",VLOOKUP($C148,Carpetas!$C$5:$L$2060,5,FALSE),"")</f>
        <v>Sarla y Ramón</v>
      </c>
      <c r="J148" s="51"/>
      <c r="K148" s="50">
        <v>45481</v>
      </c>
      <c r="L148" s="39" t="str">
        <f>VLOOKUP($C148,Carpetas!$C$5:$L$2060,4,FALSE)</f>
        <v>Fray Bentos</v>
      </c>
      <c r="M148" s="55">
        <f t="shared" si="10"/>
        <v>45482</v>
      </c>
      <c r="N148" s="53">
        <f t="shared" si="11"/>
        <v>5</v>
      </c>
      <c r="O148" s="51">
        <v>2392</v>
      </c>
      <c r="P148" s="51"/>
      <c r="Q148" s="51"/>
      <c r="R148" s="51"/>
      <c r="S148" s="51"/>
      <c r="T148" s="65"/>
      <c r="U148" s="65"/>
      <c r="V148" s="65"/>
      <c r="W148" s="51"/>
      <c r="X148" s="66"/>
    </row>
    <row r="149" hidden="1" ht="15.75" customHeight="1" s="32" customFormat="1">
      <c r="A149" s="37"/>
      <c r="B149" s="31" t="s">
        <v>253</v>
      </c>
      <c r="C149" s="59" t="s">
        <v>316</v>
      </c>
      <c r="D149" s="57" t="s">
        <v>30</v>
      </c>
      <c r="E149" s="57">
        <v>45461</v>
      </c>
      <c r="F149" s="38" t="str">
        <f>IF(C149&lt;&gt;"",VLOOKUP($C149,Carpetas!$C$5:$L$2060,2,FALSE),"")</f>
        <v>ECE028</v>
      </c>
      <c r="G149" s="38" t="s">
        <v>43</v>
      </c>
      <c r="H149" s="44">
        <f>IF(C149&lt;&gt;"",VLOOKUP($C149,Carpetas!$C$5:$L$2060,9,FALSE),"")</f>
        <v>1494353</v>
      </c>
      <c r="I149" s="51" t="str">
        <f>IF(C149&lt;&gt;"",VLOOKUP($C149,Carpetas!$C$5:$L$2060,5,FALSE),"")</f>
        <v>Andino</v>
      </c>
      <c r="J149" s="51"/>
      <c r="K149" s="50">
        <v>45481</v>
      </c>
      <c r="L149" s="39" t="str">
        <f>VLOOKUP($C149,Carpetas!$C$5:$L$2060,4,FALSE)</f>
        <v>Fray Bentos</v>
      </c>
      <c r="M149" s="55">
        <f t="shared" si="10"/>
        <v>45482</v>
      </c>
      <c r="N149" s="53">
        <f t="shared" si="11"/>
        <v>21</v>
      </c>
      <c r="O149" s="51">
        <v>1128</v>
      </c>
      <c r="P149" s="51"/>
      <c r="Q149" s="51">
        <v>1128</v>
      </c>
      <c r="R149" s="51"/>
      <c r="S149" s="51"/>
      <c r="T149" s="65"/>
      <c r="U149" s="65"/>
      <c r="V149" s="65" t="s">
        <v>317</v>
      </c>
      <c r="W149" s="51" t="s">
        <v>318</v>
      </c>
      <c r="X149" s="66" t="s">
        <v>319</v>
      </c>
    </row>
    <row r="150" hidden="1" ht="27.75" customHeight="1" s="32" customFormat="1">
      <c r="A150" s="37"/>
      <c r="B150" s="31" t="s">
        <v>288</v>
      </c>
      <c r="C150" s="59" t="s">
        <v>320</v>
      </c>
      <c r="D150" s="57" t="s">
        <v>37</v>
      </c>
      <c r="E150" s="57">
        <v>45477</v>
      </c>
      <c r="F150" s="38" t="str">
        <f>IF(C150&lt;&gt;"",VLOOKUP($C150,Carpetas!$C$5:$L$2060,2,FALSE),"")</f>
        <v>CLK004</v>
      </c>
      <c r="G150" s="38" t="s">
        <v>35</v>
      </c>
      <c r="H150" s="44">
        <f>IF(C150&lt;&gt;"",VLOOKUP($C150,Carpetas!$C$5:$L$2060,9,FALSE),"")</f>
        <v>0</v>
      </c>
      <c r="I150" s="51" t="str">
        <f>IF(C150&lt;&gt;"",VLOOKUP($C150,Carpetas!$C$5:$L$2060,5,FALSE),"")</f>
        <v>Linea Sudamericana</v>
      </c>
      <c r="J150" s="51"/>
      <c r="K150" s="50">
        <v>45482</v>
      </c>
      <c r="L150" s="39" t="str">
        <f>VLOOKUP($C150,Carpetas!$C$5:$L$2060,4,FALSE)</f>
        <v>Fray Bentos</v>
      </c>
      <c r="M150" s="55">
        <f t="shared" si="10"/>
        <v>45483</v>
      </c>
      <c r="N150" s="53">
        <f t="shared" si="11"/>
        <v>6</v>
      </c>
      <c r="O150" s="51">
        <v>2304</v>
      </c>
      <c r="P150" s="51"/>
      <c r="Q150" s="51"/>
      <c r="R150" s="51"/>
      <c r="S150" s="51"/>
      <c r="T150" s="65"/>
      <c r="U150" s="65"/>
      <c r="V150" s="65"/>
      <c r="W150" s="51"/>
      <c r="X150" s="66"/>
    </row>
    <row r="151" hidden="1" ht="27.75" customHeight="1" s="32" customFormat="1">
      <c r="A151" s="37"/>
      <c r="B151" s="31" t="s">
        <v>288</v>
      </c>
      <c r="C151" s="59" t="s">
        <v>321</v>
      </c>
      <c r="D151" s="57" t="s">
        <v>30</v>
      </c>
      <c r="E151" s="57">
        <v>45461</v>
      </c>
      <c r="F151" s="38" t="str">
        <f>IF(C151&lt;&gt;"",VLOOKUP($C151,Carpetas!$C$5:$L$2060,2,FALSE),"")</f>
        <v>ECB029</v>
      </c>
      <c r="G151" s="38" t="s">
        <v>43</v>
      </c>
      <c r="H151" s="44">
        <f>IF(C151&lt;&gt;"",VLOOKUP($C151,Carpetas!$C$5:$L$2060,9,FALSE),"")</f>
        <v>1495355</v>
      </c>
      <c r="I151" s="51" t="str">
        <f>IF(C151&lt;&gt;"",VLOOKUP($C151,Carpetas!$C$5:$L$2060,5,FALSE),"")</f>
        <v>Andino</v>
      </c>
      <c r="J151" s="51"/>
      <c r="K151" s="50">
        <v>45483</v>
      </c>
      <c r="L151" s="39" t="str">
        <f>VLOOKUP($C151,Carpetas!$C$5:$L$2060,4,FALSE)</f>
        <v>Fray Bentos</v>
      </c>
      <c r="M151" s="55">
        <v>45485</v>
      </c>
      <c r="N151" s="53">
        <f t="shared" si="11"/>
        <v>24</v>
      </c>
      <c r="O151" s="51">
        <v>1080</v>
      </c>
      <c r="P151" s="51"/>
      <c r="Q151" s="51"/>
      <c r="R151" s="51"/>
      <c r="S151" s="51"/>
      <c r="T151" s="65"/>
      <c r="U151" s="65"/>
      <c r="V151" s="65"/>
      <c r="W151" s="51"/>
      <c r="X151" s="66"/>
    </row>
    <row r="152" hidden="1" ht="27.75" customHeight="1" s="32" customFormat="1">
      <c r="A152" s="37"/>
      <c r="B152" s="31" t="s">
        <v>288</v>
      </c>
      <c r="C152" s="59" t="s">
        <v>322</v>
      </c>
      <c r="D152" s="57" t="s">
        <v>30</v>
      </c>
      <c r="E152" s="57">
        <v>45461</v>
      </c>
      <c r="F152" s="38" t="str">
        <f>IF(C152&lt;&gt;"",VLOOKUP($C152,Carpetas!$C$5:$L$2060,2,FALSE),"")</f>
        <v>ECB030</v>
      </c>
      <c r="G152" s="38" t="s">
        <v>43</v>
      </c>
      <c r="H152" s="44">
        <f>IF(C152&lt;&gt;"",VLOOKUP($C152,Carpetas!$C$5:$L$2060,9,FALSE),"")</f>
        <v>1495354</v>
      </c>
      <c r="I152" s="51" t="str">
        <f>IF(C152&lt;&gt;"",VLOOKUP($C152,Carpetas!$C$5:$L$2060,5,FALSE),"")</f>
        <v>Andino</v>
      </c>
      <c r="J152" s="51"/>
      <c r="K152" s="50">
        <v>45483</v>
      </c>
      <c r="L152" s="39" t="str">
        <f>VLOOKUP($C152,Carpetas!$C$5:$L$2060,4,FALSE)</f>
        <v>Fray Bentos</v>
      </c>
      <c r="M152" s="55">
        <v>45485</v>
      </c>
      <c r="N152" s="53">
        <f t="shared" si="11"/>
        <v>24</v>
      </c>
      <c r="O152" s="51">
        <v>2160</v>
      </c>
      <c r="P152" s="51"/>
      <c r="Q152" s="51"/>
      <c r="R152" s="51"/>
      <c r="S152" s="51"/>
      <c r="T152" s="65"/>
      <c r="U152" s="65"/>
      <c r="V152" s="65"/>
      <c r="W152" s="51"/>
      <c r="X152" s="66"/>
    </row>
    <row r="153" hidden="1" ht="27.75" customHeight="1" s="32" customFormat="1">
      <c r="A153" s="37"/>
      <c r="B153" s="31" t="s">
        <v>288</v>
      </c>
      <c r="C153" s="59" t="s">
        <v>313</v>
      </c>
      <c r="D153" s="57" t="s">
        <v>30</v>
      </c>
      <c r="E153" s="57">
        <v>45461</v>
      </c>
      <c r="F153" s="38" t="str">
        <f>IF(C153&lt;&gt;"",VLOOKUP($C153,Carpetas!$C$5:$L$2060,2,FALSE),"")</f>
        <v>ECE027</v>
      </c>
      <c r="G153" s="38" t="s">
        <v>43</v>
      </c>
      <c r="H153" s="44">
        <f>IF(C153&lt;&gt;"",VLOOKUP($C153,Carpetas!$C$5:$L$2060,9,FALSE),"")</f>
        <v>1494356</v>
      </c>
      <c r="I153" s="51" t="str">
        <f>IF(C153&lt;&gt;"",VLOOKUP($C153,Carpetas!$C$5:$L$2060,5,FALSE),"")</f>
        <v>Andino</v>
      </c>
      <c r="J153" s="51"/>
      <c r="K153" s="50">
        <v>45483</v>
      </c>
      <c r="L153" s="39" t="str">
        <f>VLOOKUP($C153,Carpetas!$C$5:$L$2060,4,FALSE)</f>
        <v>Fray Bentos</v>
      </c>
      <c r="M153" s="55">
        <v>45485</v>
      </c>
      <c r="N153" s="53">
        <f t="shared" si="11"/>
        <v>24</v>
      </c>
      <c r="O153" s="51">
        <v>1080</v>
      </c>
      <c r="P153" s="51"/>
      <c r="Q153" s="51"/>
      <c r="R153" s="51"/>
      <c r="S153" s="51"/>
      <c r="T153" s="65"/>
      <c r="U153" s="65"/>
      <c r="V153" s="65"/>
      <c r="W153" s="51"/>
      <c r="X153" s="66"/>
    </row>
    <row r="154" hidden="1" ht="27.75" customHeight="1" s="32" customFormat="1">
      <c r="A154" s="37"/>
      <c r="B154" s="31" t="s">
        <v>288</v>
      </c>
      <c r="C154" s="59" t="s">
        <v>323</v>
      </c>
      <c r="D154" s="57" t="s">
        <v>310</v>
      </c>
      <c r="E154" s="57">
        <v>45483</v>
      </c>
      <c r="F154" s="38" t="str">
        <f>IF(C154&lt;&gt;"",VLOOKUP($C154,Carpetas!$C$5:$L$2060,2,FALSE),"")</f>
        <v>PEA003</v>
      </c>
      <c r="G154" s="38" t="s">
        <v>216</v>
      </c>
      <c r="H154" s="44">
        <f>IF(C154&lt;&gt;"",VLOOKUP($C154,Carpetas!$C$5:$L$2060,9,FALSE),"")</f>
        <v>0</v>
      </c>
      <c r="I154" s="51" t="str">
        <f>IF(C154&lt;&gt;"",VLOOKUP($C154,Carpetas!$C$5:$L$2060,5,FALSE),"")</f>
        <v>Ciatran</v>
      </c>
      <c r="J154" s="51"/>
      <c r="K154" s="50">
        <v>45484</v>
      </c>
      <c r="L154" s="39" t="str">
        <f>VLOOKUP($C154,Carpetas!$C$5:$L$2060,4,FALSE)</f>
        <v>Carrasco</v>
      </c>
      <c r="M154" s="55">
        <f>K154+1</f>
        <v>45485</v>
      </c>
      <c r="N154" s="53">
        <f t="shared" si="11"/>
        <v>2</v>
      </c>
      <c r="O154" s="51">
        <v>1008</v>
      </c>
      <c r="P154" s="51"/>
      <c r="Q154" s="51"/>
      <c r="R154" s="51"/>
      <c r="S154" s="51"/>
      <c r="T154" s="65"/>
      <c r="U154" s="65"/>
      <c r="V154" s="65"/>
      <c r="W154" s="51"/>
      <c r="X154" s="66"/>
    </row>
    <row r="155" hidden="1" ht="27.75" customHeight="1" s="32" customFormat="1">
      <c r="A155" s="37"/>
      <c r="B155" s="31" t="s">
        <v>253</v>
      </c>
      <c r="C155" s="59" t="s">
        <v>324</v>
      </c>
      <c r="D155" s="57" t="s">
        <v>30</v>
      </c>
      <c r="E155" s="57">
        <v>45464</v>
      </c>
      <c r="F155" s="38" t="str">
        <f>IF(C155&lt;&gt;"",VLOOKUP($C155,Carpetas!$C$5:$L$2060,2,FALSE),"")</f>
        <v>ECM001</v>
      </c>
      <c r="G155" s="38" t="s">
        <v>43</v>
      </c>
      <c r="H155" s="44">
        <f>IF(C155&lt;&gt;"",VLOOKUP($C155,Carpetas!$C$5:$L$2060,9,FALSE),"")</f>
        <v>0</v>
      </c>
      <c r="I155" s="51" t="str">
        <f>IF(C155&lt;&gt;"",VLOOKUP($C155,Carpetas!$C$5:$L$2060,5,FALSE),"")</f>
        <v>CEVA</v>
      </c>
      <c r="J155" s="51"/>
      <c r="K155" s="50">
        <v>45486</v>
      </c>
      <c r="L155" s="39" t="str">
        <f>VLOOKUP($C155,Carpetas!$C$5:$L$2060,4,FALSE)</f>
        <v>Fray Bentos</v>
      </c>
      <c r="M155" s="55">
        <f>K155+1</f>
        <v>45487</v>
      </c>
      <c r="N155" s="53">
        <f t="shared" si="11"/>
        <v>23</v>
      </c>
      <c r="O155" s="51">
        <v>1080</v>
      </c>
      <c r="P155" s="51"/>
      <c r="Q155" s="51">
        <v>1080</v>
      </c>
      <c r="R155" s="51"/>
      <c r="S155" s="51"/>
      <c r="T155" s="65"/>
      <c r="U155" s="65"/>
      <c r="V155" s="65" t="s">
        <v>55</v>
      </c>
      <c r="W155" s="51" t="s">
        <v>325</v>
      </c>
      <c r="X155" s="66" t="s">
        <v>326</v>
      </c>
    </row>
    <row r="156" hidden="1" ht="27.75" customHeight="1" s="32" customFormat="1">
      <c r="A156" s="37"/>
      <c r="B156" s="31" t="s">
        <v>253</v>
      </c>
      <c r="C156" s="59" t="s">
        <v>321</v>
      </c>
      <c r="D156" s="57" t="s">
        <v>30</v>
      </c>
      <c r="E156" s="57">
        <v>45461</v>
      </c>
      <c r="F156" s="38" t="str">
        <f>IF(C156&lt;&gt;"",VLOOKUP($C156,Carpetas!$C$5:$L$2060,2,FALSE),"")</f>
        <v>ECB029</v>
      </c>
      <c r="G156" s="38" t="s">
        <v>43</v>
      </c>
      <c r="H156" s="44">
        <f>IF(C156&lt;&gt;"",VLOOKUP($C156,Carpetas!$C$5:$L$2060,9,FALSE),"")</f>
        <v>1495355</v>
      </c>
      <c r="I156" s="51" t="str">
        <f>IF(C156&lt;&gt;"",VLOOKUP($C156,Carpetas!$C$5:$L$2060,5,FALSE),"")</f>
        <v>Andino</v>
      </c>
      <c r="J156" s="51"/>
      <c r="K156" s="50">
        <v>45486</v>
      </c>
      <c r="L156" s="39" t="str">
        <f>VLOOKUP($C156,Carpetas!$C$5:$L$2060,4,FALSE)</f>
        <v>Fray Bentos</v>
      </c>
      <c r="M156" s="55">
        <v>45488</v>
      </c>
      <c r="N156" s="53">
        <f t="shared" si="11"/>
        <v>27</v>
      </c>
      <c r="O156" s="51">
        <v>1080</v>
      </c>
      <c r="P156" s="51"/>
      <c r="Q156" s="51">
        <v>1080</v>
      </c>
      <c r="R156" s="51"/>
      <c r="S156" s="51"/>
      <c r="T156" s="65"/>
      <c r="U156" s="65"/>
      <c r="V156" s="65" t="s">
        <v>55</v>
      </c>
      <c r="W156" s="51"/>
      <c r="X156" s="66" t="s">
        <v>327</v>
      </c>
    </row>
    <row r="157" hidden="1" ht="27.75" customHeight="1" s="32" customFormat="1">
      <c r="A157" s="37"/>
      <c r="B157" s="31" t="s">
        <v>288</v>
      </c>
      <c r="C157" s="59" t="s">
        <v>328</v>
      </c>
      <c r="D157" s="57" t="s">
        <v>310</v>
      </c>
      <c r="E157" s="57">
        <v>45487</v>
      </c>
      <c r="F157" s="38" t="str">
        <f>IF(C157&lt;&gt;"",VLOOKUP($C157,Carpetas!$C$5:$L$2060,2,FALSE),"")</f>
        <v>PEA004</v>
      </c>
      <c r="G157" s="38" t="s">
        <v>216</v>
      </c>
      <c r="H157" s="44">
        <f>IF(C157&lt;&gt;"",VLOOKUP($C157,Carpetas!$C$5:$L$2060,9,FALSE),"")</f>
        <v>0</v>
      </c>
      <c r="I157" s="51" t="str">
        <f>IF(C157&lt;&gt;"",VLOOKUP($C157,Carpetas!$C$5:$L$2060,5,FALSE),"")</f>
        <v>Ciatran</v>
      </c>
      <c r="J157" s="51"/>
      <c r="K157" s="50">
        <v>45488</v>
      </c>
      <c r="L157" s="39" t="str">
        <f>VLOOKUP($C157,Carpetas!$C$5:$L$2060,4,FALSE)</f>
        <v>Carrasco</v>
      </c>
      <c r="M157" s="55">
        <f ref="M157:M167" t="shared" si="12">K157+1</f>
        <v>45489</v>
      </c>
      <c r="N157" s="53">
        <f t="shared" si="11"/>
        <v>2</v>
      </c>
      <c r="O157" s="51">
        <v>1008</v>
      </c>
      <c r="P157" s="51"/>
      <c r="Q157" s="51"/>
      <c r="R157" s="51"/>
      <c r="S157" s="51"/>
      <c r="T157" s="65"/>
      <c r="U157" s="65"/>
      <c r="V157" s="65"/>
      <c r="W157" s="51"/>
      <c r="X157" s="66"/>
    </row>
    <row r="158" hidden="1" ht="27.75" customHeight="1" s="32" customFormat="1">
      <c r="A158" s="37"/>
      <c r="B158" s="31" t="s">
        <v>253</v>
      </c>
      <c r="C158" s="59" t="s">
        <v>324</v>
      </c>
      <c r="D158" s="57" t="s">
        <v>30</v>
      </c>
      <c r="E158" s="57">
        <v>45464</v>
      </c>
      <c r="F158" s="38" t="str">
        <f>IF(C158&lt;&gt;"",VLOOKUP($C158,Carpetas!$C$5:$L$2060,2,FALSE),"")</f>
        <v>ECM001</v>
      </c>
      <c r="G158" s="38" t="s">
        <v>43</v>
      </c>
      <c r="H158" s="44">
        <f>IF(C158&lt;&gt;"",VLOOKUP($C158,Carpetas!$C$5:$L$2060,9,FALSE),"")</f>
        <v>0</v>
      </c>
      <c r="I158" s="51" t="str">
        <f>IF(C158&lt;&gt;"",VLOOKUP($C158,Carpetas!$C$5:$L$2060,5,FALSE),"")</f>
        <v>CEVA</v>
      </c>
      <c r="J158" s="51"/>
      <c r="K158" s="50">
        <v>45488</v>
      </c>
      <c r="L158" s="39" t="str">
        <f>VLOOKUP($C158,Carpetas!$C$5:$L$2060,4,FALSE)</f>
        <v>Fray Bentos</v>
      </c>
      <c r="M158" s="55">
        <f t="shared" si="12"/>
        <v>45489</v>
      </c>
      <c r="N158" s="53">
        <f t="shared" si="11"/>
        <v>25</v>
      </c>
      <c r="O158" s="51">
        <v>1080</v>
      </c>
      <c r="P158" s="51"/>
      <c r="Q158" s="51">
        <v>1098</v>
      </c>
      <c r="R158" s="51"/>
      <c r="S158" s="51"/>
      <c r="T158" s="65"/>
      <c r="U158" s="65"/>
      <c r="V158" s="65" t="s">
        <v>329</v>
      </c>
      <c r="W158" s="51" t="s">
        <v>330</v>
      </c>
      <c r="X158" s="66" t="s">
        <v>331</v>
      </c>
    </row>
    <row r="159" hidden="1" ht="27.75" customHeight="1" s="32" customFormat="1">
      <c r="A159" s="37"/>
      <c r="B159" s="31" t="s">
        <v>253</v>
      </c>
      <c r="C159" s="59" t="s">
        <v>332</v>
      </c>
      <c r="D159" s="57" t="s">
        <v>48</v>
      </c>
      <c r="E159" s="57">
        <v>45464</v>
      </c>
      <c r="F159" s="38" t="str">
        <f>IF(C159&lt;&gt;"",VLOOKUP($C159,Carpetas!$C$5:$L$2060,2,FALSE),"")</f>
        <v>PEP007</v>
      </c>
      <c r="G159" s="38" t="s">
        <v>216</v>
      </c>
      <c r="H159" s="44">
        <f>IF(C159&lt;&gt;"",VLOOKUP($C159,Carpetas!$C$5:$L$2060,9,FALSE),"")</f>
        <v>0</v>
      </c>
      <c r="I159" s="51" t="str">
        <f>IF(C159&lt;&gt;"",VLOOKUP($C159,Carpetas!$C$5:$L$2060,5,FALSE),"")</f>
        <v>Andino</v>
      </c>
      <c r="J159" s="51"/>
      <c r="K159" s="50">
        <v>45488</v>
      </c>
      <c r="L159" s="39" t="str">
        <f>VLOOKUP($C159,Carpetas!$C$5:$L$2060,4,FALSE)</f>
        <v>Fray Bentos</v>
      </c>
      <c r="M159" s="55">
        <f t="shared" si="12"/>
        <v>45489</v>
      </c>
      <c r="N159" s="53">
        <f t="shared" si="11"/>
        <v>25</v>
      </c>
      <c r="O159" s="51">
        <v>1920</v>
      </c>
      <c r="P159" s="51"/>
      <c r="Q159" s="51">
        <v>1920</v>
      </c>
      <c r="R159" s="51"/>
      <c r="S159" s="51"/>
      <c r="T159" s="65"/>
      <c r="U159" s="65"/>
      <c r="V159" s="65" t="s">
        <v>333</v>
      </c>
      <c r="W159" s="51" t="s">
        <v>233</v>
      </c>
      <c r="X159" s="66" t="s">
        <v>334</v>
      </c>
    </row>
    <row r="160" hidden="1" ht="27.75" customHeight="1" s="32" customFormat="1">
      <c r="A160" s="37"/>
      <c r="B160" s="31" t="s">
        <v>253</v>
      </c>
      <c r="C160" s="59" t="s">
        <v>335</v>
      </c>
      <c r="D160" s="57" t="s">
        <v>48</v>
      </c>
      <c r="E160" s="57">
        <v>45464</v>
      </c>
      <c r="F160" s="38" t="str">
        <f>IF(C160&lt;&gt;"",VLOOKUP($C160,Carpetas!$C$5:$L$2060,2,FALSE),"")</f>
        <v>PEP006</v>
      </c>
      <c r="G160" s="38" t="s">
        <v>216</v>
      </c>
      <c r="H160" s="44">
        <f>IF(C160&lt;&gt;"",VLOOKUP($C160,Carpetas!$C$5:$L$2060,9,FALSE),"")</f>
        <v>0</v>
      </c>
      <c r="I160" s="51" t="str">
        <f>IF(C160&lt;&gt;"",VLOOKUP($C160,Carpetas!$C$5:$L$2060,5,FALSE),"")</f>
        <v>Andino</v>
      </c>
      <c r="J160" s="51"/>
      <c r="K160" s="50">
        <v>45488</v>
      </c>
      <c r="L160" s="39" t="str">
        <f>VLOOKUP($C160,Carpetas!$C$5:$L$2060,4,FALSE)</f>
        <v>Fray Bentos</v>
      </c>
      <c r="M160" s="55">
        <f t="shared" si="12"/>
        <v>45489</v>
      </c>
      <c r="N160" s="53">
        <f t="shared" si="11"/>
        <v>25</v>
      </c>
      <c r="O160" s="51">
        <v>1920</v>
      </c>
      <c r="P160" s="51"/>
      <c r="Q160" s="51">
        <v>1920</v>
      </c>
      <c r="R160" s="51"/>
      <c r="S160" s="51"/>
      <c r="T160" s="65"/>
      <c r="U160" s="65"/>
      <c r="V160" s="65" t="s">
        <v>336</v>
      </c>
      <c r="W160" s="51" t="s">
        <v>337</v>
      </c>
      <c r="X160" s="66" t="s">
        <v>338</v>
      </c>
    </row>
    <row r="161" hidden="1" ht="27.75" customHeight="1" s="32" customFormat="1">
      <c r="A161" s="37"/>
      <c r="B161" s="31" t="s">
        <v>253</v>
      </c>
      <c r="C161" s="59" t="s">
        <v>339</v>
      </c>
      <c r="D161" s="57" t="s">
        <v>340</v>
      </c>
      <c r="E161" s="57">
        <v>45484</v>
      </c>
      <c r="F161" s="38" t="str">
        <f>IF(C161&lt;&gt;"",VLOOKUP($C161,Carpetas!$C$5:$L$2060,2,FALSE),"")</f>
        <v>CLC001</v>
      </c>
      <c r="G161" s="38" t="s">
        <v>35</v>
      </c>
      <c r="H161" s="44">
        <f>IF(C161&lt;&gt;"",VLOOKUP($C161,Carpetas!$C$5:$L$2060,9,FALSE),"")</f>
        <v>0</v>
      </c>
      <c r="I161" s="51" t="str">
        <f>IF(C161&lt;&gt;"",VLOOKUP($C161,Carpetas!$C$5:$L$2060,5,FALSE),"")</f>
        <v>Sarla y Ramón</v>
      </c>
      <c r="J161" s="51"/>
      <c r="K161" s="50">
        <v>45489</v>
      </c>
      <c r="L161" s="39" t="str">
        <f>VLOOKUP($C161,Carpetas!$C$5:$L$2060,4,FALSE)</f>
        <v>Fray Bentos</v>
      </c>
      <c r="M161" s="55">
        <f t="shared" si="12"/>
        <v>45490</v>
      </c>
      <c r="N161" s="53">
        <f t="shared" si="11"/>
        <v>6</v>
      </c>
      <c r="O161" s="51">
        <v>1200</v>
      </c>
      <c r="P161" s="51"/>
      <c r="Q161" s="51">
        <v>1200</v>
      </c>
      <c r="R161" s="51"/>
      <c r="S161" s="51"/>
      <c r="T161" s="65"/>
      <c r="U161" s="65"/>
      <c r="V161" s="65" t="s">
        <v>341</v>
      </c>
      <c r="W161" s="51" t="s">
        <v>342</v>
      </c>
      <c r="X161" s="66" t="s">
        <v>343</v>
      </c>
    </row>
    <row r="162" hidden="1" ht="27.75" customHeight="1" s="32" customFormat="1">
      <c r="A162" s="37"/>
      <c r="B162" s="31" t="s">
        <v>253</v>
      </c>
      <c r="C162" s="59" t="s">
        <v>324</v>
      </c>
      <c r="D162" s="57" t="s">
        <v>30</v>
      </c>
      <c r="E162" s="57">
        <v>45464</v>
      </c>
      <c r="F162" s="38" t="str">
        <f>IF(C162&lt;&gt;"",VLOOKUP($C162,Carpetas!$C$5:$L$2060,2,FALSE),"")</f>
        <v>ECM001</v>
      </c>
      <c r="G162" s="38" t="s">
        <v>43</v>
      </c>
      <c r="H162" s="44">
        <f>IF(C162&lt;&gt;"",VLOOKUP($C162,Carpetas!$C$5:$L$2060,9,FALSE),"")</f>
        <v>0</v>
      </c>
      <c r="I162" s="51" t="str">
        <f>IF(C162&lt;&gt;"",VLOOKUP($C162,Carpetas!$C$5:$L$2060,5,FALSE),"")</f>
        <v>CEVA</v>
      </c>
      <c r="J162" s="51"/>
      <c r="K162" s="50">
        <v>45489</v>
      </c>
      <c r="L162" s="39" t="str">
        <f>VLOOKUP($C162,Carpetas!$C$5:$L$2060,4,FALSE)</f>
        <v>Fray Bentos</v>
      </c>
      <c r="M162" s="55">
        <f t="shared" si="12"/>
        <v>45490</v>
      </c>
      <c r="N162" s="53">
        <f t="shared" si="11"/>
        <v>26</v>
      </c>
      <c r="O162" s="51">
        <v>1080</v>
      </c>
      <c r="P162" s="51"/>
      <c r="Q162" s="51">
        <v>1098</v>
      </c>
      <c r="R162" s="51"/>
      <c r="S162" s="51"/>
      <c r="T162" s="65"/>
      <c r="U162" s="65"/>
      <c r="V162" s="65" t="s">
        <v>329</v>
      </c>
      <c r="W162" s="51" t="s">
        <v>344</v>
      </c>
      <c r="X162" s="66" t="s">
        <v>331</v>
      </c>
    </row>
    <row r="163" hidden="1" ht="27.75" customHeight="1" s="32" customFormat="1">
      <c r="A163" s="37"/>
      <c r="B163" s="31" t="s">
        <v>253</v>
      </c>
      <c r="C163" s="59" t="s">
        <v>345</v>
      </c>
      <c r="D163" s="57" t="s">
        <v>30</v>
      </c>
      <c r="E163" s="57">
        <v>45466</v>
      </c>
      <c r="F163" s="38" t="str">
        <f>IF(C163&lt;&gt;"",VLOOKUP($C163,Carpetas!$C$5:$L$2060,2,FALSE),"")</f>
        <v>ECE029</v>
      </c>
      <c r="G163" s="38" t="s">
        <v>43</v>
      </c>
      <c r="H163" s="44">
        <f>IF(C163&lt;&gt;"",VLOOKUP($C163,Carpetas!$C$5:$L$2060,9,FALSE),"")</f>
        <v>1494993</v>
      </c>
      <c r="I163" s="51" t="str">
        <f>IF(C163&lt;&gt;"",VLOOKUP($C163,Carpetas!$C$5:$L$2060,5,FALSE),"")</f>
        <v>Andino</v>
      </c>
      <c r="J163" s="51"/>
      <c r="K163" s="50">
        <v>45491</v>
      </c>
      <c r="L163" s="39" t="str">
        <f>VLOOKUP($C163,Carpetas!$C$5:$L$2060,4,FALSE)</f>
        <v>Fray Bentos</v>
      </c>
      <c r="M163" s="55">
        <f t="shared" si="12"/>
        <v>45492</v>
      </c>
      <c r="N163" s="53">
        <f t="shared" si="11"/>
        <v>26</v>
      </c>
      <c r="O163" s="51">
        <v>2208</v>
      </c>
      <c r="P163" s="51"/>
      <c r="Q163" s="51">
        <v>2208</v>
      </c>
      <c r="R163" s="51"/>
      <c r="S163" s="51"/>
      <c r="T163" s="65"/>
      <c r="U163" s="65"/>
      <c r="V163" s="65" t="s">
        <v>232</v>
      </c>
      <c r="W163" s="51" t="s">
        <v>346</v>
      </c>
      <c r="X163" s="66" t="s">
        <v>347</v>
      </c>
    </row>
    <row r="164" hidden="1" ht="27.75" customHeight="1" s="32" customFormat="1">
      <c r="A164" s="37"/>
      <c r="B164" s="31" t="s">
        <v>288</v>
      </c>
      <c r="C164" s="59" t="s">
        <v>348</v>
      </c>
      <c r="D164" s="57" t="s">
        <v>30</v>
      </c>
      <c r="E164" s="57">
        <v>45466</v>
      </c>
      <c r="F164" s="38" t="str">
        <f>IF(C164&lt;&gt;"",VLOOKUP($C164,Carpetas!$C$5:$L$2060,2,FALSE),"")</f>
        <v>ECB032</v>
      </c>
      <c r="G164" s="38" t="s">
        <v>43</v>
      </c>
      <c r="H164" s="44">
        <f>IF(C164&lt;&gt;"",VLOOKUP($C164,Carpetas!$C$5:$L$2060,9,FALSE),"")</f>
        <v>1494994</v>
      </c>
      <c r="I164" s="51" t="str">
        <f>IF(C164&lt;&gt;"",VLOOKUP($C164,Carpetas!$C$5:$L$2060,5,FALSE),"")</f>
        <v>Andino</v>
      </c>
      <c r="J164" s="51"/>
      <c r="K164" s="50">
        <v>45491</v>
      </c>
      <c r="L164" s="39" t="str">
        <f>VLOOKUP($C164,Carpetas!$C$5:$L$2060,4,FALSE)</f>
        <v>Fray Bentos</v>
      </c>
      <c r="M164" s="55">
        <f t="shared" si="12"/>
        <v>45492</v>
      </c>
      <c r="N164" s="53">
        <f t="shared" si="11"/>
        <v>26</v>
      </c>
      <c r="O164" s="51">
        <v>2160</v>
      </c>
      <c r="P164" s="51"/>
      <c r="Q164" s="51">
        <v>1080</v>
      </c>
      <c r="R164" s="51"/>
      <c r="S164" s="51"/>
      <c r="T164" s="65"/>
      <c r="U164" s="65"/>
      <c r="V164" s="65" t="s">
        <v>55</v>
      </c>
      <c r="W164" s="51" t="s">
        <v>157</v>
      </c>
      <c r="X164" s="66" t="s">
        <v>349</v>
      </c>
    </row>
    <row r="165" hidden="1" ht="27.75" customHeight="1" s="32" customFormat="1">
      <c r="A165" s="37"/>
      <c r="B165" s="31" t="s">
        <v>253</v>
      </c>
      <c r="C165" s="59" t="s">
        <v>350</v>
      </c>
      <c r="D165" s="57" t="s">
        <v>30</v>
      </c>
      <c r="E165" s="57">
        <v>45466</v>
      </c>
      <c r="F165" s="38" t="str">
        <f>IF(C165&lt;&gt;"",VLOOKUP($C165,Carpetas!$C$5:$L$2060,2,FALSE),"")</f>
        <v>ECB031/A</v>
      </c>
      <c r="G165" s="38" t="s">
        <v>43</v>
      </c>
      <c r="H165" s="44">
        <f>IF(C165&lt;&gt;"",VLOOKUP($C165,Carpetas!$C$5:$L$2060,9,FALSE),"")</f>
        <v>1494992</v>
      </c>
      <c r="I165" s="51" t="str">
        <f>IF(C165&lt;&gt;"",VLOOKUP($C165,Carpetas!$C$5:$L$2060,5,FALSE),"")</f>
        <v>Andino</v>
      </c>
      <c r="J165" s="51"/>
      <c r="K165" s="50">
        <v>45491</v>
      </c>
      <c r="L165" s="39" t="str">
        <f>VLOOKUP($C165,Carpetas!$C$5:$L$2060,4,FALSE)</f>
        <v>Fray Bentos</v>
      </c>
      <c r="M165" s="55">
        <f t="shared" si="12"/>
        <v>45492</v>
      </c>
      <c r="N165" s="53">
        <f t="shared" si="11"/>
        <v>26</v>
      </c>
      <c r="O165" s="51">
        <v>1080</v>
      </c>
      <c r="P165" s="51"/>
      <c r="Q165" s="51">
        <v>1080</v>
      </c>
      <c r="R165" s="51"/>
      <c r="S165" s="51"/>
      <c r="T165" s="65"/>
      <c r="U165" s="65"/>
      <c r="V165" s="65" t="s">
        <v>55</v>
      </c>
      <c r="W165" s="51" t="s">
        <v>318</v>
      </c>
      <c r="X165" s="66" t="s">
        <v>351</v>
      </c>
    </row>
    <row r="166" hidden="1" ht="27.75" customHeight="1" s="32" customFormat="1">
      <c r="A166" s="37"/>
      <c r="B166" s="31" t="s">
        <v>288</v>
      </c>
      <c r="C166" s="59" t="s">
        <v>352</v>
      </c>
      <c r="D166" s="57" t="s">
        <v>42</v>
      </c>
      <c r="E166" s="57">
        <v>45471</v>
      </c>
      <c r="F166" s="38" t="str">
        <f>IF(C166&lt;&gt;"",VLOOKUP($C166,Carpetas!$C$5:$L$2060,2,FALSE),"")</f>
        <v>ECA014</v>
      </c>
      <c r="G166" s="38" t="s">
        <v>43</v>
      </c>
      <c r="H166" s="44">
        <f>IF(C166&lt;&gt;"",VLOOKUP($C166,Carpetas!$C$5:$L$2060,9,FALSE),"")</f>
        <v>1495480</v>
      </c>
      <c r="I166" s="51" t="str">
        <f>IF(C166&lt;&gt;"",VLOOKUP($C166,Carpetas!$C$5:$L$2060,5,FALSE),"")</f>
        <v>Andino</v>
      </c>
      <c r="J166" s="51"/>
      <c r="K166" s="50">
        <v>45492</v>
      </c>
      <c r="L166" s="39" t="str">
        <f>VLOOKUP($C166,Carpetas!$C$5:$L$2060,4,FALSE)</f>
        <v>Fray Bentos</v>
      </c>
      <c r="M166" s="55">
        <f t="shared" si="12"/>
        <v>45493</v>
      </c>
      <c r="N166" s="53">
        <f t="shared" si="11"/>
        <v>22</v>
      </c>
      <c r="O166" s="51">
        <v>1680</v>
      </c>
      <c r="P166" s="51"/>
      <c r="Q166" s="51"/>
      <c r="R166" s="51"/>
      <c r="S166" s="51"/>
      <c r="T166" s="65"/>
      <c r="U166" s="65"/>
      <c r="V166" s="65"/>
      <c r="W166" s="51"/>
      <c r="X166" s="66"/>
    </row>
    <row r="167" hidden="1" ht="27.75" customHeight="1" s="32" customFormat="1">
      <c r="A167" s="37"/>
      <c r="B167" s="31" t="s">
        <v>288</v>
      </c>
      <c r="C167" s="59" t="s">
        <v>353</v>
      </c>
      <c r="D167" s="57" t="s">
        <v>48</v>
      </c>
      <c r="E167" s="57">
        <v>45464</v>
      </c>
      <c r="F167" s="38" t="str">
        <f>IF(C167&lt;&gt;"",VLOOKUP($C167,Carpetas!$C$5:$L$2060,2,FALSE),"")</f>
        <v>PEP008</v>
      </c>
      <c r="G167" s="38" t="s">
        <v>216</v>
      </c>
      <c r="H167" s="44">
        <f>IF(C167&lt;&gt;"",VLOOKUP($C167,Carpetas!$C$5:$L$2060,9,FALSE),"")</f>
        <v>0</v>
      </c>
      <c r="I167" s="51" t="str">
        <f>IF(C167&lt;&gt;"",VLOOKUP($C167,Carpetas!$C$5:$L$2060,5,FALSE),"")</f>
        <v>Andino</v>
      </c>
      <c r="J167" s="51"/>
      <c r="K167" s="50">
        <v>45492</v>
      </c>
      <c r="L167" s="39" t="str">
        <f>VLOOKUP($C167,Carpetas!$C$5:$L$2060,4,FALSE)</f>
        <v>Fray Bentos</v>
      </c>
      <c r="M167" s="55">
        <f t="shared" si="12"/>
        <v>45493</v>
      </c>
      <c r="N167" s="53">
        <f t="shared" si="11"/>
        <v>29</v>
      </c>
      <c r="O167" s="51">
        <v>1920</v>
      </c>
      <c r="P167" s="51"/>
      <c r="Q167" s="51"/>
      <c r="R167" s="51"/>
      <c r="S167" s="51"/>
      <c r="T167" s="65"/>
      <c r="U167" s="65"/>
      <c r="V167" s="65"/>
      <c r="W167" s="51"/>
      <c r="X167" s="66"/>
    </row>
    <row r="168" hidden="1" ht="27.75" customHeight="1" s="32" customFormat="1">
      <c r="A168" s="37"/>
      <c r="B168" s="31" t="s">
        <v>253</v>
      </c>
      <c r="C168" s="59" t="s">
        <v>354</v>
      </c>
      <c r="D168" s="57" t="s">
        <v>310</v>
      </c>
      <c r="E168" s="57">
        <v>45491</v>
      </c>
      <c r="F168" s="38" t="str">
        <f>IF(C168&lt;&gt;"",VLOOKUP($C168,Carpetas!$C$5:$L$2060,2,FALSE),"")</f>
        <v>PEA005</v>
      </c>
      <c r="G168" s="38" t="s">
        <v>216</v>
      </c>
      <c r="H168" s="44">
        <f>IF(C168&lt;&gt;"",VLOOKUP($C168,Carpetas!$C$5:$L$2060,9,FALSE),"")</f>
        <v>0</v>
      </c>
      <c r="I168" s="51" t="str">
        <f>IF(C168&lt;&gt;"",VLOOKUP($C168,Carpetas!$C$5:$L$2060,5,FALSE),"")</f>
        <v>Ciatran</v>
      </c>
      <c r="J168" s="51"/>
      <c r="K168" s="50">
        <v>45492</v>
      </c>
      <c r="L168" s="39" t="str">
        <f>VLOOKUP($C168,Carpetas!$C$5:$L$2060,4,FALSE)</f>
        <v>Carrasco</v>
      </c>
      <c r="M168" s="55">
        <v>45496</v>
      </c>
      <c r="N168" s="53">
        <f t="shared" si="11"/>
        <v>5</v>
      </c>
      <c r="O168" s="51">
        <v>1008</v>
      </c>
      <c r="P168" s="51"/>
      <c r="Q168" s="51">
        <v>720</v>
      </c>
      <c r="R168" s="51"/>
      <c r="S168" s="51"/>
      <c r="T168" s="65"/>
      <c r="U168" s="65"/>
      <c r="V168" s="65"/>
      <c r="W168" s="51"/>
      <c r="X168" s="66"/>
    </row>
    <row r="169" hidden="1" ht="27.75" customHeight="1" s="32" customFormat="1">
      <c r="A169" s="37"/>
      <c r="B169" s="31" t="s">
        <v>253</v>
      </c>
      <c r="C169" s="59" t="s">
        <v>355</v>
      </c>
      <c r="D169" s="57" t="s">
        <v>340</v>
      </c>
      <c r="E169" s="57">
        <v>45491</v>
      </c>
      <c r="F169" s="38" t="str">
        <f>IF(C169&lt;&gt;"",VLOOKUP($C169,Carpetas!$C$5:$L$2060,2,FALSE),"")</f>
        <v>CLC003</v>
      </c>
      <c r="G169" s="38" t="s">
        <v>35</v>
      </c>
      <c r="H169" s="44">
        <f>IF(C169&lt;&gt;"",VLOOKUP($C169,Carpetas!$C$5:$L$2060,9,FALSE),"")</f>
        <v>0</v>
      </c>
      <c r="I169" s="51" t="str">
        <f>IF(C169&lt;&gt;"",VLOOKUP($C169,Carpetas!$C$5:$L$2060,5,FALSE),"")</f>
        <v>Rio Colorado</v>
      </c>
      <c r="J169" s="51"/>
      <c r="K169" s="50">
        <v>45495</v>
      </c>
      <c r="L169" s="39" t="str">
        <f>VLOOKUP($C169,Carpetas!$C$5:$L$2060,4,FALSE)</f>
        <v>Fray Bentos</v>
      </c>
      <c r="M169" s="55">
        <f>K169+1</f>
        <v>45496</v>
      </c>
      <c r="N169" s="53">
        <f t="shared" si="11"/>
        <v>5</v>
      </c>
      <c r="O169" s="51">
        <v>1250</v>
      </c>
      <c r="P169" s="51"/>
      <c r="Q169" s="51">
        <v>1250</v>
      </c>
      <c r="R169" s="51"/>
      <c r="S169" s="51"/>
      <c r="T169" s="65"/>
      <c r="U169" s="65"/>
      <c r="V169" s="65" t="s">
        <v>341</v>
      </c>
      <c r="W169" s="51" t="s">
        <v>356</v>
      </c>
      <c r="X169" s="66" t="s">
        <v>357</v>
      </c>
    </row>
    <row r="170" hidden="1" ht="27.75" customHeight="1" s="32" customFormat="1">
      <c r="A170" s="37"/>
      <c r="B170" s="31" t="s">
        <v>253</v>
      </c>
      <c r="C170" s="59" t="s">
        <v>358</v>
      </c>
      <c r="D170" s="57" t="s">
        <v>340</v>
      </c>
      <c r="E170" s="57">
        <v>45491</v>
      </c>
      <c r="F170" s="38" t="str">
        <f>IF(C170&lt;&gt;"",VLOOKUP($C170,Carpetas!$C$5:$L$2060,2,FALSE),"")</f>
        <v>CLC002</v>
      </c>
      <c r="G170" s="38" t="s">
        <v>35</v>
      </c>
      <c r="H170" s="44">
        <f>IF(C170&lt;&gt;"",VLOOKUP($C170,Carpetas!$C$5:$L$2060,9,FALSE),"")</f>
        <v>0</v>
      </c>
      <c r="I170" s="51" t="str">
        <f>IF(C170&lt;&gt;"",VLOOKUP($C170,Carpetas!$C$5:$L$2060,5,FALSE),"")</f>
        <v>Falero</v>
      </c>
      <c r="J170" s="51"/>
      <c r="K170" s="50">
        <v>45495</v>
      </c>
      <c r="L170" s="39" t="str">
        <f>VLOOKUP($C170,Carpetas!$C$5:$L$2060,4,FALSE)</f>
        <v>Fray Bentos</v>
      </c>
      <c r="M170" s="55">
        <f>K170+1</f>
        <v>45496</v>
      </c>
      <c r="N170" s="53">
        <f t="shared" si="11"/>
        <v>5</v>
      </c>
      <c r="O170" s="51">
        <v>1250</v>
      </c>
      <c r="P170" s="51"/>
      <c r="Q170" s="51"/>
      <c r="R170" s="51"/>
      <c r="S170" s="51"/>
      <c r="T170" s="65"/>
      <c r="U170" s="65"/>
      <c r="V170" s="65"/>
      <c r="W170" s="51"/>
      <c r="X170" s="66"/>
    </row>
    <row r="171" hidden="1" ht="27.75" customHeight="1" s="32" customFormat="1">
      <c r="A171" s="37"/>
      <c r="B171" s="31" t="s">
        <v>253</v>
      </c>
      <c r="C171" s="59" t="s">
        <v>359</v>
      </c>
      <c r="D171" s="57" t="s">
        <v>360</v>
      </c>
      <c r="E171" s="57">
        <v>45470</v>
      </c>
      <c r="F171" s="38" t="str">
        <f>IF(C171&lt;&gt;"",VLOOKUP($C171,Carpetas!$C$5:$L$2060,2,FALSE),"")</f>
        <v>ESC001</v>
      </c>
      <c r="G171" s="38" t="s">
        <v>361</v>
      </c>
      <c r="H171" s="44">
        <f>IF(C171&lt;&gt;"",VLOOKUP($C171,Carpetas!$C$5:$L$2060,9,FALSE),"")</f>
        <v>0</v>
      </c>
      <c r="I171" s="51" t="str">
        <f>IF(C171&lt;&gt;"",VLOOKUP($C171,Carpetas!$C$5:$L$2060,5,FALSE),"")</f>
        <v>Ciatran</v>
      </c>
      <c r="J171" s="51"/>
      <c r="K171" s="50">
        <v>45495</v>
      </c>
      <c r="L171" s="39" t="str">
        <f>VLOOKUP($C171,Carpetas!$C$5:$L$2060,4,FALSE)</f>
        <v>Montevideo</v>
      </c>
      <c r="M171" s="55">
        <f>K171+1+1</f>
        <v>45497</v>
      </c>
      <c r="N171" s="53">
        <f t="shared" si="11"/>
        <v>27</v>
      </c>
      <c r="O171" s="51">
        <v>2352</v>
      </c>
      <c r="P171" s="51"/>
      <c r="Q171" s="51"/>
      <c r="R171" s="51"/>
      <c r="S171" s="51"/>
      <c r="T171" s="65"/>
      <c r="U171" s="65"/>
      <c r="V171" s="65"/>
      <c r="W171" s="51"/>
      <c r="X171" s="66"/>
    </row>
    <row r="172" hidden="1" ht="27.75" customHeight="1" s="32" customFormat="1">
      <c r="A172" s="37"/>
      <c r="B172" s="31" t="s">
        <v>253</v>
      </c>
      <c r="C172" s="59" t="s">
        <v>362</v>
      </c>
      <c r="D172" s="57" t="s">
        <v>363</v>
      </c>
      <c r="E172" s="57">
        <v>45471</v>
      </c>
      <c r="F172" s="38" t="str">
        <f>IF(C172&lt;&gt;"",VLOOKUP($C172,Carpetas!$C$5:$L$2060,2,FALSE),"")</f>
        <v>ECB031/B</v>
      </c>
      <c r="G172" s="38" t="s">
        <v>43</v>
      </c>
      <c r="H172" s="44">
        <f>IF(C172&lt;&gt;"",VLOOKUP($C172,Carpetas!$C$5:$L$2060,9,FALSE),"")</f>
        <v>1495484</v>
      </c>
      <c r="I172" s="51" t="str">
        <f>IF(C172&lt;&gt;"",VLOOKUP($C172,Carpetas!$C$5:$L$2060,5,FALSE),"")</f>
        <v>Andino</v>
      </c>
      <c r="J172" s="51"/>
      <c r="K172" s="50">
        <v>45496</v>
      </c>
      <c r="L172" s="39" t="str">
        <f>VLOOKUP($C172,Carpetas!$C$5:$L$2060,4,FALSE)</f>
        <v>Fray Bentos</v>
      </c>
      <c r="M172" s="55">
        <f ref="M172:M196" t="shared" si="13">K172+1</f>
        <v>45497</v>
      </c>
      <c r="N172" s="53">
        <f t="shared" si="11"/>
        <v>26</v>
      </c>
      <c r="O172" s="51">
        <v>1080</v>
      </c>
      <c r="P172" s="51"/>
      <c r="Q172" s="51">
        <v>1080</v>
      </c>
      <c r="R172" s="51"/>
      <c r="S172" s="51"/>
      <c r="T172" s="65"/>
      <c r="U172" s="65"/>
      <c r="V172" s="65" t="s">
        <v>55</v>
      </c>
      <c r="W172" s="51" t="s">
        <v>233</v>
      </c>
      <c r="X172" s="66" t="s">
        <v>364</v>
      </c>
    </row>
    <row r="173" hidden="1" ht="27.75" customHeight="1" s="32" customFormat="1">
      <c r="A173" s="37"/>
      <c r="B173" s="31" t="s">
        <v>253</v>
      </c>
      <c r="C173" s="59" t="s">
        <v>365</v>
      </c>
      <c r="D173" s="57" t="s">
        <v>363</v>
      </c>
      <c r="E173" s="57">
        <v>45471</v>
      </c>
      <c r="F173" s="38" t="str">
        <f>IF(C173&lt;&gt;"",VLOOKUP($C173,Carpetas!$C$5:$L$2060,2,FALSE),"")</f>
        <v>ECE030</v>
      </c>
      <c r="G173" s="38" t="s">
        <v>43</v>
      </c>
      <c r="H173" s="44">
        <f>IF(C173&lt;&gt;"",VLOOKUP($C173,Carpetas!$C$5:$L$2060,9,FALSE),"")</f>
        <v>1495489</v>
      </c>
      <c r="I173" s="51" t="str">
        <f>IF(C173&lt;&gt;"",VLOOKUP($C173,Carpetas!$C$5:$L$2060,5,FALSE),"")</f>
        <v>Andino</v>
      </c>
      <c r="J173" s="51"/>
      <c r="K173" s="50">
        <v>45496</v>
      </c>
      <c r="L173" s="39" t="str">
        <f>VLOOKUP($C173,Carpetas!$C$5:$L$2060,4,FALSE)</f>
        <v>Fray Bentos</v>
      </c>
      <c r="M173" s="55">
        <f t="shared" si="13"/>
        <v>45497</v>
      </c>
      <c r="N173" s="53">
        <f t="shared" si="11"/>
        <v>26</v>
      </c>
      <c r="O173" s="51">
        <v>3240</v>
      </c>
      <c r="P173" s="51"/>
      <c r="Q173" s="51">
        <v>2160</v>
      </c>
      <c r="R173" s="51"/>
      <c r="S173" s="51"/>
      <c r="T173" s="65"/>
      <c r="U173" s="65"/>
      <c r="V173" s="65" t="s">
        <v>60</v>
      </c>
      <c r="W173" s="51" t="s">
        <v>366</v>
      </c>
      <c r="X173" s="66" t="s">
        <v>367</v>
      </c>
    </row>
    <row r="174" hidden="1" ht="27.75" customHeight="1" s="32" customFormat="1">
      <c r="A174" s="37"/>
      <c r="B174" s="31" t="s">
        <v>253</v>
      </c>
      <c r="C174" s="59" t="s">
        <v>368</v>
      </c>
      <c r="D174" s="57" t="s">
        <v>340</v>
      </c>
      <c r="E174" s="57">
        <v>45493</v>
      </c>
      <c r="F174" s="38" t="str">
        <f>IF(C174&lt;&gt;"",VLOOKUP($C174,Carpetas!$C$5:$L$2060,2,FALSE),"")</f>
        <v>ARC001</v>
      </c>
      <c r="G174" s="38" t="s">
        <v>369</v>
      </c>
      <c r="H174" s="44">
        <f>IF(C174&lt;&gt;"",VLOOKUP($C174,Carpetas!$C$5:$L$2060,9,FALSE),"")</f>
        <v>1497565</v>
      </c>
      <c r="I174" s="51" t="str">
        <f>IF(C174&lt;&gt;"",VLOOKUP($C174,Carpetas!$C$5:$L$2060,5,FALSE),"")</f>
        <v>Teske</v>
      </c>
      <c r="J174" s="51"/>
      <c r="K174" s="50">
        <v>45496</v>
      </c>
      <c r="L174" s="39" t="str">
        <f>VLOOKUP($C174,Carpetas!$C$5:$L$2060,4,FALSE)</f>
        <v>Fray Bentos</v>
      </c>
      <c r="M174" s="55">
        <f t="shared" si="13"/>
        <v>45497</v>
      </c>
      <c r="N174" s="53">
        <f t="shared" si="11"/>
        <v>4</v>
      </c>
      <c r="O174" s="51">
        <v>1400</v>
      </c>
      <c r="P174" s="51"/>
      <c r="Q174" s="51"/>
      <c r="R174" s="51"/>
      <c r="S174" s="51"/>
      <c r="T174" s="65"/>
      <c r="U174" s="65"/>
      <c r="V174" s="65"/>
      <c r="W174" s="51"/>
      <c r="X174" s="66"/>
    </row>
    <row r="175" hidden="1" ht="27.75" customHeight="1" s="32" customFormat="1">
      <c r="A175" s="37"/>
      <c r="B175" s="31" t="s">
        <v>253</v>
      </c>
      <c r="C175" s="59" t="s">
        <v>370</v>
      </c>
      <c r="D175" s="57" t="s">
        <v>310</v>
      </c>
      <c r="E175" s="57">
        <v>45495</v>
      </c>
      <c r="F175" s="38" t="str">
        <f>IF(C175&lt;&gt;"",VLOOKUP($C175,Carpetas!$C$5:$L$2060,2,FALSE),"")</f>
        <v>PEA006</v>
      </c>
      <c r="G175" s="38" t="s">
        <v>216</v>
      </c>
      <c r="H175" s="44">
        <f>IF(C175&lt;&gt;"",VLOOKUP($C175,Carpetas!$C$5:$L$2060,9,FALSE),"")</f>
        <v>0</v>
      </c>
      <c r="I175" s="51" t="str">
        <f>IF(C175&lt;&gt;"",VLOOKUP($C175,Carpetas!$C$5:$L$2060,5,FALSE),"")</f>
        <v>Ciatran</v>
      </c>
      <c r="J175" s="51"/>
      <c r="K175" s="50">
        <f>E175+1</f>
        <v>45496</v>
      </c>
      <c r="L175" s="39" t="str">
        <f>VLOOKUP($C175,Carpetas!$C$5:$L$2060,4,FALSE)</f>
        <v>Carrasco</v>
      </c>
      <c r="M175" s="55">
        <f t="shared" si="13"/>
        <v>45497</v>
      </c>
      <c r="N175" s="53">
        <f t="shared" si="11"/>
        <v>2</v>
      </c>
      <c r="O175" s="51">
        <v>1008</v>
      </c>
      <c r="P175" s="51"/>
      <c r="Q175" s="51"/>
      <c r="R175" s="51"/>
      <c r="S175" s="51"/>
      <c r="T175" s="65"/>
      <c r="U175" s="65"/>
      <c r="V175" s="65"/>
      <c r="W175" s="51"/>
      <c r="X175" s="66"/>
    </row>
    <row r="176" hidden="1" ht="27.75" customHeight="1" s="32" customFormat="1">
      <c r="A176" s="37"/>
      <c r="B176" s="31" t="s">
        <v>253</v>
      </c>
      <c r="C176" s="59" t="s">
        <v>371</v>
      </c>
      <c r="D176" s="57" t="s">
        <v>363</v>
      </c>
      <c r="E176" s="57">
        <v>45471</v>
      </c>
      <c r="F176" s="38" t="str">
        <f>IF(C176&lt;&gt;"",VLOOKUP($C176,Carpetas!$C$5:$L$2060,2,FALSE),"")</f>
        <v>ECE031</v>
      </c>
      <c r="G176" s="38" t="s">
        <v>43</v>
      </c>
      <c r="H176" s="44">
        <f>IF(C176&lt;&gt;"",VLOOKUP($C176,Carpetas!$C$5:$L$2060,9,FALSE),"")</f>
        <v>1495485</v>
      </c>
      <c r="I176" s="51" t="str">
        <f>IF(C176&lt;&gt;"",VLOOKUP($C176,Carpetas!$C$5:$L$2060,5,FALSE),"")</f>
        <v>Andino</v>
      </c>
      <c r="J176" s="51"/>
      <c r="K176" s="50">
        <v>45496</v>
      </c>
      <c r="L176" s="39" t="str">
        <f>VLOOKUP($C176,Carpetas!$C$5:$L$2060,4,FALSE)</f>
        <v>Fray Bentos</v>
      </c>
      <c r="M176" s="55">
        <f t="shared" si="13"/>
        <v>45497</v>
      </c>
      <c r="N176" s="53">
        <f t="shared" si="11"/>
        <v>26</v>
      </c>
      <c r="O176" s="51">
        <v>1128</v>
      </c>
      <c r="P176" s="51"/>
      <c r="Q176" s="51">
        <v>1128</v>
      </c>
      <c r="R176" s="51"/>
      <c r="S176" s="51"/>
      <c r="T176" s="65"/>
      <c r="U176" s="65"/>
      <c r="V176" s="65" t="s">
        <v>232</v>
      </c>
      <c r="W176" s="51" t="s">
        <v>372</v>
      </c>
      <c r="X176" s="66" t="s">
        <v>373</v>
      </c>
    </row>
    <row r="177" hidden="1" ht="27.75" customHeight="1" s="32" customFormat="1">
      <c r="A177" s="37"/>
      <c r="B177" s="31" t="s">
        <v>253</v>
      </c>
      <c r="C177" s="59" t="s">
        <v>374</v>
      </c>
      <c r="D177" s="57" t="s">
        <v>340</v>
      </c>
      <c r="E177" s="57">
        <v>45491</v>
      </c>
      <c r="F177" s="38" t="str">
        <f>IF(C177&lt;&gt;"",VLOOKUP($C177,Carpetas!$C$5:$L$2060,2,FALSE),"")</f>
        <v>CLC004</v>
      </c>
      <c r="G177" s="38" t="s">
        <v>35</v>
      </c>
      <c r="H177" s="44">
        <f>IF(C177&lt;&gt;"",VLOOKUP($C177,Carpetas!$C$5:$L$2060,9,FALSE),"")</f>
        <v>0</v>
      </c>
      <c r="I177" s="51" t="str">
        <f>IF(C177&lt;&gt;"",VLOOKUP($C177,Carpetas!$C$5:$L$2060,5,FALSE),"")</f>
        <v>Cisterna</v>
      </c>
      <c r="J177" s="51"/>
      <c r="K177" s="50">
        <v>45497</v>
      </c>
      <c r="L177" s="39" t="str">
        <f>VLOOKUP($C177,Carpetas!$C$5:$L$2060,4,FALSE)</f>
        <v>Fray Bentos</v>
      </c>
      <c r="M177" s="55">
        <f t="shared" si="13"/>
        <v>45498</v>
      </c>
      <c r="N177" s="53">
        <f t="shared" si="11"/>
        <v>7</v>
      </c>
      <c r="O177" s="51">
        <v>1250</v>
      </c>
      <c r="P177" s="51"/>
      <c r="Q177" s="51"/>
      <c r="R177" s="51"/>
      <c r="S177" s="51"/>
      <c r="T177" s="65"/>
      <c r="U177" s="65"/>
      <c r="V177" s="65"/>
      <c r="W177" s="51"/>
      <c r="X177" s="66"/>
    </row>
    <row r="178" hidden="1" ht="27.75" customHeight="1" s="32" customFormat="1">
      <c r="A178" s="37"/>
      <c r="B178" s="31" t="s">
        <v>253</v>
      </c>
      <c r="C178" s="59" t="s">
        <v>375</v>
      </c>
      <c r="D178" s="57" t="s">
        <v>363</v>
      </c>
      <c r="E178" s="57">
        <v>45471</v>
      </c>
      <c r="F178" s="38" t="str">
        <f>IF(C178&lt;&gt;"",VLOOKUP($C178,Carpetas!$C$5:$L$2060,2,FALSE),"")</f>
        <v>ECB033</v>
      </c>
      <c r="G178" s="38" t="s">
        <v>43</v>
      </c>
      <c r="H178" s="44">
        <f>IF(C178&lt;&gt;"",VLOOKUP($C178,Carpetas!$C$5:$L$2060,9,FALSE),"")</f>
        <v>1495484</v>
      </c>
      <c r="I178" s="51" t="str">
        <f>IF(C178&lt;&gt;"",VLOOKUP($C178,Carpetas!$C$5:$L$2060,5,FALSE),"")</f>
        <v>Andino</v>
      </c>
      <c r="J178" s="51"/>
      <c r="K178" s="50">
        <v>45497</v>
      </c>
      <c r="L178" s="39" t="str">
        <f>VLOOKUP($C178,Carpetas!$C$5:$L$2060,4,FALSE)</f>
        <v>Fray Bentos</v>
      </c>
      <c r="M178" s="55">
        <f t="shared" si="13"/>
        <v>45498</v>
      </c>
      <c r="N178" s="53">
        <f t="shared" si="11"/>
        <v>27</v>
      </c>
      <c r="O178" s="51">
        <v>2160</v>
      </c>
      <c r="P178" s="51"/>
      <c r="Q178" s="51">
        <v>2160</v>
      </c>
      <c r="R178" s="51"/>
      <c r="S178" s="51"/>
      <c r="T178" s="65"/>
      <c r="U178" s="65"/>
      <c r="V178" s="65" t="s">
        <v>55</v>
      </c>
      <c r="W178" s="51" t="s">
        <v>376</v>
      </c>
      <c r="X178" s="66" t="s">
        <v>377</v>
      </c>
    </row>
    <row r="179" hidden="1" ht="27.75" customHeight="1" s="32" customFormat="1">
      <c r="A179" s="37"/>
      <c r="B179" s="31" t="s">
        <v>288</v>
      </c>
      <c r="C179" s="59" t="s">
        <v>378</v>
      </c>
      <c r="D179" s="57" t="s">
        <v>363</v>
      </c>
      <c r="E179" s="57">
        <v>45471</v>
      </c>
      <c r="F179" s="38" t="str">
        <f>IF(C179&lt;&gt;"",VLOOKUP($C179,Carpetas!$C$5:$L$2060,2,FALSE),"")</f>
        <v>ECB034</v>
      </c>
      <c r="G179" s="38" t="s">
        <v>43</v>
      </c>
      <c r="H179" s="44">
        <f>IF(C179&lt;&gt;"",VLOOKUP($C179,Carpetas!$C$5:$L$2060,9,FALSE),"")</f>
        <v>1495483</v>
      </c>
      <c r="I179" s="51" t="str">
        <f>IF(C179&lt;&gt;"",VLOOKUP($C179,Carpetas!$C$5:$L$2060,5,FALSE),"")</f>
        <v>Andino</v>
      </c>
      <c r="J179" s="51"/>
      <c r="K179" s="50">
        <v>45497</v>
      </c>
      <c r="L179" s="39" t="str">
        <f>VLOOKUP($C179,Carpetas!$C$5:$L$2060,4,FALSE)</f>
        <v>Fray Bentos</v>
      </c>
      <c r="M179" s="55">
        <f t="shared" si="13"/>
        <v>45498</v>
      </c>
      <c r="N179" s="53">
        <f t="shared" si="11"/>
        <v>27</v>
      </c>
      <c r="O179" s="51">
        <v>2160</v>
      </c>
      <c r="P179" s="51"/>
      <c r="Q179" s="51">
        <v>2160</v>
      </c>
      <c r="R179" s="51"/>
      <c r="S179" s="51"/>
      <c r="T179" s="65"/>
      <c r="U179" s="65"/>
      <c r="V179" s="65" t="s">
        <v>55</v>
      </c>
      <c r="W179" s="51" t="s">
        <v>379</v>
      </c>
      <c r="X179" s="66" t="s">
        <v>380</v>
      </c>
    </row>
    <row r="180" hidden="1" ht="27.75" customHeight="1" s="32" customFormat="1">
      <c r="A180" s="37"/>
      <c r="B180" s="31" t="s">
        <v>288</v>
      </c>
      <c r="C180" s="59" t="s">
        <v>381</v>
      </c>
      <c r="D180" s="57" t="s">
        <v>340</v>
      </c>
      <c r="E180" s="57">
        <v>45495</v>
      </c>
      <c r="F180" s="38" t="str">
        <f>IF(C180&lt;&gt;"",VLOOKUP($C180,Carpetas!$C$5:$L$2060,2,FALSE),"")</f>
        <v>CLC005</v>
      </c>
      <c r="G180" s="38" t="s">
        <v>35</v>
      </c>
      <c r="H180" s="44">
        <f>IF(C180&lt;&gt;"",VLOOKUP($C180,Carpetas!$C$5:$L$2060,9,FALSE),"")</f>
        <v>0</v>
      </c>
      <c r="I180" s="51" t="s">
        <v>382</v>
      </c>
      <c r="J180" s="51"/>
      <c r="K180" s="50">
        <v>45499</v>
      </c>
      <c r="L180" s="39" t="str">
        <f>VLOOKUP($C180,Carpetas!$C$5:$L$2060,4,FALSE)</f>
        <v>Fray Bentos</v>
      </c>
      <c r="M180" s="55">
        <f t="shared" si="13"/>
        <v>45500</v>
      </c>
      <c r="N180" s="53">
        <f t="shared" si="11"/>
        <v>5</v>
      </c>
      <c r="O180" s="51">
        <v>1200</v>
      </c>
      <c r="P180" s="51"/>
      <c r="Q180" s="51">
        <v>1200</v>
      </c>
      <c r="R180" s="51"/>
      <c r="S180" s="51"/>
      <c r="T180" s="65"/>
      <c r="U180" s="65"/>
      <c r="V180" s="65"/>
      <c r="W180" s="51"/>
      <c r="X180" s="66" t="s">
        <v>383</v>
      </c>
    </row>
    <row r="181" hidden="1" ht="27.75" customHeight="1" s="32" customFormat="1">
      <c r="A181" s="37"/>
      <c r="B181" s="31" t="s">
        <v>288</v>
      </c>
      <c r="C181" s="59" t="s">
        <v>384</v>
      </c>
      <c r="D181" s="57" t="s">
        <v>340</v>
      </c>
      <c r="E181" s="57">
        <v>45496</v>
      </c>
      <c r="F181" s="38" t="str">
        <f>IF(C181&lt;&gt;"",VLOOKUP($C181,Carpetas!$C$5:$L$2060,2,FALSE),"")</f>
        <v>ARC002</v>
      </c>
      <c r="G181" s="38" t="s">
        <v>385</v>
      </c>
      <c r="H181" s="44">
        <f>IF(C181&lt;&gt;"",VLOOKUP($C181,Carpetas!$C$5:$L$2060,9,FALSE),"")</f>
        <v>1497566</v>
      </c>
      <c r="I181" s="51" t="str">
        <f>IF(C181&lt;&gt;"",VLOOKUP($C181,Carpetas!$C$5:$L$2060,5,FALSE),"")</f>
        <v>Teske</v>
      </c>
      <c r="J181" s="51"/>
      <c r="K181" s="50">
        <v>45499</v>
      </c>
      <c r="L181" s="39" t="str">
        <f>VLOOKUP($C181,Carpetas!$C$5:$L$2060,4,FALSE)</f>
        <v>Fray Bentos</v>
      </c>
      <c r="M181" s="55">
        <f t="shared" si="13"/>
        <v>45500</v>
      </c>
      <c r="N181" s="53">
        <f t="shared" si="11"/>
        <v>4</v>
      </c>
      <c r="O181" s="51">
        <v>1400</v>
      </c>
      <c r="P181" s="51"/>
      <c r="Q181" s="51">
        <v>1400</v>
      </c>
      <c r="R181" s="51"/>
      <c r="S181" s="51"/>
      <c r="T181" s="65"/>
      <c r="U181" s="65"/>
      <c r="V181" s="65"/>
      <c r="W181" s="51"/>
      <c r="X181" s="66" t="s">
        <v>386</v>
      </c>
    </row>
    <row r="182" hidden="1" ht="27.75" customHeight="1" s="32" customFormat="1">
      <c r="A182" s="37"/>
      <c r="B182" s="31" t="s">
        <v>288</v>
      </c>
      <c r="C182" s="59" t="s">
        <v>387</v>
      </c>
      <c r="D182" s="57" t="s">
        <v>340</v>
      </c>
      <c r="E182" s="57">
        <v>45496</v>
      </c>
      <c r="F182" s="38" t="str">
        <f>IF(C182&lt;&gt;"",VLOOKUP($C182,Carpetas!$C$5:$L$2060,2,FALSE),"")</f>
        <v>ARC003</v>
      </c>
      <c r="G182" s="38" t="s">
        <v>385</v>
      </c>
      <c r="H182" s="44">
        <f>IF(C182&lt;&gt;"",VLOOKUP($C182,Carpetas!$C$5:$L$2060,9,FALSE),"")</f>
        <v>1497567</v>
      </c>
      <c r="I182" s="51" t="str">
        <f>IF(C182&lt;&gt;"",VLOOKUP($C182,Carpetas!$C$5:$L$2060,5,FALSE),"")</f>
        <v>Teske</v>
      </c>
      <c r="J182" s="51"/>
      <c r="K182" s="50">
        <v>45499</v>
      </c>
      <c r="L182" s="39" t="str">
        <f>VLOOKUP($C182,Carpetas!$C$5:$L$2060,4,FALSE)</f>
        <v>Fray Bentos</v>
      </c>
      <c r="M182" s="55">
        <f t="shared" si="13"/>
        <v>45500</v>
      </c>
      <c r="N182" s="53">
        <f t="shared" si="11"/>
        <v>4</v>
      </c>
      <c r="O182" s="51">
        <v>1400</v>
      </c>
      <c r="P182" s="51"/>
      <c r="Q182" s="51">
        <v>1400</v>
      </c>
      <c r="R182" s="51"/>
      <c r="S182" s="51"/>
      <c r="T182" s="65"/>
      <c r="U182" s="65"/>
      <c r="V182" s="65"/>
      <c r="W182" s="51"/>
      <c r="X182" s="66" t="s">
        <v>386</v>
      </c>
    </row>
    <row r="183" hidden="1" ht="27.75" customHeight="1" s="32" customFormat="1">
      <c r="A183" s="37"/>
      <c r="B183" s="31" t="s">
        <v>288</v>
      </c>
      <c r="C183" s="59" t="s">
        <v>388</v>
      </c>
      <c r="D183" s="57" t="s">
        <v>363</v>
      </c>
      <c r="E183" s="57">
        <v>45471</v>
      </c>
      <c r="F183" s="38" t="str">
        <f>IF(C183&lt;&gt;"",VLOOKUP($C183,Carpetas!$C$5:$L$2060,2,FALSE),"")</f>
        <v>COB002</v>
      </c>
      <c r="G183" s="38" t="s">
        <v>267</v>
      </c>
      <c r="H183" s="44">
        <f>IF(C183&lt;&gt;"",VLOOKUP($C183,Carpetas!$C$5:$L$2060,9,FALSE),"")</f>
        <v>0</v>
      </c>
      <c r="I183" s="51" t="str">
        <f>IF(C183&lt;&gt;"",VLOOKUP($C183,Carpetas!$C$5:$L$2060,5,FALSE),"")</f>
        <v>Andino</v>
      </c>
      <c r="J183" s="51"/>
      <c r="K183" s="50">
        <v>45499</v>
      </c>
      <c r="L183" s="39" t="str">
        <f>VLOOKUP($C183,Carpetas!$C$5:$L$2060,4,FALSE)</f>
        <v>Fray Bentos</v>
      </c>
      <c r="M183" s="55">
        <f t="shared" si="13"/>
        <v>45500</v>
      </c>
      <c r="N183" s="53">
        <f t="shared" si="11"/>
        <v>29</v>
      </c>
      <c r="O183" s="51">
        <v>1080</v>
      </c>
      <c r="P183" s="51"/>
      <c r="Q183" s="51">
        <v>1080</v>
      </c>
      <c r="R183" s="51"/>
      <c r="S183" s="51"/>
      <c r="T183" s="65"/>
      <c r="U183" s="65"/>
      <c r="V183" s="65" t="s">
        <v>268</v>
      </c>
      <c r="W183" s="51" t="s">
        <v>389</v>
      </c>
      <c r="X183" s="66" t="s">
        <v>390</v>
      </c>
    </row>
    <row r="184" hidden="1" ht="27.75" customHeight="1" s="32" customFormat="1">
      <c r="A184" s="37"/>
      <c r="B184" s="31" t="s">
        <v>288</v>
      </c>
      <c r="C184" s="59" t="s">
        <v>391</v>
      </c>
      <c r="D184" s="57" t="s">
        <v>310</v>
      </c>
      <c r="E184" s="57">
        <v>45499</v>
      </c>
      <c r="F184" s="38" t="str">
        <f>IF(C184&lt;&gt;"",VLOOKUP($C184,Carpetas!$C$5:$L$2060,2,FALSE),"")</f>
        <v>PEA007</v>
      </c>
      <c r="G184" s="38" t="s">
        <v>216</v>
      </c>
      <c r="H184" s="44">
        <f>IF(C184&lt;&gt;"",VLOOKUP($C184,Carpetas!$C$5:$L$2060,9,FALSE),"")</f>
        <v>0</v>
      </c>
      <c r="I184" s="51" t="str">
        <f>IF(C184&lt;&gt;"",VLOOKUP($C184,Carpetas!$C$5:$L$2060,5,FALSE),"")</f>
        <v>Ciatran</v>
      </c>
      <c r="J184" s="51"/>
      <c r="K184" s="50">
        <v>45499</v>
      </c>
      <c r="L184" s="39" t="str">
        <f>VLOOKUP($C184,Carpetas!$C$5:$L$2060,4,FALSE)</f>
        <v>Carrasco</v>
      </c>
      <c r="M184" s="55">
        <f t="shared" si="13"/>
        <v>45500</v>
      </c>
      <c r="N184" s="53">
        <f t="shared" si="11"/>
        <v>1</v>
      </c>
      <c r="O184" s="51">
        <v>504</v>
      </c>
      <c r="P184" s="51"/>
      <c r="Q184" s="51">
        <v>504</v>
      </c>
      <c r="R184" s="51"/>
      <c r="S184" s="51"/>
      <c r="T184" s="65"/>
      <c r="U184" s="65"/>
      <c r="V184" s="65"/>
      <c r="W184" s="51" t="s">
        <v>392</v>
      </c>
      <c r="X184" s="66"/>
    </row>
    <row r="185" hidden="1" ht="27.75" customHeight="1" s="32" customFormat="1">
      <c r="A185" s="37"/>
      <c r="B185" s="31" t="s">
        <v>288</v>
      </c>
      <c r="C185" s="59" t="s">
        <v>393</v>
      </c>
      <c r="D185" s="57" t="s">
        <v>340</v>
      </c>
      <c r="E185" s="57">
        <v>45497</v>
      </c>
      <c r="F185" s="38" t="str">
        <f>IF(C185&lt;&gt;"",VLOOKUP($C185,Carpetas!$C$5:$L$2060,2,FALSE),"")</f>
        <v>CLC007</v>
      </c>
      <c r="G185" s="38" t="s">
        <v>35</v>
      </c>
      <c r="H185" s="44">
        <f>IF(C185&lt;&gt;"",VLOOKUP($C185,Carpetas!$C$5:$L$2060,9,FALSE),"")</f>
        <v>0</v>
      </c>
      <c r="I185" s="51" t="s">
        <v>394</v>
      </c>
      <c r="J185" s="51"/>
      <c r="K185" s="50">
        <v>45502</v>
      </c>
      <c r="L185" s="39" t="str">
        <f>VLOOKUP($C185,Carpetas!$C$5:$L$2060,4,FALSE)</f>
        <v>Fray Bentos</v>
      </c>
      <c r="M185" s="55">
        <f t="shared" si="13"/>
        <v>45503</v>
      </c>
      <c r="N185" s="53">
        <f t="shared" si="11"/>
        <v>6</v>
      </c>
      <c r="O185" s="51">
        <v>1250</v>
      </c>
      <c r="P185" s="51"/>
      <c r="Q185" s="51"/>
      <c r="R185" s="51"/>
      <c r="S185" s="51"/>
      <c r="T185" s="65"/>
      <c r="U185" s="65"/>
      <c r="V185" s="65"/>
      <c r="W185" s="51"/>
      <c r="X185" s="66"/>
    </row>
    <row r="186" hidden="1" ht="27.75" customHeight="1" s="32" customFormat="1">
      <c r="A186" s="37"/>
      <c r="B186" s="31" t="s">
        <v>253</v>
      </c>
      <c r="C186" s="59" t="s">
        <v>395</v>
      </c>
      <c r="D186" s="57" t="s">
        <v>340</v>
      </c>
      <c r="E186" s="57">
        <v>45497</v>
      </c>
      <c r="F186" s="38" t="str">
        <f>IF(C186&lt;&gt;"",VLOOKUP($C186,Carpetas!$C$5:$L$2060,2,FALSE),"")</f>
        <v>ARC005</v>
      </c>
      <c r="G186" s="38" t="s">
        <v>385</v>
      </c>
      <c r="H186" s="44">
        <f>IF(C186&lt;&gt;"",VLOOKUP($C186,Carpetas!$C$5:$L$2060,9,FALSE),"")</f>
        <v>0</v>
      </c>
      <c r="I186" s="51" t="str">
        <f>IF(C186&lt;&gt;"",VLOOKUP($C186,Carpetas!$C$5:$L$2060,5,FALSE),"")</f>
        <v>Teske</v>
      </c>
      <c r="J186" s="51"/>
      <c r="K186" s="50">
        <v>45502</v>
      </c>
      <c r="L186" s="39" t="str">
        <f>VLOOKUP($C186,Carpetas!$C$5:$L$2060,4,FALSE)</f>
        <v>Fray Bentos</v>
      </c>
      <c r="M186" s="55">
        <f t="shared" si="13"/>
        <v>45503</v>
      </c>
      <c r="N186" s="53">
        <f t="shared" si="11"/>
        <v>6</v>
      </c>
      <c r="O186" s="51">
        <v>1400</v>
      </c>
      <c r="P186" s="51"/>
      <c r="Q186" s="51">
        <v>1400</v>
      </c>
      <c r="R186" s="51"/>
      <c r="S186" s="51"/>
      <c r="T186" s="65"/>
      <c r="U186" s="65"/>
      <c r="V186" s="65" t="s">
        <v>341</v>
      </c>
      <c r="W186" s="51" t="s">
        <v>396</v>
      </c>
      <c r="X186" s="66" t="s">
        <v>397</v>
      </c>
    </row>
    <row r="187" hidden="1" ht="27.75" customHeight="1" s="32" customFormat="1">
      <c r="A187" s="37"/>
      <c r="B187" s="31" t="s">
        <v>253</v>
      </c>
      <c r="C187" s="59" t="s">
        <v>398</v>
      </c>
      <c r="D187" s="57" t="s">
        <v>340</v>
      </c>
      <c r="E187" s="57">
        <v>45497</v>
      </c>
      <c r="F187" s="38" t="str">
        <f>IF(C187&lt;&gt;"",VLOOKUP($C187,Carpetas!$C$5:$L$2060,2,FALSE),"")</f>
        <v>ARC004</v>
      </c>
      <c r="G187" s="38" t="s">
        <v>385</v>
      </c>
      <c r="H187" s="44">
        <f>IF(C187&lt;&gt;"",VLOOKUP($C187,Carpetas!$C$5:$L$2060,9,FALSE),"")</f>
        <v>0</v>
      </c>
      <c r="I187" s="51" t="str">
        <f>IF(C187&lt;&gt;"",VLOOKUP($C187,Carpetas!$C$5:$L$2060,5,FALSE),"")</f>
        <v>Teske</v>
      </c>
      <c r="J187" s="51"/>
      <c r="K187" s="50">
        <v>45502</v>
      </c>
      <c r="L187" s="39" t="str">
        <f>VLOOKUP($C187,Carpetas!$C$5:$L$2060,4,FALSE)</f>
        <v>Fray Bentos</v>
      </c>
      <c r="M187" s="55">
        <f t="shared" si="13"/>
        <v>45503</v>
      </c>
      <c r="N187" s="53">
        <f t="shared" si="11"/>
        <v>6</v>
      </c>
      <c r="O187" s="51">
        <v>1400</v>
      </c>
      <c r="P187" s="51"/>
      <c r="Q187" s="51">
        <v>1400</v>
      </c>
      <c r="R187" s="51"/>
      <c r="S187" s="51"/>
      <c r="T187" s="65"/>
      <c r="U187" s="65"/>
      <c r="V187" s="65" t="s">
        <v>341</v>
      </c>
      <c r="W187" s="51" t="s">
        <v>399</v>
      </c>
      <c r="X187" s="66" t="s">
        <v>397</v>
      </c>
    </row>
    <row r="188" hidden="1" ht="27.75" customHeight="1" s="32" customFormat="1">
      <c r="A188" s="37"/>
      <c r="B188" s="31" t="s">
        <v>28</v>
      </c>
      <c r="C188" s="59" t="s">
        <v>29</v>
      </c>
      <c r="D188" s="57" t="s">
        <v>340</v>
      </c>
      <c r="E188" s="57">
        <v>45499</v>
      </c>
      <c r="F188" s="38" t="str">
        <f>IF(C188&lt;&gt;"",VLOOKUP($C188,Carpetas!$C$5:$L$2060,2,FALSE),"")</f>
        <v>xx</v>
      </c>
      <c r="G188" s="38" t="s">
        <v>35</v>
      </c>
      <c r="H188" s="44" t="str">
        <f>IF(C188&lt;&gt;"",VLOOKUP($C188,Carpetas!$C$5:$L$2060,9,FALSE),"")</f>
        <v>xx</v>
      </c>
      <c r="I188" s="51" t="str">
        <f>IF(C188&lt;&gt;"",VLOOKUP($C188,Carpetas!$C$5:$L$2060,5,FALSE),"")</f>
        <v>xx</v>
      </c>
      <c r="J188" s="51"/>
      <c r="K188" s="50">
        <f>E188+3</f>
        <v>45502</v>
      </c>
      <c r="L188" s="39" t="str">
        <f>VLOOKUP($C188,Carpetas!$C$5:$L$2060,4,FALSE)</f>
        <v>xx</v>
      </c>
      <c r="M188" s="55">
        <f t="shared" si="13"/>
        <v>45503</v>
      </c>
      <c r="N188" s="53">
        <f t="shared" si="11"/>
        <v>4</v>
      </c>
      <c r="O188" s="51">
        <v>1250</v>
      </c>
      <c r="P188" s="51"/>
      <c r="Q188" s="51"/>
      <c r="R188" s="51"/>
      <c r="S188" s="51"/>
      <c r="T188" s="65"/>
      <c r="U188" s="65"/>
      <c r="V188" s="65"/>
      <c r="W188" s="51"/>
      <c r="X188" s="66"/>
    </row>
    <row r="189" hidden="1" ht="27.75" customHeight="1" s="32" customFormat="1">
      <c r="A189" s="37"/>
      <c r="B189" s="31" t="s">
        <v>288</v>
      </c>
      <c r="C189" s="59" t="s">
        <v>400</v>
      </c>
      <c r="D189" s="57" t="s">
        <v>340</v>
      </c>
      <c r="E189" s="57">
        <v>45498</v>
      </c>
      <c r="F189" s="38" t="str">
        <f>IF(C189&lt;&gt;"",VLOOKUP($C189,Carpetas!$C$5:$L$2060,2,FALSE),"")</f>
        <v>CLC009</v>
      </c>
      <c r="G189" s="38" t="s">
        <v>35</v>
      </c>
      <c r="H189" s="44">
        <f>IF(C189&lt;&gt;"",VLOOKUP($C189,Carpetas!$C$5:$L$2060,9,FALSE),"")</f>
        <v>0</v>
      </c>
      <c r="I189" s="51" t="s">
        <v>401</v>
      </c>
      <c r="J189" s="51"/>
      <c r="K189" s="50">
        <v>45502</v>
      </c>
      <c r="L189" s="39" t="str">
        <f>VLOOKUP($C189,Carpetas!$C$5:$L$2060,4,FALSE)</f>
        <v>Fray Bentos</v>
      </c>
      <c r="M189" s="55">
        <f t="shared" si="13"/>
        <v>45503</v>
      </c>
      <c r="N189" s="53">
        <f t="shared" si="11"/>
        <v>5</v>
      </c>
      <c r="O189" s="51">
        <v>1250</v>
      </c>
      <c r="P189" s="51"/>
      <c r="Q189" s="51"/>
      <c r="R189" s="51"/>
      <c r="S189" s="51"/>
      <c r="T189" s="65"/>
      <c r="U189" s="65"/>
      <c r="V189" s="65"/>
      <c r="W189" s="51"/>
      <c r="X189" s="66"/>
    </row>
    <row r="190" hidden="1" ht="27.75" customHeight="1" s="32" customFormat="1">
      <c r="A190" s="37"/>
      <c r="B190" s="31" t="s">
        <v>288</v>
      </c>
      <c r="C190" s="59" t="s">
        <v>402</v>
      </c>
      <c r="D190" s="57" t="s">
        <v>310</v>
      </c>
      <c r="E190" s="57">
        <v>45500</v>
      </c>
      <c r="F190" s="38" t="str">
        <f>IF(C190&lt;&gt;"",VLOOKUP($C190,Carpetas!$C$5:$L$2060,2,FALSE),"")</f>
        <v>PEA008</v>
      </c>
      <c r="G190" s="38" t="s">
        <v>216</v>
      </c>
      <c r="H190" s="44">
        <f>IF(C190&lt;&gt;"",VLOOKUP($C190,Carpetas!$C$5:$L$2060,9,FALSE),"")</f>
        <v>0</v>
      </c>
      <c r="I190" s="51" t="str">
        <f>IF(C190&lt;&gt;"",VLOOKUP($C190,Carpetas!$C$5:$L$2060,5,FALSE),"")</f>
        <v>Ciatran</v>
      </c>
      <c r="J190" s="51"/>
      <c r="K190" s="50">
        <v>45502</v>
      </c>
      <c r="L190" s="39" t="str">
        <f>VLOOKUP($C190,Carpetas!$C$5:$L$2060,4,FALSE)</f>
        <v>Carrasco</v>
      </c>
      <c r="M190" s="55">
        <f t="shared" si="13"/>
        <v>45503</v>
      </c>
      <c r="N190" s="53">
        <f t="shared" si="11"/>
        <v>3</v>
      </c>
      <c r="O190" s="51">
        <v>504</v>
      </c>
      <c r="P190" s="51"/>
      <c r="Q190" s="51"/>
      <c r="R190" s="51"/>
      <c r="S190" s="51"/>
      <c r="T190" s="65"/>
      <c r="U190" s="65"/>
      <c r="V190" s="65"/>
      <c r="W190" s="51"/>
      <c r="X190" s="66"/>
    </row>
    <row r="191" hidden="1" ht="27.75" customHeight="1" s="32" customFormat="1">
      <c r="A191" s="37"/>
      <c r="B191" s="31" t="s">
        <v>288</v>
      </c>
      <c r="C191" s="59" t="s">
        <v>403</v>
      </c>
      <c r="D191" s="57" t="s">
        <v>340</v>
      </c>
      <c r="E191" s="57">
        <v>45499</v>
      </c>
      <c r="F191" s="38" t="str">
        <f>IF(C191&lt;&gt;"",VLOOKUP($C191,Carpetas!$C$5:$L$2060,2,FALSE),"")</f>
        <v>CLC010</v>
      </c>
      <c r="G191" s="38" t="s">
        <v>35</v>
      </c>
      <c r="H191" s="44">
        <f>IF(C191&lt;&gt;"",VLOOKUP($C191,Carpetas!$C$5:$L$2060,9,FALSE),"")</f>
        <v>0</v>
      </c>
      <c r="I191" s="51" t="s">
        <v>394</v>
      </c>
      <c r="J191" s="51"/>
      <c r="K191" s="50">
        <v>45502</v>
      </c>
      <c r="L191" s="39" t="str">
        <f>VLOOKUP($C191,Carpetas!$C$5:$L$2060,4,FALSE)</f>
        <v>Fray Bentos</v>
      </c>
      <c r="M191" s="55">
        <f t="shared" si="13"/>
        <v>45503</v>
      </c>
      <c r="N191" s="53">
        <f t="shared" si="11"/>
        <v>4</v>
      </c>
      <c r="O191" s="51">
        <v>1250</v>
      </c>
      <c r="P191" s="51"/>
      <c r="Q191" s="51"/>
      <c r="R191" s="51"/>
      <c r="S191" s="51"/>
      <c r="T191" s="65"/>
      <c r="U191" s="65"/>
      <c r="V191" s="65"/>
      <c r="W191" s="51"/>
      <c r="X191" s="66"/>
    </row>
    <row r="192" hidden="1" ht="27.75" customHeight="1" s="32" customFormat="1">
      <c r="A192" s="37"/>
      <c r="B192" s="31" t="s">
        <v>288</v>
      </c>
      <c r="C192" s="59" t="s">
        <v>404</v>
      </c>
      <c r="D192" s="57" t="s">
        <v>340</v>
      </c>
      <c r="E192" s="57">
        <v>45499</v>
      </c>
      <c r="F192" s="38" t="str">
        <f>IF(C192&lt;&gt;"",VLOOKUP($C192,Carpetas!$C$5:$L$2060,2,FALSE),"")</f>
        <v>ARC006</v>
      </c>
      <c r="G192" s="38" t="s">
        <v>385</v>
      </c>
      <c r="H192" s="44">
        <f>IF(C192&lt;&gt;"",VLOOKUP($C192,Carpetas!$C$5:$L$2060,9,FALSE),"")</f>
        <v>1497570</v>
      </c>
      <c r="I192" s="51" t="str">
        <f>IF(C192&lt;&gt;"",VLOOKUP($C192,Carpetas!$C$5:$L$2060,5,FALSE),"")</f>
        <v>Teske</v>
      </c>
      <c r="J192" s="51"/>
      <c r="K192" s="50">
        <v>45502</v>
      </c>
      <c r="L192" s="39" t="str">
        <f>VLOOKUP($C192,Carpetas!$C$5:$L$2060,4,FALSE)</f>
        <v>Fray Bentos</v>
      </c>
      <c r="M192" s="55">
        <f t="shared" si="13"/>
        <v>45503</v>
      </c>
      <c r="N192" s="53">
        <f t="shared" si="11"/>
        <v>4</v>
      </c>
      <c r="O192" s="51">
        <v>1400</v>
      </c>
      <c r="P192" s="51"/>
      <c r="Q192" s="51"/>
      <c r="R192" s="51"/>
      <c r="S192" s="51"/>
      <c r="T192" s="65"/>
      <c r="U192" s="65"/>
      <c r="V192" s="65"/>
      <c r="W192" s="51"/>
      <c r="X192" s="66"/>
    </row>
    <row r="193" hidden="1" ht="27.75" customHeight="1" s="32" customFormat="1">
      <c r="A193" s="37"/>
      <c r="B193" s="31" t="s">
        <v>288</v>
      </c>
      <c r="C193" s="87" t="s">
        <v>405</v>
      </c>
      <c r="D193" s="57" t="s">
        <v>340</v>
      </c>
      <c r="E193" s="57">
        <v>45499</v>
      </c>
      <c r="F193" s="38" t="str">
        <f>IF(C193&lt;&gt;"",VLOOKUP($C193,Carpetas!$C$5:$L$2060,2,FALSE),"")</f>
        <v>ARC007</v>
      </c>
      <c r="G193" s="38" t="s">
        <v>385</v>
      </c>
      <c r="H193" s="44">
        <f>IF(C193&lt;&gt;"",VLOOKUP($C193,Carpetas!$C$5:$L$2060,9,FALSE),"")</f>
        <v>1497572</v>
      </c>
      <c r="I193" s="51" t="str">
        <f>IF(C193&lt;&gt;"",VLOOKUP($C193,Carpetas!$C$5:$L$2060,5,FALSE),"")</f>
        <v>Teske</v>
      </c>
      <c r="J193" s="51"/>
      <c r="K193" s="50">
        <v>45502</v>
      </c>
      <c r="L193" s="39" t="str">
        <f>VLOOKUP($C193,Carpetas!$C$5:$L$2060,4,FALSE)</f>
        <v>Fray Bentos</v>
      </c>
      <c r="M193" s="55">
        <f t="shared" si="13"/>
        <v>45503</v>
      </c>
      <c r="N193" s="53">
        <f t="shared" si="11"/>
        <v>4</v>
      </c>
      <c r="O193" s="51">
        <v>1400</v>
      </c>
      <c r="P193" s="51"/>
      <c r="Q193" s="51"/>
      <c r="R193" s="51"/>
      <c r="S193" s="51"/>
      <c r="T193" s="65"/>
      <c r="U193" s="65"/>
      <c r="V193" s="65"/>
      <c r="W193" s="51"/>
      <c r="X193" s="66"/>
    </row>
    <row r="194" hidden="1" ht="27.75" customHeight="1" s="32" customFormat="1">
      <c r="A194" s="37"/>
      <c r="B194" s="31" t="s">
        <v>288</v>
      </c>
      <c r="C194" s="87" t="s">
        <v>406</v>
      </c>
      <c r="D194" s="57" t="s">
        <v>340</v>
      </c>
      <c r="E194" s="57">
        <v>45499</v>
      </c>
      <c r="F194" s="38" t="str">
        <f>IF(C194&lt;&gt;"",VLOOKUP($C194,Carpetas!$C$5:$L$2060,2,FALSE),"")</f>
        <v>ARC008</v>
      </c>
      <c r="G194" s="38" t="s">
        <v>385</v>
      </c>
      <c r="H194" s="44">
        <f>IF(C194&lt;&gt;"",VLOOKUP($C194,Carpetas!$C$5:$L$2060,9,FALSE),"")</f>
        <v>1497573</v>
      </c>
      <c r="I194" s="51" t="str">
        <f>IF(C194&lt;&gt;"",VLOOKUP($C194,Carpetas!$C$5:$L$2060,5,FALSE),"")</f>
        <v>Teske</v>
      </c>
      <c r="J194" s="51"/>
      <c r="K194" s="50">
        <v>45502</v>
      </c>
      <c r="L194" s="39" t="str">
        <f>VLOOKUP($C194,Carpetas!$C$5:$L$2060,4,FALSE)</f>
        <v>Fray Bentos</v>
      </c>
      <c r="M194" s="55">
        <f t="shared" si="13"/>
        <v>45503</v>
      </c>
      <c r="N194" s="53">
        <f t="shared" si="11"/>
        <v>4</v>
      </c>
      <c r="O194" s="51">
        <v>1400</v>
      </c>
      <c r="P194" s="51"/>
      <c r="Q194" s="51"/>
      <c r="R194" s="51"/>
      <c r="S194" s="51"/>
      <c r="T194" s="65"/>
      <c r="U194" s="65"/>
      <c r="V194" s="65"/>
      <c r="W194" s="51"/>
      <c r="X194" s="66"/>
    </row>
    <row r="195" hidden="1" ht="27.75" customHeight="1" s="32" customFormat="1">
      <c r="A195" s="37"/>
      <c r="B195" s="31" t="s">
        <v>288</v>
      </c>
      <c r="C195" s="59" t="s">
        <v>407</v>
      </c>
      <c r="D195" s="57" t="s">
        <v>340</v>
      </c>
      <c r="E195" s="57">
        <v>45500</v>
      </c>
      <c r="F195" s="38" t="str">
        <f>IF(C195&lt;&gt;"",VLOOKUP($C195,Carpetas!$C$5:$L$2060,2,FALSE),"")</f>
        <v>ARC009</v>
      </c>
      <c r="G195" s="38" t="s">
        <v>385</v>
      </c>
      <c r="H195" s="44">
        <f>IF(C195&lt;&gt;"",VLOOKUP($C195,Carpetas!$C$5:$L$2060,9,FALSE),"")</f>
        <v>1497574</v>
      </c>
      <c r="I195" s="51" t="str">
        <f>IF(C195&lt;&gt;"",VLOOKUP($C195,Carpetas!$C$5:$L$2060,5,FALSE),"")</f>
        <v>Teske</v>
      </c>
      <c r="J195" s="51"/>
      <c r="K195" s="50">
        <v>45502</v>
      </c>
      <c r="L195" s="39" t="str">
        <f>VLOOKUP($C195,Carpetas!$C$5:$L$2060,4,FALSE)</f>
        <v>Fray Bentos</v>
      </c>
      <c r="M195" s="55">
        <f t="shared" si="13"/>
        <v>45503</v>
      </c>
      <c r="N195" s="53">
        <f t="shared" si="11"/>
        <v>3</v>
      </c>
      <c r="O195" s="51">
        <v>1400</v>
      </c>
      <c r="P195" s="51"/>
      <c r="Q195" s="51"/>
      <c r="R195" s="51"/>
      <c r="S195" s="51"/>
      <c r="T195" s="65"/>
      <c r="U195" s="65"/>
      <c r="V195" s="65"/>
      <c r="W195" s="51"/>
      <c r="X195" s="66"/>
    </row>
    <row r="196" hidden="1" ht="14.25" customHeight="1" s="32" customFormat="1">
      <c r="A196" s="37"/>
      <c r="B196" s="31" t="s">
        <v>288</v>
      </c>
      <c r="C196" s="59" t="s">
        <v>408</v>
      </c>
      <c r="D196" s="57" t="s">
        <v>340</v>
      </c>
      <c r="E196" s="57">
        <v>45500</v>
      </c>
      <c r="F196" s="38" t="str">
        <f>IF(C196&lt;&gt;"",VLOOKUP($C196,Carpetas!$C$5:$L$2060,2,FALSE),"")</f>
        <v>ARC010</v>
      </c>
      <c r="G196" s="38" t="s">
        <v>385</v>
      </c>
      <c r="H196" s="44">
        <f>IF(C196&lt;&gt;"",VLOOKUP($C196,Carpetas!$C$5:$L$2060,9,FALSE),"")</f>
        <v>1497575</v>
      </c>
      <c r="I196" s="51" t="str">
        <f>IF(C196&lt;&gt;"",VLOOKUP($C196,Carpetas!$C$5:$L$2060,5,FALSE),"")</f>
        <v>Teske</v>
      </c>
      <c r="J196" s="51"/>
      <c r="K196" s="50">
        <v>45502</v>
      </c>
      <c r="L196" s="39" t="str">
        <f>VLOOKUP($C196,Carpetas!$C$5:$L$2060,4,FALSE)</f>
        <v>Fray Bentos</v>
      </c>
      <c r="M196" s="55">
        <f t="shared" si="13"/>
        <v>45503</v>
      </c>
      <c r="N196" s="53">
        <f t="shared" si="11"/>
        <v>3</v>
      </c>
      <c r="O196" s="51">
        <v>1400</v>
      </c>
      <c r="P196" s="51"/>
      <c r="Q196" s="51"/>
      <c r="R196" s="51"/>
      <c r="S196" s="51"/>
      <c r="T196" s="65"/>
      <c r="U196" s="65"/>
      <c r="V196" s="65"/>
      <c r="W196" s="51"/>
      <c r="X196" s="66"/>
    </row>
    <row r="197" hidden="1" ht="14.25" customHeight="1" s="32" customFormat="1">
      <c r="A197" s="37"/>
      <c r="B197" s="31" t="s">
        <v>32</v>
      </c>
      <c r="C197" s="59" t="s">
        <v>409</v>
      </c>
      <c r="D197" s="57" t="s">
        <v>340</v>
      </c>
      <c r="E197" s="57">
        <v>45497</v>
      </c>
      <c r="F197" s="38" t="str">
        <f>IF(C197&lt;&gt;"",VLOOKUP($C197,Carpetas!$C$5:$L$2060,2,FALSE),"")</f>
        <v>CLC006</v>
      </c>
      <c r="G197" s="38" t="s">
        <v>35</v>
      </c>
      <c r="H197" s="44">
        <f>IF(C197&lt;&gt;"",VLOOKUP($C197,Carpetas!$C$5:$L$2060,9,FALSE),"")</f>
        <v>0</v>
      </c>
      <c r="I197" s="51" t="s">
        <v>410</v>
      </c>
      <c r="J197" s="51"/>
      <c r="K197" s="50">
        <v>45502</v>
      </c>
      <c r="L197" s="39" t="str">
        <f>VLOOKUP($C197,Carpetas!$C$5:$L$2060,4,FALSE)</f>
        <v>Fray Bentos</v>
      </c>
      <c r="M197" s="55">
        <f>K197+1+1</f>
        <v>45504</v>
      </c>
      <c r="N197" s="53">
        <f t="shared" si="11"/>
        <v>7</v>
      </c>
      <c r="O197" s="51">
        <v>1250</v>
      </c>
      <c r="P197" s="51"/>
      <c r="Q197" s="51"/>
      <c r="R197" s="51"/>
      <c r="S197" s="51"/>
      <c r="T197" s="65"/>
      <c r="U197" s="65"/>
      <c r="V197" s="65"/>
      <c r="W197" s="51"/>
      <c r="X197" s="66"/>
    </row>
    <row r="198" hidden="1" ht="15.75" customHeight="1" s="32" customFormat="1">
      <c r="A198" s="37"/>
      <c r="B198" s="31" t="s">
        <v>32</v>
      </c>
      <c r="C198" s="59" t="s">
        <v>411</v>
      </c>
      <c r="D198" s="57" t="s">
        <v>340</v>
      </c>
      <c r="E198" s="57">
        <v>45498</v>
      </c>
      <c r="F198" s="38" t="str">
        <f>IF(C198&lt;&gt;"",VLOOKUP($C198,Carpetas!$C$5:$L$2060,2,FALSE),"")</f>
        <v>CLC008</v>
      </c>
      <c r="G198" s="38" t="s">
        <v>35</v>
      </c>
      <c r="H198" s="44">
        <f>IF(C198&lt;&gt;"",VLOOKUP($C198,Carpetas!$C$5:$L$2060,9,FALSE),"")</f>
        <v>0</v>
      </c>
      <c r="I198" s="51" t="s">
        <v>412</v>
      </c>
      <c r="J198" s="51"/>
      <c r="K198" s="50">
        <v>45502</v>
      </c>
      <c r="L198" s="39" t="str">
        <f>VLOOKUP($C198,Carpetas!$C$5:$L$2060,4,FALSE)</f>
        <v>Fray Bentos</v>
      </c>
      <c r="M198" s="55">
        <f>K198+1+1</f>
        <v>45504</v>
      </c>
      <c r="N198" s="53">
        <f ref="N198:N261" t="shared" si="14">IF(M198&lt;&gt;"",M198-E198,"-")</f>
        <v>6</v>
      </c>
      <c r="O198" s="51">
        <v>1250</v>
      </c>
      <c r="P198" s="51"/>
      <c r="Q198" s="51"/>
      <c r="R198" s="51"/>
      <c r="S198" s="51"/>
      <c r="T198" s="65"/>
      <c r="U198" s="65"/>
      <c r="V198" s="65"/>
      <c r="W198" s="51"/>
      <c r="X198" s="66"/>
    </row>
    <row r="199" hidden="1" ht="15.75" customHeight="1" s="32" customFormat="1">
      <c r="A199" s="37"/>
      <c r="B199" s="31" t="s">
        <v>253</v>
      </c>
      <c r="C199" s="59" t="s">
        <v>413</v>
      </c>
      <c r="D199" s="57" t="s">
        <v>310</v>
      </c>
      <c r="E199" s="57">
        <v>45501</v>
      </c>
      <c r="F199" s="38" t="str">
        <f>IF(C199&lt;&gt;"",VLOOKUP($C199,Carpetas!$C$5:$L$2060,2,FALSE),"")</f>
        <v>PEA009</v>
      </c>
      <c r="G199" s="38" t="s">
        <v>216</v>
      </c>
      <c r="H199" s="44">
        <f>IF(C199&lt;&gt;"",VLOOKUP($C199,Carpetas!$C$5:$L$2060,9,FALSE),"")</f>
        <v>0</v>
      </c>
      <c r="I199" s="51" t="str">
        <f>IF(C199&lt;&gt;"",VLOOKUP($C199,Carpetas!$C$5:$L$2060,5,FALSE),"")</f>
        <v>Ciatran</v>
      </c>
      <c r="J199" s="51"/>
      <c r="K199" s="50">
        <v>45503</v>
      </c>
      <c r="L199" s="39" t="str">
        <f>VLOOKUP($C199,Carpetas!$C$5:$L$2060,4,FALSE)</f>
        <v>Carrasco</v>
      </c>
      <c r="M199" s="55">
        <f>K199+1</f>
        <v>45504</v>
      </c>
      <c r="N199" s="53">
        <f t="shared" si="14"/>
        <v>3</v>
      </c>
      <c r="O199" s="51">
        <v>504</v>
      </c>
      <c r="P199" s="51"/>
      <c r="Q199" s="51"/>
      <c r="R199" s="51"/>
      <c r="S199" s="51"/>
      <c r="T199" s="65"/>
      <c r="U199" s="65"/>
      <c r="V199" s="65"/>
      <c r="W199" s="51"/>
      <c r="X199" s="66"/>
    </row>
    <row r="200" hidden="1" ht="15.75" customHeight="1" s="32" customFormat="1">
      <c r="A200" s="37"/>
      <c r="B200" s="31" t="s">
        <v>32</v>
      </c>
      <c r="C200" s="59" t="s">
        <v>414</v>
      </c>
      <c r="D200" s="57" t="s">
        <v>30</v>
      </c>
      <c r="E200" s="57">
        <v>45474</v>
      </c>
      <c r="F200" s="38" t="str">
        <f>IF(C200&lt;&gt;"",VLOOKUP($C200,Carpetas!$C$5:$L$2060,2,FALSE),"")</f>
        <v>COB003</v>
      </c>
      <c r="G200" s="38" t="s">
        <v>43</v>
      </c>
      <c r="H200" s="44">
        <f>IF(C200&lt;&gt;"",VLOOKUP($C200,Carpetas!$C$5:$L$2060,9,FALSE),"")</f>
        <v>0</v>
      </c>
      <c r="I200" s="51" t="str">
        <f>IF(C200&lt;&gt;"",VLOOKUP($C200,Carpetas!$C$5:$L$2060,5,FALSE),"")</f>
        <v>Andino</v>
      </c>
      <c r="J200" s="51"/>
      <c r="K200" s="50">
        <v>45503</v>
      </c>
      <c r="L200" s="39" t="str">
        <f>VLOOKUP($C200,Carpetas!$C$5:$L$2060,4,FALSE)</f>
        <v>Fray Bentos</v>
      </c>
      <c r="M200" s="55">
        <f>K200+1</f>
        <v>45504</v>
      </c>
      <c r="N200" s="53">
        <f t="shared" si="14"/>
        <v>30</v>
      </c>
      <c r="O200" s="51">
        <v>1080</v>
      </c>
      <c r="P200" s="51"/>
      <c r="Q200" s="51"/>
      <c r="R200" s="51"/>
      <c r="S200" s="51"/>
      <c r="T200" s="65"/>
      <c r="U200" s="65"/>
      <c r="V200" s="65"/>
      <c r="W200" s="51"/>
      <c r="X200" s="66"/>
    </row>
    <row r="201" hidden="1" ht="15.75" customHeight="1" s="32" customFormat="1">
      <c r="A201" s="37"/>
      <c r="B201" s="31" t="s">
        <v>32</v>
      </c>
      <c r="C201" s="59" t="s">
        <v>415</v>
      </c>
      <c r="D201" s="57" t="s">
        <v>30</v>
      </c>
      <c r="E201" s="57">
        <v>45474</v>
      </c>
      <c r="F201" s="38" t="str">
        <f>IF(C201&lt;&gt;"",VLOOKUP($C201,Carpetas!$C$5:$L$2060,2,FALSE),"")</f>
        <v>ECB035</v>
      </c>
      <c r="G201" s="38" t="s">
        <v>43</v>
      </c>
      <c r="H201" s="44">
        <f>IF(C201&lt;&gt;"",VLOOKUP($C201,Carpetas!$C$5:$L$2060,9,FALSE),"")</f>
        <v>1496154</v>
      </c>
      <c r="I201" s="51" t="str">
        <f>IF(C201&lt;&gt;"",VLOOKUP($C201,Carpetas!$C$5:$L$2060,5,FALSE),"")</f>
        <v>Andino</v>
      </c>
      <c r="J201" s="51"/>
      <c r="K201" s="50">
        <v>45503</v>
      </c>
      <c r="L201" s="39" t="str">
        <f>VLOOKUP($C201,Carpetas!$C$5:$L$2060,4,FALSE)</f>
        <v>Fray Bentos</v>
      </c>
      <c r="M201" s="55">
        <f>K201+1</f>
        <v>45504</v>
      </c>
      <c r="N201" s="53">
        <f t="shared" si="14"/>
        <v>30</v>
      </c>
      <c r="O201" s="51">
        <v>2160</v>
      </c>
      <c r="P201" s="51"/>
      <c r="Q201" s="51"/>
      <c r="R201" s="51"/>
      <c r="S201" s="51"/>
      <c r="T201" s="65"/>
      <c r="U201" s="65"/>
      <c r="V201" s="65"/>
      <c r="W201" s="51"/>
      <c r="X201" s="66"/>
    </row>
    <row r="202" hidden="1" ht="15.75" customHeight="1" s="32" customFormat="1">
      <c r="A202" s="37"/>
      <c r="B202" s="31" t="s">
        <v>253</v>
      </c>
      <c r="C202" s="59" t="s">
        <v>416</v>
      </c>
      <c r="D202" s="57" t="s">
        <v>30</v>
      </c>
      <c r="E202" s="57">
        <v>45474</v>
      </c>
      <c r="F202" s="38" t="str">
        <f>IF(C202&lt;&gt;"",VLOOKUP($C202,Carpetas!$C$5:$L$2060,2,FALSE),"")</f>
        <v>ECE032</v>
      </c>
      <c r="G202" s="38" t="s">
        <v>43</v>
      </c>
      <c r="H202" s="44">
        <f>IF(C202&lt;&gt;"",VLOOKUP($C202,Carpetas!$C$5:$L$2060,9,FALSE),"")</f>
        <v>1496155</v>
      </c>
      <c r="I202" s="51" t="str">
        <f>IF(C202&lt;&gt;"",VLOOKUP($C202,Carpetas!$C$5:$L$2060,5,FALSE),"")</f>
        <v>Andino</v>
      </c>
      <c r="J202" s="51"/>
      <c r="K202" s="50">
        <v>45503</v>
      </c>
      <c r="L202" s="39" t="str">
        <f>VLOOKUP($C202,Carpetas!$C$5:$L$2060,4,FALSE)</f>
        <v>Fray Bentos</v>
      </c>
      <c r="M202" s="55">
        <f>K202+1</f>
        <v>45504</v>
      </c>
      <c r="N202" s="53">
        <f t="shared" si="14"/>
        <v>30</v>
      </c>
      <c r="O202" s="51">
        <v>3240</v>
      </c>
      <c r="P202" s="51"/>
      <c r="Q202" s="51">
        <v>3240</v>
      </c>
      <c r="R202" s="51"/>
      <c r="S202" s="51"/>
      <c r="T202" s="65"/>
      <c r="U202" s="65"/>
      <c r="V202" s="65" t="s">
        <v>417</v>
      </c>
      <c r="W202" s="51" t="s">
        <v>418</v>
      </c>
      <c r="X202" s="66" t="s">
        <v>419</v>
      </c>
    </row>
    <row r="203" hidden="1" ht="27.75" customHeight="1" s="32" customFormat="1">
      <c r="A203" s="37"/>
      <c r="B203" s="31" t="s">
        <v>253</v>
      </c>
      <c r="C203" s="59" t="s">
        <v>420</v>
      </c>
      <c r="D203" s="57" t="s">
        <v>30</v>
      </c>
      <c r="E203" s="57">
        <v>45474</v>
      </c>
      <c r="F203" s="38" t="str">
        <f>IF(C203&lt;&gt;"",VLOOKUP($C203,Carpetas!$C$5:$L$2060,2,FALSE),"")</f>
        <v>ECE033</v>
      </c>
      <c r="G203" s="38" t="s">
        <v>43</v>
      </c>
      <c r="H203" s="44">
        <f>IF(C203&lt;&gt;"",VLOOKUP($C203,Carpetas!$C$5:$L$2060,9,FALSE),"")</f>
        <v>1496456</v>
      </c>
      <c r="I203" s="51" t="str">
        <f>IF(C203&lt;&gt;"",VLOOKUP($C203,Carpetas!$C$5:$L$2060,5,FALSE),"")</f>
        <v>Andino</v>
      </c>
      <c r="J203" s="51"/>
      <c r="K203" s="50">
        <v>45503</v>
      </c>
      <c r="L203" s="39" t="str">
        <f>VLOOKUP($C203,Carpetas!$C$5:$L$2060,4,FALSE)</f>
        <v>Fray Bentos</v>
      </c>
      <c r="M203" s="55">
        <f>K203+1</f>
        <v>45504</v>
      </c>
      <c r="N203" s="53">
        <f t="shared" si="14"/>
        <v>30</v>
      </c>
      <c r="O203" s="51">
        <v>1128</v>
      </c>
      <c r="P203" s="51"/>
      <c r="Q203" s="51">
        <v>1128</v>
      </c>
      <c r="R203" s="51"/>
      <c r="S203" s="51"/>
      <c r="T203" s="65"/>
      <c r="U203" s="65"/>
      <c r="V203" s="65" t="s">
        <v>232</v>
      </c>
      <c r="W203" s="51" t="s">
        <v>110</v>
      </c>
      <c r="X203" s="66" t="s">
        <v>421</v>
      </c>
    </row>
    <row r="204" hidden="1" ht="15.75" customHeight="1" s="32" customFormat="1">
      <c r="A204" s="37"/>
      <c r="B204" s="31" t="s">
        <v>32</v>
      </c>
      <c r="C204" s="59" t="s">
        <v>422</v>
      </c>
      <c r="D204" s="57" t="s">
        <v>310</v>
      </c>
      <c r="E204" s="57">
        <v>45501</v>
      </c>
      <c r="F204" s="38" t="str">
        <f>IF(C204&lt;&gt;"",VLOOKUP($C204,Carpetas!$C$5:$L$2060,2,FALSE),"")</f>
        <v>PEA010</v>
      </c>
      <c r="G204" s="38" t="s">
        <v>216</v>
      </c>
      <c r="H204" s="44">
        <f>IF(C204&lt;&gt;"",VLOOKUP($C204,Carpetas!$C$5:$L$2060,9,FALSE),"")</f>
        <v>0</v>
      </c>
      <c r="I204" s="51" t="str">
        <f>IF(C204&lt;&gt;"",VLOOKUP($C204,Carpetas!$C$5:$L$2060,5,FALSE),"")</f>
        <v>Ciatran</v>
      </c>
      <c r="J204" s="51"/>
      <c r="K204" s="50">
        <v>45503</v>
      </c>
      <c r="L204" s="39" t="str">
        <f>VLOOKUP($C204,Carpetas!$C$5:$L$2060,4,FALSE)</f>
        <v>Carrasco</v>
      </c>
      <c r="M204" s="55">
        <f>K204+1+1</f>
        <v>45505</v>
      </c>
      <c r="N204" s="53">
        <f t="shared" si="14"/>
        <v>4</v>
      </c>
      <c r="O204" s="51">
        <v>504</v>
      </c>
      <c r="P204" s="51"/>
      <c r="Q204" s="51"/>
      <c r="R204" s="51"/>
      <c r="S204" s="51"/>
      <c r="T204" s="65"/>
      <c r="U204" s="65"/>
      <c r="V204" s="65"/>
      <c r="W204" s="51"/>
      <c r="X204" s="66"/>
    </row>
    <row r="205" hidden="1" ht="15.75" customHeight="1" s="32" customFormat="1">
      <c r="A205" s="37"/>
      <c r="B205" s="31" t="s">
        <v>32</v>
      </c>
      <c r="C205" s="59" t="s">
        <v>423</v>
      </c>
      <c r="D205" s="57" t="s">
        <v>42</v>
      </c>
      <c r="E205" s="57">
        <v>45491</v>
      </c>
      <c r="F205" s="38" t="str">
        <f>IF(C205&lt;&gt;"",VLOOKUP($C205,Carpetas!$C$5:$L$2060,2,FALSE),"")</f>
        <v>ECA015</v>
      </c>
      <c r="G205" s="38" t="s">
        <v>43</v>
      </c>
      <c r="H205" s="44">
        <f>IF(C205&lt;&gt;"",VLOOKUP($C205,Carpetas!$C$5:$L$2060,9,FALSE),"")</f>
        <v>1496769</v>
      </c>
      <c r="I205" s="51" t="str">
        <f>IF(C205&lt;&gt;"",VLOOKUP($C205,Carpetas!$C$5:$L$2060,5,FALSE),"")</f>
        <v>Andino</v>
      </c>
      <c r="J205" s="51"/>
      <c r="K205" s="50">
        <v>45506</v>
      </c>
      <c r="L205" s="39" t="str">
        <f>VLOOKUP($C205,Carpetas!$C$5:$L$2060,4,FALSE)</f>
        <v>Fray Bentos</v>
      </c>
      <c r="M205" s="55">
        <f>K205+1</f>
        <v>45507</v>
      </c>
      <c r="N205" s="53">
        <f t="shared" si="14"/>
        <v>16</v>
      </c>
      <c r="O205" s="51">
        <v>1680</v>
      </c>
      <c r="P205" s="51"/>
      <c r="Q205" s="51"/>
      <c r="R205" s="51"/>
      <c r="S205" s="51"/>
      <c r="T205" s="65"/>
      <c r="U205" s="65"/>
      <c r="V205" s="65"/>
      <c r="W205" s="51"/>
      <c r="X205" s="66"/>
    </row>
    <row r="206" hidden="1" ht="15.75" customHeight="1" s="32" customFormat="1">
      <c r="A206" s="37"/>
      <c r="B206" s="31" t="s">
        <v>32</v>
      </c>
      <c r="C206" s="59" t="s">
        <v>424</v>
      </c>
      <c r="D206" s="57" t="s">
        <v>30</v>
      </c>
      <c r="E206" s="57">
        <v>45491</v>
      </c>
      <c r="F206" s="38" t="str">
        <f>IF(C206&lt;&gt;"",VLOOKUP($C206,Carpetas!$C$5:$L$2060,2,FALSE),"")</f>
        <v>ECB036</v>
      </c>
      <c r="G206" s="38" t="s">
        <v>43</v>
      </c>
      <c r="H206" s="44">
        <f>IF(C206&lt;&gt;"",VLOOKUP($C206,Carpetas!$C$5:$L$2060,9,FALSE),"")</f>
        <v>1496761</v>
      </c>
      <c r="I206" s="51" t="str">
        <f>IF(C206&lt;&gt;"",VLOOKUP($C206,Carpetas!$C$5:$L$2060,5,FALSE),"")</f>
        <v>Andino</v>
      </c>
      <c r="J206" s="51"/>
      <c r="K206" s="50">
        <v>45506</v>
      </c>
      <c r="L206" s="39" t="str">
        <f>VLOOKUP($C206,Carpetas!$C$5:$L$2060,4,FALSE)</f>
        <v>Fray Bentos</v>
      </c>
      <c r="M206" s="55">
        <f>K206+1</f>
        <v>45507</v>
      </c>
      <c r="N206" s="53">
        <f t="shared" si="14"/>
        <v>16</v>
      </c>
      <c r="O206" s="51">
        <v>1080</v>
      </c>
      <c r="P206" s="51"/>
      <c r="Q206" s="51"/>
      <c r="R206" s="51"/>
      <c r="S206" s="51"/>
      <c r="T206" s="65"/>
      <c r="U206" s="65"/>
      <c r="V206" s="65" t="s">
        <v>55</v>
      </c>
      <c r="W206" s="51" t="s">
        <v>318</v>
      </c>
      <c r="X206" s="66" t="s">
        <v>425</v>
      </c>
    </row>
    <row r="207" hidden="1" ht="15.75" customHeight="1" s="32" customFormat="1">
      <c r="A207" s="37"/>
      <c r="B207" s="31" t="s">
        <v>32</v>
      </c>
      <c r="C207" s="59" t="s">
        <v>426</v>
      </c>
      <c r="D207" s="57" t="s">
        <v>48</v>
      </c>
      <c r="E207" s="57">
        <v>45480</v>
      </c>
      <c r="F207" s="38" t="str">
        <f>IF(C207&lt;&gt;"",VLOOKUP($C207,Carpetas!$C$5:$L$2060,2,FALSE),"")</f>
        <v>PEP009</v>
      </c>
      <c r="G207" s="38" t="s">
        <v>216</v>
      </c>
      <c r="H207" s="44">
        <f>IF(C207&lt;&gt;"",VLOOKUP($C207,Carpetas!$C$5:$L$2060,9,FALSE),"")</f>
        <v>0</v>
      </c>
      <c r="I207" s="51" t="str">
        <f>IF(C207&lt;&gt;"",VLOOKUP($C207,Carpetas!$C$5:$L$2060,5,FALSE),"")</f>
        <v>Andino</v>
      </c>
      <c r="J207" s="51"/>
      <c r="K207" s="50">
        <v>45506</v>
      </c>
      <c r="L207" s="39" t="str">
        <f>VLOOKUP($C207,Carpetas!$C$5:$L$2060,4,FALSE)</f>
        <v>Fray Bentos</v>
      </c>
      <c r="M207" s="55">
        <v>45507</v>
      </c>
      <c r="N207" s="53">
        <f t="shared" si="14"/>
        <v>27</v>
      </c>
      <c r="O207" s="51">
        <v>1920</v>
      </c>
      <c r="P207" s="51"/>
      <c r="Q207" s="51">
        <v>1920</v>
      </c>
      <c r="R207" s="51"/>
      <c r="S207" s="51"/>
      <c r="T207" s="65"/>
      <c r="U207" s="65"/>
      <c r="V207" s="65" t="s">
        <v>93</v>
      </c>
      <c r="W207" s="51" t="s">
        <v>427</v>
      </c>
      <c r="X207" s="66" t="s">
        <v>428</v>
      </c>
    </row>
    <row r="208" hidden="1" ht="15.75" customHeight="1" s="32" customFormat="1">
      <c r="A208" s="37"/>
      <c r="B208" s="31" t="s">
        <v>32</v>
      </c>
      <c r="C208" s="59" t="s">
        <v>429</v>
      </c>
      <c r="D208" s="57" t="s">
        <v>30</v>
      </c>
      <c r="E208" s="57">
        <v>45491</v>
      </c>
      <c r="F208" s="38" t="str">
        <f>IF(C208&lt;&gt;"",VLOOKUP($C208,Carpetas!$C$5:$L$2060,2,FALSE),"")</f>
        <v>ECE034</v>
      </c>
      <c r="G208" s="38" t="s">
        <v>43</v>
      </c>
      <c r="H208" s="44">
        <f>IF(C208&lt;&gt;"",VLOOKUP($C208,Carpetas!$C$5:$L$2060,9,FALSE),"")</f>
        <v>1496768</v>
      </c>
      <c r="I208" s="51" t="str">
        <f>IF(C208&lt;&gt;"",VLOOKUP($C208,Carpetas!$C$5:$L$2060,5,FALSE),"")</f>
        <v>Andino</v>
      </c>
      <c r="J208" s="51"/>
      <c r="K208" s="50">
        <v>45508</v>
      </c>
      <c r="L208" s="39" t="str">
        <f>VLOOKUP($C208,Carpetas!$C$5:$L$2060,4,FALSE)</f>
        <v>Fray Bentos</v>
      </c>
      <c r="M208" s="55">
        <f ref="M208:M224" t="shared" si="15">K208+1</f>
        <v>45509</v>
      </c>
      <c r="N208" s="53">
        <f t="shared" si="14"/>
        <v>18</v>
      </c>
      <c r="O208" s="51">
        <v>2160</v>
      </c>
      <c r="P208" s="51"/>
      <c r="Q208" s="51"/>
      <c r="R208" s="51"/>
      <c r="S208" s="51"/>
      <c r="T208" s="65"/>
      <c r="U208" s="65"/>
      <c r="V208" s="65"/>
      <c r="W208" s="51"/>
      <c r="X208" s="66"/>
    </row>
    <row r="209" hidden="1" ht="15.75" customHeight="1" s="32" customFormat="1">
      <c r="A209" s="37"/>
      <c r="B209" s="31" t="s">
        <v>32</v>
      </c>
      <c r="C209" s="59" t="s">
        <v>430</v>
      </c>
      <c r="D209" s="57" t="s">
        <v>30</v>
      </c>
      <c r="E209" s="57">
        <v>45480</v>
      </c>
      <c r="F209" s="38" t="str">
        <f>IF(C209&lt;&gt;"",VLOOKUP($C209,Carpetas!$C$5:$L$2060,2,FALSE),"")</f>
        <v>COB004</v>
      </c>
      <c r="G209" s="38" t="s">
        <v>267</v>
      </c>
      <c r="H209" s="44">
        <f>IF(C209&lt;&gt;"",VLOOKUP($C209,Carpetas!$C$5:$L$2060,9,FALSE),"")</f>
        <v>0</v>
      </c>
      <c r="I209" s="51" t="str">
        <f>IF(C209&lt;&gt;"",VLOOKUP($C209,Carpetas!$C$5:$L$2060,5,FALSE),"")</f>
        <v>Andino</v>
      </c>
      <c r="J209" s="51"/>
      <c r="K209" s="50">
        <v>45508</v>
      </c>
      <c r="L209" s="39" t="str">
        <f>VLOOKUP($C209,Carpetas!$C$5:$L$2060,4,FALSE)</f>
        <v>Fray Bentos</v>
      </c>
      <c r="M209" s="55">
        <f t="shared" si="15"/>
        <v>45509</v>
      </c>
      <c r="N209" s="53">
        <f t="shared" si="14"/>
        <v>29</v>
      </c>
      <c r="O209" s="51">
        <v>1080</v>
      </c>
      <c r="P209" s="51"/>
      <c r="Q209" s="51"/>
      <c r="R209" s="51"/>
      <c r="S209" s="51"/>
      <c r="T209" s="65"/>
      <c r="U209" s="65"/>
      <c r="V209" s="65"/>
      <c r="W209" s="51"/>
      <c r="X209" s="66"/>
    </row>
    <row r="210" hidden="1" ht="15.75" customHeight="1" s="32" customFormat="1">
      <c r="A210" s="37"/>
      <c r="B210" s="31" t="s">
        <v>32</v>
      </c>
      <c r="C210" s="59" t="s">
        <v>424</v>
      </c>
      <c r="D210" s="57" t="s">
        <v>30</v>
      </c>
      <c r="E210" s="57">
        <v>45491</v>
      </c>
      <c r="F210" s="38" t="str">
        <f>IF(C210&lt;&gt;"",VLOOKUP($C210,Carpetas!$C$5:$L$2060,2,FALSE),"")</f>
        <v>ECB036</v>
      </c>
      <c r="G210" s="38" t="s">
        <v>43</v>
      </c>
      <c r="H210" s="44">
        <f>IF(C210&lt;&gt;"",VLOOKUP($C210,Carpetas!$C$5:$L$2060,9,FALSE),"")</f>
        <v>1496761</v>
      </c>
      <c r="I210" s="51" t="str">
        <f>IF(C210&lt;&gt;"",VLOOKUP($C210,Carpetas!$C$5:$L$2060,5,FALSE),"")</f>
        <v>Andino</v>
      </c>
      <c r="J210" s="51"/>
      <c r="K210" s="50">
        <v>45508</v>
      </c>
      <c r="L210" s="39" t="str">
        <f>VLOOKUP($C210,Carpetas!$C$5:$L$2060,4,FALSE)</f>
        <v>Fray Bentos</v>
      </c>
      <c r="M210" s="55">
        <f t="shared" si="15"/>
        <v>45509</v>
      </c>
      <c r="N210" s="53">
        <f t="shared" si="14"/>
        <v>18</v>
      </c>
      <c r="O210" s="51">
        <v>2160</v>
      </c>
      <c r="P210" s="51"/>
      <c r="Q210" s="51"/>
      <c r="R210" s="51"/>
      <c r="S210" s="51"/>
      <c r="T210" s="65"/>
      <c r="U210" s="65"/>
      <c r="V210" s="65"/>
      <c r="W210" s="51"/>
      <c r="X210" s="66"/>
    </row>
    <row r="211" hidden="1" ht="15.75" customHeight="1" s="32" customFormat="1">
      <c r="A211" s="37"/>
      <c r="B211" s="33" t="s">
        <v>32</v>
      </c>
      <c r="C211" s="60" t="s">
        <v>415</v>
      </c>
      <c r="D211" s="56" t="s">
        <v>30</v>
      </c>
      <c r="E211" s="56">
        <v>45480</v>
      </c>
      <c r="F211" s="40" t="str">
        <f>IF(C211&lt;&gt;"",VLOOKUP($C211,Carpetas!$C$5:$L$2060,2,FALSE),"")</f>
        <v>ECB035</v>
      </c>
      <c r="G211" s="40" t="s">
        <v>43</v>
      </c>
      <c r="H211" s="45">
        <f>IF(C211&lt;&gt;"",VLOOKUP($C211,Carpetas!$C$5:$L$2060,9,FALSE),"")</f>
        <v>1496154</v>
      </c>
      <c r="I211" s="103" t="str">
        <f>IF(C211&lt;&gt;"",VLOOKUP($C211,Carpetas!$C$5:$L$2060,5,FALSE),"")</f>
        <v>Andino</v>
      </c>
      <c r="J211" s="103"/>
      <c r="K211" s="49">
        <v>45508</v>
      </c>
      <c r="L211" s="41" t="str">
        <f>VLOOKUP($C211,Carpetas!$C$5:$L$2060,4,FALSE)</f>
        <v>Fray Bentos</v>
      </c>
      <c r="M211" s="54">
        <f t="shared" si="15"/>
        <v>45509</v>
      </c>
      <c r="N211" s="52">
        <f t="shared" si="14"/>
        <v>29</v>
      </c>
      <c r="O211" s="103">
        <v>1080</v>
      </c>
      <c r="P211" s="103"/>
      <c r="Q211" s="51"/>
      <c r="R211" s="51"/>
      <c r="S211" s="51"/>
      <c r="T211" s="65"/>
      <c r="U211" s="65"/>
      <c r="V211" s="65"/>
      <c r="W211" s="51"/>
      <c r="X211" s="66"/>
    </row>
    <row r="212" hidden="1" ht="15.75" customHeight="1" s="32" customFormat="1">
      <c r="A212" s="37"/>
      <c r="B212" s="31" t="s">
        <v>32</v>
      </c>
      <c r="C212" s="59" t="s">
        <v>431</v>
      </c>
      <c r="D212" s="57" t="s">
        <v>432</v>
      </c>
      <c r="E212" s="57">
        <v>45503</v>
      </c>
      <c r="F212" s="38" t="str">
        <f>IF(C212&lt;&gt;"",VLOOKUP($C212,Carpetas!$C$5:$L$2060,2,FALSE),"")</f>
        <v>CLK006</v>
      </c>
      <c r="G212" s="38" t="s">
        <v>43</v>
      </c>
      <c r="H212" s="44">
        <f>IF(C212&lt;&gt;"",VLOOKUP($C212,Carpetas!$C$5:$L$2060,9,FALSE),"")</f>
        <v>0</v>
      </c>
      <c r="I212" s="51" t="str">
        <f>IF(C212&lt;&gt;"",VLOOKUP($C212,Carpetas!$C$5:$L$2060,5,FALSE),"")</f>
        <v>RCT</v>
      </c>
      <c r="J212" s="51"/>
      <c r="K212" s="50">
        <v>45511</v>
      </c>
      <c r="L212" s="39" t="str">
        <f>VLOOKUP($C212,Carpetas!$C$5:$L$2060,4,FALSE)</f>
        <v>Fray Bentos</v>
      </c>
      <c r="M212" s="55">
        <f t="shared" si="15"/>
        <v>45512</v>
      </c>
      <c r="N212" s="53">
        <f t="shared" si="14"/>
        <v>9</v>
      </c>
      <c r="O212" s="51">
        <v>2304</v>
      </c>
      <c r="P212" s="51"/>
      <c r="Q212" s="51">
        <v>2304</v>
      </c>
      <c r="R212" s="51"/>
      <c r="S212" s="51"/>
      <c r="T212" s="65"/>
      <c r="U212" s="65"/>
      <c r="V212" s="65" t="s">
        <v>93</v>
      </c>
      <c r="W212" s="51" t="s">
        <v>433</v>
      </c>
      <c r="X212" s="66" t="s">
        <v>434</v>
      </c>
    </row>
    <row r="213" hidden="1" ht="15.75" customHeight="1" s="32" customFormat="1">
      <c r="A213" s="37"/>
      <c r="B213" s="31" t="s">
        <v>32</v>
      </c>
      <c r="C213" s="59" t="s">
        <v>435</v>
      </c>
      <c r="D213" s="57" t="s">
        <v>30</v>
      </c>
      <c r="E213" s="57">
        <v>45494</v>
      </c>
      <c r="F213" s="38" t="str">
        <f>IF(C213&lt;&gt;"",VLOOKUP($C213,Carpetas!$C$5:$L$2060,2,FALSE),"")</f>
        <v>ECE035</v>
      </c>
      <c r="G213" s="38" t="s">
        <v>43</v>
      </c>
      <c r="H213" s="44">
        <f>IF(C213&lt;&gt;"",VLOOKUP($C213,Carpetas!$C$5:$L$2060,9,FALSE),"")</f>
        <v>1497293</v>
      </c>
      <c r="I213" s="51" t="str">
        <f>IF(C213&lt;&gt;"",VLOOKUP($C213,Carpetas!$C$5:$L$2060,5,FALSE),"")</f>
        <v>Andino</v>
      </c>
      <c r="J213" s="51"/>
      <c r="K213" s="50">
        <v>45517</v>
      </c>
      <c r="L213" s="39" t="str">
        <f>VLOOKUP($C213,Carpetas!$C$5:$L$2060,4,FALSE)</f>
        <v>Fray Bentos</v>
      </c>
      <c r="M213" s="55">
        <f t="shared" si="15"/>
        <v>45518</v>
      </c>
      <c r="N213" s="53">
        <f t="shared" si="14"/>
        <v>24</v>
      </c>
      <c r="O213" s="51">
        <v>2160</v>
      </c>
      <c r="P213" s="51"/>
      <c r="Q213" s="51">
        <v>1080</v>
      </c>
      <c r="R213" s="51"/>
      <c r="S213" s="51"/>
      <c r="T213" s="65"/>
      <c r="U213" s="65"/>
      <c r="V213" s="65" t="s">
        <v>60</v>
      </c>
      <c r="W213" s="51" t="s">
        <v>436</v>
      </c>
      <c r="X213" s="66" t="s">
        <v>437</v>
      </c>
    </row>
    <row r="214" hidden="1" ht="15.75" customHeight="1" s="32" customFormat="1">
      <c r="A214" s="37"/>
      <c r="B214" s="31" t="s">
        <v>32</v>
      </c>
      <c r="C214" s="59" t="s">
        <v>438</v>
      </c>
      <c r="D214" s="57" t="s">
        <v>30</v>
      </c>
      <c r="E214" s="57">
        <v>45494</v>
      </c>
      <c r="F214" s="38" t="str">
        <f>IF(C214&lt;&gt;"",VLOOKUP($C214,Carpetas!$C$5:$L$2060,2,FALSE),"")</f>
        <v>ECB037</v>
      </c>
      <c r="G214" s="38" t="s">
        <v>43</v>
      </c>
      <c r="H214" s="44">
        <f>IF(C214&lt;&gt;"",VLOOKUP($C214,Carpetas!$C$5:$L$2060,9,FALSE),"")</f>
        <v>1497292</v>
      </c>
      <c r="I214" s="51" t="str">
        <f>IF(C214&lt;&gt;"",VLOOKUP($C214,Carpetas!$C$5:$L$2060,5,FALSE),"")</f>
        <v>Andino</v>
      </c>
      <c r="J214" s="51"/>
      <c r="K214" s="50">
        <v>45517</v>
      </c>
      <c r="L214" s="39" t="str">
        <f>VLOOKUP($C214,Carpetas!$C$5:$L$2060,4,FALSE)</f>
        <v>Fray Bentos</v>
      </c>
      <c r="M214" s="55">
        <f t="shared" si="15"/>
        <v>45518</v>
      </c>
      <c r="N214" s="53">
        <f t="shared" si="14"/>
        <v>24</v>
      </c>
      <c r="O214" s="51">
        <v>2160</v>
      </c>
      <c r="P214" s="51"/>
      <c r="Q214" s="51" t="s">
        <v>439</v>
      </c>
      <c r="R214" s="51"/>
      <c r="S214" s="51"/>
      <c r="T214" s="65"/>
      <c r="U214" s="65"/>
      <c r="V214" s="65" t="s">
        <v>55</v>
      </c>
      <c r="W214" s="51" t="s">
        <v>440</v>
      </c>
      <c r="X214" s="66" t="s">
        <v>441</v>
      </c>
    </row>
    <row r="215" hidden="1" ht="15.75" customHeight="1" s="32" customFormat="1">
      <c r="A215" s="37"/>
      <c r="B215" s="31" t="s">
        <v>32</v>
      </c>
      <c r="C215" s="59" t="s">
        <v>442</v>
      </c>
      <c r="D215" s="57" t="s">
        <v>30</v>
      </c>
      <c r="E215" s="57">
        <v>45494</v>
      </c>
      <c r="F215" s="38" t="str">
        <f>IF(C215&lt;&gt;"",VLOOKUP($C215,Carpetas!$C$5:$L$2060,2,FALSE),"")</f>
        <v>COB005</v>
      </c>
      <c r="G215" s="38" t="s">
        <v>267</v>
      </c>
      <c r="H215" s="44">
        <f>IF(C215&lt;&gt;"",VLOOKUP($C215,Carpetas!$C$5:$L$2060,9,FALSE),"")</f>
        <v>0</v>
      </c>
      <c r="I215" s="51" t="str">
        <f>IF(C215&lt;&gt;"",VLOOKUP($C215,Carpetas!$C$5:$L$2060,5,FALSE),"")</f>
        <v>Andino</v>
      </c>
      <c r="J215" s="51"/>
      <c r="K215" s="50">
        <v>45517</v>
      </c>
      <c r="L215" s="39" t="str">
        <f>VLOOKUP($C215,Carpetas!$C$5:$L$2060,4,FALSE)</f>
        <v>Fray Bentos</v>
      </c>
      <c r="M215" s="55">
        <f t="shared" si="15"/>
        <v>45518</v>
      </c>
      <c r="N215" s="53">
        <f t="shared" si="14"/>
        <v>24</v>
      </c>
      <c r="O215" s="51">
        <v>1080</v>
      </c>
      <c r="P215" s="51"/>
      <c r="Q215" s="51">
        <v>1080</v>
      </c>
      <c r="R215" s="51"/>
      <c r="S215" s="51"/>
      <c r="T215" s="65"/>
      <c r="U215" s="65"/>
      <c r="V215" s="65" t="s">
        <v>268</v>
      </c>
      <c r="W215" s="51" t="s">
        <v>110</v>
      </c>
      <c r="X215" s="66" t="s">
        <v>443</v>
      </c>
    </row>
    <row r="216" hidden="1" ht="27.75" customHeight="1" s="32" customFormat="1">
      <c r="A216" s="37"/>
      <c r="B216" s="31" t="s">
        <v>32</v>
      </c>
      <c r="C216" s="59" t="s">
        <v>444</v>
      </c>
      <c r="D216" s="57" t="s">
        <v>30</v>
      </c>
      <c r="E216" s="57">
        <v>45494</v>
      </c>
      <c r="F216" s="38" t="str">
        <f>IF(C216&lt;&gt;"",VLOOKUP($C216,Carpetas!$C$5:$L$2060,2,FALSE),"")</f>
        <v>ECE036</v>
      </c>
      <c r="G216" s="38" t="s">
        <v>43</v>
      </c>
      <c r="H216" s="44">
        <f>IF(C216&lt;&gt;"",VLOOKUP($C216,Carpetas!$C$5:$L$2060,9,FALSE),"")</f>
        <v>1497294</v>
      </c>
      <c r="I216" s="51" t="str">
        <f>IF(C216&lt;&gt;"",VLOOKUP($C216,Carpetas!$C$5:$L$2060,5,FALSE),"")</f>
        <v>Andino</v>
      </c>
      <c r="J216" s="51"/>
      <c r="K216" s="50">
        <v>45517</v>
      </c>
      <c r="L216" s="39" t="str">
        <f>VLOOKUP($C216,Carpetas!$C$5:$L$2060,4,FALSE)</f>
        <v>Fray Bentos</v>
      </c>
      <c r="M216" s="55">
        <f t="shared" si="15"/>
        <v>45518</v>
      </c>
      <c r="N216" s="53">
        <f t="shared" si="14"/>
        <v>24</v>
      </c>
      <c r="O216" s="51">
        <v>1128</v>
      </c>
      <c r="P216" s="51"/>
      <c r="Q216" s="51">
        <v>1128</v>
      </c>
      <c r="R216" s="51"/>
      <c r="S216" s="51"/>
      <c r="T216" s="65"/>
      <c r="U216" s="65"/>
      <c r="V216" s="65" t="s">
        <v>60</v>
      </c>
      <c r="W216" s="51" t="s">
        <v>67</v>
      </c>
      <c r="X216" s="66" t="s">
        <v>445</v>
      </c>
    </row>
    <row r="217" hidden="1" ht="15.75" customHeight="1" s="32" customFormat="1">
      <c r="A217" s="37"/>
      <c r="B217" s="31" t="s">
        <v>32</v>
      </c>
      <c r="C217" s="59" t="s">
        <v>435</v>
      </c>
      <c r="D217" s="57" t="s">
        <v>30</v>
      </c>
      <c r="E217" s="57">
        <v>45494</v>
      </c>
      <c r="F217" s="38" t="str">
        <f>IF(C217&lt;&gt;"",VLOOKUP($C217,Carpetas!$C$5:$L$2060,2,FALSE),"")</f>
        <v>ECE035</v>
      </c>
      <c r="G217" s="38" t="s">
        <v>43</v>
      </c>
      <c r="H217" s="44">
        <f>IF(C217&lt;&gt;"",VLOOKUP($C217,Carpetas!$C$5:$L$2060,9,FALSE),"")</f>
        <v>1497293</v>
      </c>
      <c r="I217" s="51" t="str">
        <f>IF(C217&lt;&gt;"",VLOOKUP($C217,Carpetas!$C$5:$L$2060,5,FALSE),"")</f>
        <v>Andino</v>
      </c>
      <c r="J217" s="51"/>
      <c r="K217" s="50">
        <v>45518</v>
      </c>
      <c r="L217" s="39" t="str">
        <f>VLOOKUP($C217,Carpetas!$C$5:$L$2060,4,FALSE)</f>
        <v>Fray Bentos</v>
      </c>
      <c r="M217" s="55">
        <f t="shared" si="15"/>
        <v>45519</v>
      </c>
      <c r="N217" s="53">
        <f t="shared" si="14"/>
        <v>25</v>
      </c>
      <c r="O217" s="51">
        <v>1080</v>
      </c>
      <c r="P217" s="51"/>
      <c r="Q217" s="51">
        <v>1080</v>
      </c>
      <c r="R217" s="51"/>
      <c r="S217" s="51"/>
      <c r="T217" s="65"/>
      <c r="U217" s="65"/>
      <c r="V217" s="65" t="s">
        <v>60</v>
      </c>
      <c r="W217" s="51" t="s">
        <v>318</v>
      </c>
      <c r="X217" s="66" t="s">
        <v>446</v>
      </c>
    </row>
    <row r="218" hidden="1" ht="15.75" customHeight="1" s="32" customFormat="1">
      <c r="A218" s="37"/>
      <c r="B218" s="31" t="s">
        <v>32</v>
      </c>
      <c r="C218" s="59" t="s">
        <v>438</v>
      </c>
      <c r="D218" s="57" t="s">
        <v>30</v>
      </c>
      <c r="E218" s="57">
        <v>45494</v>
      </c>
      <c r="F218" s="38" t="str">
        <f>IF(C218&lt;&gt;"",VLOOKUP($C218,Carpetas!$C$5:$L$2060,2,FALSE),"")</f>
        <v>ECB037</v>
      </c>
      <c r="G218" s="38" t="s">
        <v>43</v>
      </c>
      <c r="H218" s="44">
        <f>IF(C218&lt;&gt;"",VLOOKUP($C218,Carpetas!$C$5:$L$2060,9,FALSE),"")</f>
        <v>1497292</v>
      </c>
      <c r="I218" s="51" t="str">
        <f>IF(C218&lt;&gt;"",VLOOKUP($C218,Carpetas!$C$5:$L$2060,5,FALSE),"")</f>
        <v>Andino</v>
      </c>
      <c r="J218" s="51"/>
      <c r="K218" s="50">
        <v>45519</v>
      </c>
      <c r="L218" s="39" t="str">
        <f>VLOOKUP($C218,Carpetas!$C$5:$L$2060,4,FALSE)</f>
        <v>Fray Bentos</v>
      </c>
      <c r="M218" s="55">
        <f t="shared" si="15"/>
        <v>45520</v>
      </c>
      <c r="N218" s="53">
        <f t="shared" si="14"/>
        <v>26</v>
      </c>
      <c r="O218" s="51">
        <v>1080</v>
      </c>
      <c r="P218" s="51"/>
      <c r="Q218" s="51">
        <v>1080</v>
      </c>
      <c r="R218" s="51"/>
      <c r="S218" s="51"/>
      <c r="T218" s="65"/>
      <c r="U218" s="65"/>
      <c r="V218" s="65" t="s">
        <v>55</v>
      </c>
      <c r="W218" s="51" t="s">
        <v>389</v>
      </c>
      <c r="X218" s="66" t="s">
        <v>447</v>
      </c>
    </row>
    <row r="219" hidden="1" ht="15.75" customHeight="1" s="32" customFormat="1">
      <c r="A219" s="37"/>
      <c r="B219" s="31" t="s">
        <v>32</v>
      </c>
      <c r="C219" s="59" t="s">
        <v>448</v>
      </c>
      <c r="D219" s="57" t="s">
        <v>42</v>
      </c>
      <c r="E219" s="57">
        <v>45501</v>
      </c>
      <c r="F219" s="38" t="str">
        <f>IF(C219&lt;&gt;"",VLOOKUP($C219,Carpetas!$C$5:$L$2060,2,FALSE),"")</f>
        <v>ECA016</v>
      </c>
      <c r="G219" s="38" t="s">
        <v>43</v>
      </c>
      <c r="H219" s="44">
        <f>IF(C219&lt;&gt;"",VLOOKUP($C219,Carpetas!$C$5:$L$2060,9,FALSE),"")</f>
        <v>1498268</v>
      </c>
      <c r="I219" s="51" t="str">
        <f>IF(C219&lt;&gt;"",VLOOKUP($C219,Carpetas!$C$5:$L$2060,5,FALSE),"")</f>
        <v>Andino</v>
      </c>
      <c r="J219" s="51"/>
      <c r="K219" s="50">
        <v>45520</v>
      </c>
      <c r="L219" s="39" t="str">
        <f>VLOOKUP($C219,Carpetas!$C$5:$L$2060,4,FALSE)</f>
        <v>Fray Bentos</v>
      </c>
      <c r="M219" s="55">
        <f t="shared" si="15"/>
        <v>45521</v>
      </c>
      <c r="N219" s="53">
        <f t="shared" si="14"/>
        <v>20</v>
      </c>
      <c r="O219" s="51">
        <v>1680</v>
      </c>
      <c r="P219" s="51"/>
      <c r="Q219" s="51"/>
      <c r="R219" s="51"/>
      <c r="S219" s="51"/>
      <c r="T219" s="65"/>
      <c r="U219" s="65"/>
      <c r="V219" s="65"/>
      <c r="W219" s="51"/>
      <c r="X219" s="66"/>
    </row>
    <row r="220" hidden="1" ht="15.75" customHeight="1" s="32" customFormat="1">
      <c r="A220" s="37"/>
      <c r="B220" s="31" t="s">
        <v>32</v>
      </c>
      <c r="C220" s="59" t="s">
        <v>449</v>
      </c>
      <c r="D220" s="57" t="s">
        <v>30</v>
      </c>
      <c r="E220" s="57">
        <v>45501</v>
      </c>
      <c r="F220" s="38" t="str">
        <f>IF(C220&lt;&gt;"",VLOOKUP($C220,Carpetas!$C$5:$L$2060,2,FALSE),"")</f>
        <v>ECB038</v>
      </c>
      <c r="G220" s="38" t="s">
        <v>43</v>
      </c>
      <c r="H220" s="44">
        <f>IF(C220&lt;&gt;"",VLOOKUP($C220,Carpetas!$C$5:$L$2060,9,FALSE),"")</f>
        <v>1498187</v>
      </c>
      <c r="I220" s="51" t="str">
        <f>IF(C220&lt;&gt;"",VLOOKUP($C220,Carpetas!$C$5:$L$2060,5,FALSE),"")</f>
        <v>Andino</v>
      </c>
      <c r="J220" s="51"/>
      <c r="K220" s="50">
        <v>45520</v>
      </c>
      <c r="L220" s="39" t="str">
        <f>VLOOKUP($C220,Carpetas!$C$5:$L$2060,4,FALSE)</f>
        <v>Fray Bentos</v>
      </c>
      <c r="M220" s="55">
        <f t="shared" si="15"/>
        <v>45521</v>
      </c>
      <c r="N220" s="53">
        <f t="shared" si="14"/>
        <v>20</v>
      </c>
      <c r="O220" s="51">
        <v>2160</v>
      </c>
      <c r="P220" s="51"/>
      <c r="Q220" s="51">
        <v>2160</v>
      </c>
      <c r="R220" s="51"/>
      <c r="S220" s="51"/>
      <c r="T220" s="65"/>
      <c r="U220" s="65"/>
      <c r="V220" s="65" t="s">
        <v>55</v>
      </c>
      <c r="W220" s="51" t="s">
        <v>450</v>
      </c>
      <c r="X220" s="66" t="s">
        <v>451</v>
      </c>
    </row>
    <row r="221" hidden="1" ht="15.75" customHeight="1" s="32" customFormat="1">
      <c r="A221" s="37"/>
      <c r="B221" s="31" t="s">
        <v>32</v>
      </c>
      <c r="C221" s="59" t="s">
        <v>452</v>
      </c>
      <c r="D221" s="57" t="s">
        <v>30</v>
      </c>
      <c r="E221" s="57">
        <v>45501</v>
      </c>
      <c r="F221" s="38" t="str">
        <f>IF(C221&lt;&gt;"",VLOOKUP($C221,Carpetas!$C$5:$L$2060,2,FALSE),"")</f>
        <v>ECE037</v>
      </c>
      <c r="G221" s="38" t="s">
        <v>43</v>
      </c>
      <c r="H221" s="44">
        <f>IF(C221&lt;&gt;"",VLOOKUP($C221,Carpetas!$C$5:$L$2060,9,FALSE),"")</f>
        <v>1498190</v>
      </c>
      <c r="I221" s="51" t="str">
        <f>IF(C221&lt;&gt;"",VLOOKUP($C221,Carpetas!$C$5:$L$2060,5,FALSE),"")</f>
        <v>Andino</v>
      </c>
      <c r="J221" s="51"/>
      <c r="K221" s="50">
        <v>45520</v>
      </c>
      <c r="L221" s="39" t="str">
        <f>VLOOKUP($C221,Carpetas!$C$5:$L$2060,4,FALSE)</f>
        <v>Fray Bentos</v>
      </c>
      <c r="M221" s="55">
        <f t="shared" si="15"/>
        <v>45521</v>
      </c>
      <c r="N221" s="53">
        <f t="shared" si="14"/>
        <v>20</v>
      </c>
      <c r="O221" s="51">
        <v>1080</v>
      </c>
      <c r="P221" s="51"/>
      <c r="Q221" s="51">
        <v>1080</v>
      </c>
      <c r="R221" s="51"/>
      <c r="S221" s="51"/>
      <c r="T221" s="65"/>
      <c r="U221" s="65"/>
      <c r="V221" s="65" t="s">
        <v>60</v>
      </c>
      <c r="W221" s="51" t="s">
        <v>56</v>
      </c>
      <c r="X221" s="66" t="s">
        <v>453</v>
      </c>
    </row>
    <row r="222" hidden="1" ht="15.75" customHeight="1" s="32" customFormat="1">
      <c r="A222" s="37"/>
      <c r="B222" s="31" t="s">
        <v>32</v>
      </c>
      <c r="C222" s="59" t="s">
        <v>454</v>
      </c>
      <c r="D222" s="57" t="s">
        <v>30</v>
      </c>
      <c r="E222" s="57">
        <v>45497</v>
      </c>
      <c r="F222" s="38" t="str">
        <f>IF(C222&lt;&gt;"",VLOOKUP($C222,Carpetas!$C$5:$L$2060,2,FALSE),"")</f>
        <v>COB006</v>
      </c>
      <c r="G222" s="38" t="s">
        <v>267</v>
      </c>
      <c r="H222" s="44">
        <f>IF(C222&lt;&gt;"",VLOOKUP($C222,Carpetas!$C$5:$L$2060,9,FALSE),"")</f>
        <v>0</v>
      </c>
      <c r="I222" s="51" t="str">
        <f>IF(C222&lt;&gt;"",VLOOKUP($C222,Carpetas!$C$5:$L$2060,5,FALSE),"")</f>
        <v>Andino</v>
      </c>
      <c r="J222" s="51"/>
      <c r="K222" s="50">
        <v>45523</v>
      </c>
      <c r="L222" s="39" t="str">
        <f>VLOOKUP($C222,Carpetas!$C$5:$L$2060,4,FALSE)</f>
        <v>Fray Bentos</v>
      </c>
      <c r="M222" s="55">
        <f t="shared" si="15"/>
        <v>45524</v>
      </c>
      <c r="N222" s="53">
        <f t="shared" si="14"/>
        <v>27</v>
      </c>
      <c r="O222" s="51">
        <v>1080</v>
      </c>
      <c r="P222" s="51"/>
      <c r="Q222" s="51"/>
      <c r="R222" s="51"/>
      <c r="S222" s="51"/>
      <c r="T222" s="65"/>
      <c r="U222" s="65"/>
      <c r="V222" s="65"/>
      <c r="W222" s="51"/>
      <c r="X222" s="66"/>
    </row>
    <row r="223" hidden="1" ht="15.75" customHeight="1" s="32" customFormat="1">
      <c r="A223" s="37"/>
      <c r="B223" s="31" t="s">
        <v>32</v>
      </c>
      <c r="C223" s="59" t="s">
        <v>455</v>
      </c>
      <c r="D223" s="57" t="s">
        <v>34</v>
      </c>
      <c r="E223" s="57">
        <v>45523</v>
      </c>
      <c r="F223" s="38" t="str">
        <f>IF(C223&lt;&gt;"",VLOOKUP($C223,Carpetas!$C$5:$L$2060,2,FALSE),"")</f>
        <v>PEA011</v>
      </c>
      <c r="G223" s="38" t="s">
        <v>456</v>
      </c>
      <c r="H223" s="44">
        <f>IF(C223&lt;&gt;"",VLOOKUP($C223,Carpetas!$C$5:$L$2060,9,FALSE),"")</f>
        <v>0</v>
      </c>
      <c r="I223" s="51" t="str">
        <f>IF(C223&lt;&gt;"",VLOOKUP($C223,Carpetas!$C$5:$L$2060,5,FALSE),"")</f>
        <v>Ciatran</v>
      </c>
      <c r="J223" s="51"/>
      <c r="K223" s="50">
        <v>45524</v>
      </c>
      <c r="L223" s="39" t="str">
        <f>VLOOKUP($C223,Carpetas!$C$5:$L$2060,4,FALSE)</f>
        <v>Carrasco</v>
      </c>
      <c r="M223" s="55">
        <f t="shared" si="15"/>
        <v>45525</v>
      </c>
      <c r="N223" s="53">
        <f t="shared" si="14"/>
        <v>2</v>
      </c>
      <c r="O223" s="51">
        <v>1008</v>
      </c>
      <c r="P223" s="51"/>
      <c r="Q223" s="51"/>
      <c r="R223" s="51"/>
      <c r="S223" s="51"/>
      <c r="T223" s="65"/>
      <c r="U223" s="65"/>
      <c r="V223" s="65"/>
      <c r="W223" s="51"/>
      <c r="X223" s="66"/>
    </row>
    <row r="224" hidden="1" ht="15.75" customHeight="1" s="32" customFormat="1">
      <c r="A224" s="37"/>
      <c r="B224" s="31" t="s">
        <v>32</v>
      </c>
      <c r="C224" s="59" t="s">
        <v>457</v>
      </c>
      <c r="D224" s="57" t="s">
        <v>432</v>
      </c>
      <c r="E224" s="57">
        <v>45520</v>
      </c>
      <c r="F224" s="38" t="str">
        <f>IF(C224&lt;&gt;"",VLOOKUP($C224,Carpetas!$C$5:$L$2060,2,FALSE),"")</f>
        <v>CLK007</v>
      </c>
      <c r="G224" s="38" t="s">
        <v>458</v>
      </c>
      <c r="H224" s="44">
        <f>IF(C224&lt;&gt;"",VLOOKUP($C224,Carpetas!$C$5:$L$2060,9,FALSE),"")</f>
        <v>0</v>
      </c>
      <c r="I224" s="51" t="str">
        <f>IF(C224&lt;&gt;"",VLOOKUP($C224,Carpetas!$C$5:$L$2060,5,FALSE),"")</f>
        <v>Valle Grande</v>
      </c>
      <c r="J224" s="51"/>
      <c r="K224" s="50">
        <v>45525</v>
      </c>
      <c r="L224" s="39" t="str">
        <f>VLOOKUP($C224,Carpetas!$C$5:$L$2060,4,FALSE)</f>
        <v>Fray Bentos</v>
      </c>
      <c r="M224" s="55">
        <f t="shared" si="15"/>
        <v>45526</v>
      </c>
      <c r="N224" s="53">
        <f t="shared" si="14"/>
        <v>6</v>
      </c>
      <c r="O224" s="51">
        <v>2304</v>
      </c>
      <c r="P224" s="51"/>
      <c r="Q224" s="51">
        <v>2304</v>
      </c>
      <c r="R224" s="51"/>
      <c r="S224" s="51"/>
      <c r="T224" s="65"/>
      <c r="U224" s="65"/>
      <c r="V224" s="65" t="s">
        <v>459</v>
      </c>
      <c r="W224" s="51" t="s">
        <v>460</v>
      </c>
      <c r="X224" s="66" t="s">
        <v>461</v>
      </c>
    </row>
    <row r="225" hidden="1" ht="15.75" customHeight="1" s="32" customFormat="1">
      <c r="A225" s="37"/>
      <c r="B225" s="31" t="s">
        <v>32</v>
      </c>
      <c r="C225" s="59" t="s">
        <v>462</v>
      </c>
      <c r="D225" s="57" t="s">
        <v>463</v>
      </c>
      <c r="E225" s="57">
        <v>45461</v>
      </c>
      <c r="F225" s="38" t="str">
        <f>IF(C225&lt;&gt;"",VLOOKUP($C225,Carpetas!$C$5:$L$2060,2,FALSE),"")</f>
        <v>CHA001</v>
      </c>
      <c r="G225" s="38" t="s">
        <v>43</v>
      </c>
      <c r="H225" s="44">
        <f>IF(C225&lt;&gt;"",VLOOKUP($C225,Carpetas!$C$5:$L$2060,9,FALSE),"")</f>
        <v>0</v>
      </c>
      <c r="I225" s="51" t="str">
        <f>IF(C225&lt;&gt;"",VLOOKUP($C225,Carpetas!$C$5:$L$2060,5,FALSE),"")</f>
        <v>Ciatran</v>
      </c>
      <c r="J225" s="51"/>
      <c r="K225" s="50">
        <v>45525</v>
      </c>
      <c r="L225" s="39" t="str">
        <f>VLOOKUP($C225,Carpetas!$C$5:$L$2060,4,FALSE)</f>
        <v>Montevideo</v>
      </c>
      <c r="M225" s="55">
        <f>K225+1+1</f>
        <v>45527</v>
      </c>
      <c r="N225" s="53">
        <f t="shared" si="14"/>
        <v>66</v>
      </c>
      <c r="O225" s="51">
        <v>2600</v>
      </c>
      <c r="P225" s="51"/>
      <c r="Q225" s="51">
        <v>2600</v>
      </c>
      <c r="R225" s="51" t="s">
        <v>464</v>
      </c>
      <c r="S225" s="51" t="s">
        <v>465</v>
      </c>
      <c r="T225" s="65"/>
      <c r="U225" s="117" t="s">
        <v>466</v>
      </c>
      <c r="V225" s="65" t="s">
        <v>93</v>
      </c>
      <c r="W225" s="51" t="s">
        <v>467</v>
      </c>
      <c r="X225" s="66" t="s">
        <v>468</v>
      </c>
    </row>
    <row r="226" hidden="1" ht="15.75" customHeight="1" s="32" customFormat="1">
      <c r="A226" s="37"/>
      <c r="B226" s="31" t="s">
        <v>32</v>
      </c>
      <c r="C226" s="59" t="s">
        <v>469</v>
      </c>
      <c r="D226" s="57" t="s">
        <v>470</v>
      </c>
      <c r="E226" s="57">
        <v>45523</v>
      </c>
      <c r="F226" s="38" t="str">
        <f>IF(C226&lt;&gt;"",VLOOKUP($C226,Carpetas!$C$5:$L$2060,2,FALSE),"")</f>
        <v>CLP004</v>
      </c>
      <c r="G226" s="38" t="s">
        <v>458</v>
      </c>
      <c r="H226" s="44">
        <f>IF(C226&lt;&gt;"",VLOOKUP($C226,Carpetas!$C$5:$L$2060,9,FALSE),"")</f>
        <v>0</v>
      </c>
      <c r="I226" s="51" t="str">
        <f>IF(C226&lt;&gt;"",VLOOKUP($C226,Carpetas!$C$5:$L$2060,5,FALSE),"")</f>
        <v>Cisterna</v>
      </c>
      <c r="J226" s="51"/>
      <c r="K226" s="50">
        <v>45530</v>
      </c>
      <c r="L226" s="39" t="str">
        <f>VLOOKUP($C226,Carpetas!$C$5:$L$2060,4,FALSE)</f>
        <v>Fray Bentos</v>
      </c>
      <c r="M226" s="55">
        <f>K226+1</f>
        <v>45531</v>
      </c>
      <c r="N226" s="53">
        <f t="shared" si="14"/>
        <v>8</v>
      </c>
      <c r="O226" s="51">
        <v>1936</v>
      </c>
      <c r="P226" s="51"/>
      <c r="Q226" s="51">
        <v>1936</v>
      </c>
      <c r="R226" s="51">
        <v>22</v>
      </c>
      <c r="S226" s="51">
        <v>11.2</v>
      </c>
      <c r="T226" s="65"/>
      <c r="U226" s="65"/>
      <c r="V226" s="65" t="s">
        <v>93</v>
      </c>
      <c r="W226" s="51" t="s">
        <v>471</v>
      </c>
      <c r="X226" s="66" t="s">
        <v>472</v>
      </c>
    </row>
    <row r="227" hidden="1" ht="15.75" customHeight="1" s="32" customFormat="1">
      <c r="A227" s="37"/>
      <c r="B227" s="31" t="s">
        <v>32</v>
      </c>
      <c r="C227" s="59" t="s">
        <v>473</v>
      </c>
      <c r="D227" s="57" t="s">
        <v>30</v>
      </c>
      <c r="E227" s="57">
        <v>45501</v>
      </c>
      <c r="F227" s="38" t="str">
        <f>IF(C227&lt;&gt;"",VLOOKUP($C227,Carpetas!$C$5:$L$2060,2,FALSE),"")</f>
        <v>ECE038-A</v>
      </c>
      <c r="G227" s="38" t="s">
        <v>43</v>
      </c>
      <c r="H227" s="44">
        <f>IF(C227&lt;&gt;"",VLOOKUP($C227,Carpetas!$C$5:$L$2060,9,FALSE),"")</f>
        <v>1498191</v>
      </c>
      <c r="I227" s="51" t="str">
        <f>IF(C227&lt;&gt;"",VLOOKUP($C227,Carpetas!$C$5:$L$2060,5,FALSE),"")</f>
        <v>Andino</v>
      </c>
      <c r="J227" s="51"/>
      <c r="K227" s="50">
        <v>45530</v>
      </c>
      <c r="L227" s="39" t="str">
        <f>VLOOKUP($C227,Carpetas!$C$5:$L$2060,4,FALSE)</f>
        <v>Fray Bentos</v>
      </c>
      <c r="M227" s="55">
        <f>K227+1</f>
        <v>45531</v>
      </c>
      <c r="N227" s="53">
        <f t="shared" si="14"/>
        <v>30</v>
      </c>
      <c r="O227" s="51">
        <v>1080</v>
      </c>
      <c r="P227" s="51"/>
      <c r="Q227" s="51">
        <v>1080</v>
      </c>
      <c r="R227" s="51">
        <v>20</v>
      </c>
      <c r="S227" s="51">
        <v>20.4</v>
      </c>
      <c r="T227" s="65"/>
      <c r="U227" s="65"/>
      <c r="V227" s="117" t="s">
        <v>187</v>
      </c>
      <c r="W227" s="51" t="s">
        <v>110</v>
      </c>
      <c r="X227" s="66" t="s">
        <v>474</v>
      </c>
    </row>
    <row r="228" hidden="1" ht="27.75" customHeight="1" s="32" customFormat="1">
      <c r="A228" s="37"/>
      <c r="B228" s="31" t="s">
        <v>32</v>
      </c>
      <c r="C228" s="59" t="s">
        <v>475</v>
      </c>
      <c r="D228" s="57" t="s">
        <v>30</v>
      </c>
      <c r="E228" s="57">
        <v>45501</v>
      </c>
      <c r="F228" s="38" t="str">
        <f>IF(C228&lt;&gt;"",VLOOKUP($C228,Carpetas!$C$5:$L$2060,2,FALSE),"")</f>
        <v>ECE038-B</v>
      </c>
      <c r="G228" s="38" t="s">
        <v>43</v>
      </c>
      <c r="H228" s="44">
        <f>IF(C228&lt;&gt;"",VLOOKUP($C228,Carpetas!$C$5:$L$2060,9,FALSE),"")</f>
        <v>1498191</v>
      </c>
      <c r="I228" s="51" t="str">
        <f>IF(C228&lt;&gt;"",VLOOKUP($C228,Carpetas!$C$5:$L$2060,5,FALSE),"")</f>
        <v>Andino</v>
      </c>
      <c r="J228" s="51"/>
      <c r="K228" s="50">
        <v>45530</v>
      </c>
      <c r="L228" s="39" t="str">
        <f>VLOOKUP($C228,Carpetas!$C$5:$L$2060,4,FALSE)</f>
        <v>Fray Bentos</v>
      </c>
      <c r="M228" s="55">
        <f>K228+1</f>
        <v>45531</v>
      </c>
      <c r="N228" s="53">
        <f t="shared" si="14"/>
        <v>30</v>
      </c>
      <c r="O228" s="51">
        <v>1122</v>
      </c>
      <c r="P228" s="51"/>
      <c r="Q228" s="51">
        <v>1122</v>
      </c>
      <c r="R228" s="51">
        <v>20</v>
      </c>
      <c r="S228" s="51">
        <v>20.4</v>
      </c>
      <c r="T228" s="65"/>
      <c r="U228" s="65"/>
      <c r="V228" s="117" t="s">
        <v>187</v>
      </c>
      <c r="W228" s="51" t="s">
        <v>476</v>
      </c>
      <c r="X228" s="66" t="s">
        <v>477</v>
      </c>
    </row>
    <row r="229" hidden="1" ht="15.75" customHeight="1" s="32" customFormat="1">
      <c r="A229" s="37"/>
      <c r="B229" s="31" t="s">
        <v>32</v>
      </c>
      <c r="C229" s="59" t="s">
        <v>478</v>
      </c>
      <c r="D229" s="57" t="s">
        <v>30</v>
      </c>
      <c r="E229" s="57">
        <v>45508</v>
      </c>
      <c r="F229" s="38" t="str">
        <f>IF(C229&lt;&gt;"",VLOOKUP($C229,Carpetas!$C$5:$L$2060,2,FALSE),"")</f>
        <v>ECE040</v>
      </c>
      <c r="G229" s="38" t="s">
        <v>43</v>
      </c>
      <c r="H229" s="44">
        <f>IF(C229&lt;&gt;"",VLOOKUP($C229,Carpetas!$C$5:$L$2060,9,FALSE),"")</f>
        <v>1498787</v>
      </c>
      <c r="I229" s="51" t="str">
        <f>IF(C229&lt;&gt;"",VLOOKUP($C229,Carpetas!$C$5:$L$2060,5,FALSE),"")</f>
        <v>Andino</v>
      </c>
      <c r="J229" s="51"/>
      <c r="K229" s="50">
        <v>45531</v>
      </c>
      <c r="L229" s="39" t="str">
        <f>VLOOKUP($C229,Carpetas!$C$5:$L$2060,4,FALSE)</f>
        <v>Fray Bentos</v>
      </c>
      <c r="M229" s="55">
        <f>K229+1</f>
        <v>45532</v>
      </c>
      <c r="N229" s="53">
        <f t="shared" si="14"/>
        <v>24</v>
      </c>
      <c r="O229" s="51">
        <v>1096</v>
      </c>
      <c r="P229" s="51"/>
      <c r="Q229" s="51">
        <v>1096</v>
      </c>
      <c r="R229" s="51">
        <v>20</v>
      </c>
      <c r="S229" s="51">
        <v>21</v>
      </c>
      <c r="T229" s="65"/>
      <c r="U229" s="65"/>
      <c r="V229" s="117" t="s">
        <v>479</v>
      </c>
      <c r="W229" s="51" t="s">
        <v>233</v>
      </c>
      <c r="X229" s="66" t="s">
        <v>480</v>
      </c>
    </row>
    <row r="230" hidden="1" ht="15.75" customHeight="1" s="32" customFormat="1">
      <c r="A230" s="37"/>
      <c r="B230" s="31" t="s">
        <v>32</v>
      </c>
      <c r="C230" s="59" t="s">
        <v>481</v>
      </c>
      <c r="D230" s="57" t="s">
        <v>30</v>
      </c>
      <c r="E230" s="57">
        <v>45508</v>
      </c>
      <c r="F230" s="38" t="str">
        <f>IF(C230&lt;&gt;"",VLOOKUP($C230,Carpetas!$C$5:$L$2060,2,FALSE),"")</f>
        <v>ECB039</v>
      </c>
      <c r="G230" s="38" t="s">
        <v>43</v>
      </c>
      <c r="H230" s="44">
        <f>IF(C230&lt;&gt;"",VLOOKUP($C230,Carpetas!$C$5:$L$2060,9,FALSE),"")</f>
        <v>1498785</v>
      </c>
      <c r="I230" s="51" t="str">
        <f>IF(C230&lt;&gt;"",VLOOKUP($C230,Carpetas!$C$5:$L$2060,5,FALSE),"")</f>
        <v>Andino</v>
      </c>
      <c r="J230" s="51"/>
      <c r="K230" s="50">
        <v>45531</v>
      </c>
      <c r="L230" s="39" t="str">
        <f>VLOOKUP($C230,Carpetas!$C$5:$L$2060,4,FALSE)</f>
        <v>Fray Bentos</v>
      </c>
      <c r="M230" s="55">
        <f>K230+1</f>
        <v>45532</v>
      </c>
      <c r="N230" s="53">
        <f t="shared" si="14"/>
        <v>24</v>
      </c>
      <c r="O230" s="51">
        <v>2160</v>
      </c>
      <c r="P230" s="51"/>
      <c r="Q230" s="51">
        <v>2160</v>
      </c>
      <c r="R230" s="51">
        <v>20</v>
      </c>
      <c r="S230" s="51">
        <v>21.6</v>
      </c>
      <c r="T230" s="65"/>
      <c r="U230" s="65"/>
      <c r="V230" s="65" t="s">
        <v>55</v>
      </c>
      <c r="W230" s="51" t="s">
        <v>482</v>
      </c>
      <c r="X230" s="66" t="s">
        <v>483</v>
      </c>
    </row>
    <row r="231" hidden="1" ht="15.75" customHeight="1" s="32" customFormat="1">
      <c r="A231" s="37"/>
      <c r="B231" s="31" t="s">
        <v>32</v>
      </c>
      <c r="C231" s="59" t="s">
        <v>484</v>
      </c>
      <c r="D231" s="57" t="s">
        <v>470</v>
      </c>
      <c r="E231" s="57">
        <v>45526</v>
      </c>
      <c r="F231" s="38" t="str">
        <f>IF(C231&lt;&gt;"",VLOOKUP($C231,Carpetas!$C$5:$L$2060,2,FALSE),"")</f>
        <v>CLP005</v>
      </c>
      <c r="G231" s="38" t="s">
        <v>485</v>
      </c>
      <c r="H231" s="44">
        <f>IF(C231&lt;&gt;"",VLOOKUP($C231,Carpetas!$C$5:$L$2060,9,FALSE),"")</f>
        <v>0</v>
      </c>
      <c r="I231" s="51" t="str">
        <f>IF(C231&lt;&gt;"",VLOOKUP($C231,Carpetas!$C$5:$L$2060,5,FALSE),"")</f>
        <v>Valle Grande</v>
      </c>
      <c r="J231" s="51"/>
      <c r="K231" s="50">
        <v>45530</v>
      </c>
      <c r="L231" s="39" t="str">
        <f>VLOOKUP($C231,Carpetas!$C$5:$L$2060,4,FALSE)</f>
        <v>Fray Bentos</v>
      </c>
      <c r="M231" s="55">
        <v>45533</v>
      </c>
      <c r="N231" s="53">
        <f t="shared" si="14"/>
        <v>7</v>
      </c>
      <c r="O231" s="51">
        <v>1936</v>
      </c>
      <c r="P231" s="51"/>
      <c r="Q231" s="51">
        <v>1936</v>
      </c>
      <c r="R231" s="51">
        <v>22</v>
      </c>
      <c r="S231" s="51">
        <v>11.7</v>
      </c>
      <c r="T231" s="65"/>
      <c r="U231" s="65"/>
      <c r="V231" s="65" t="s">
        <v>486</v>
      </c>
      <c r="W231" s="51" t="s">
        <v>487</v>
      </c>
      <c r="X231" s="66" t="s">
        <v>488</v>
      </c>
    </row>
    <row r="232" hidden="1" ht="15.75" customHeight="1" s="32" customFormat="1">
      <c r="A232" s="37"/>
      <c r="B232" s="31" t="s">
        <v>32</v>
      </c>
      <c r="C232" s="59" t="s">
        <v>489</v>
      </c>
      <c r="D232" s="57" t="s">
        <v>30</v>
      </c>
      <c r="E232" s="57">
        <v>45508</v>
      </c>
      <c r="F232" s="38" t="str">
        <f>IF(C232&lt;&gt;"",VLOOKUP($C232,Carpetas!$C$5:$L$2060,2,FALSE),"")</f>
        <v>ECB040</v>
      </c>
      <c r="G232" s="38" t="s">
        <v>43</v>
      </c>
      <c r="H232" s="44">
        <f>IF(C232&lt;&gt;"",VLOOKUP($C232,Carpetas!$C$5:$L$2060,9,FALSE),"")</f>
        <v>1498962</v>
      </c>
      <c r="I232" s="51" t="str">
        <f>IF(C232&lt;&gt;"",VLOOKUP($C232,Carpetas!$C$5:$L$2060,5,FALSE),"")</f>
        <v>Andino</v>
      </c>
      <c r="J232" s="51"/>
      <c r="K232" s="50">
        <v>45531</v>
      </c>
      <c r="L232" s="39" t="str">
        <f>VLOOKUP($C232,Carpetas!$C$5:$L$2060,4,FALSE)</f>
        <v>Fray Bentos</v>
      </c>
      <c r="M232" s="55">
        <v>45533</v>
      </c>
      <c r="N232" s="53">
        <f t="shared" si="14"/>
        <v>25</v>
      </c>
      <c r="O232" s="51">
        <v>2160</v>
      </c>
      <c r="P232" s="51"/>
      <c r="Q232" s="51">
        <v>2160</v>
      </c>
      <c r="R232" s="51">
        <v>40</v>
      </c>
      <c r="S232" s="51">
        <v>21</v>
      </c>
      <c r="T232" s="65"/>
      <c r="U232" s="65"/>
      <c r="V232" s="65" t="s">
        <v>55</v>
      </c>
      <c r="W232" s="51" t="s">
        <v>490</v>
      </c>
      <c r="X232" s="66" t="s">
        <v>491</v>
      </c>
    </row>
    <row r="233" hidden="1" ht="15.75" customHeight="1" s="32" customFormat="1">
      <c r="A233" s="37"/>
      <c r="B233" s="31" t="s">
        <v>32</v>
      </c>
      <c r="C233" s="59" t="s">
        <v>492</v>
      </c>
      <c r="D233" s="57" t="s">
        <v>432</v>
      </c>
      <c r="E233" s="57">
        <v>45527</v>
      </c>
      <c r="F233" s="38" t="str">
        <f>IF(C233&lt;&gt;"",VLOOKUP($C233,Carpetas!$C$5:$L$2060,2,FALSE),"")</f>
        <v>CLK008</v>
      </c>
      <c r="G233" s="38" t="s">
        <v>485</v>
      </c>
      <c r="H233" s="44">
        <f>IF(C233&lt;&gt;"",VLOOKUP($C233,Carpetas!$C$5:$L$2060,9,FALSE),"")</f>
        <v>1500806</v>
      </c>
      <c r="I233" s="51" t="str">
        <f>IF(C233&lt;&gt;"",VLOOKUP($C233,Carpetas!$C$5:$L$2060,5,FALSE),"")</f>
        <v>Nihuil</v>
      </c>
      <c r="J233" s="51"/>
      <c r="K233" s="50">
        <v>45532</v>
      </c>
      <c r="L233" s="39" t="str">
        <f>VLOOKUP($C233,Carpetas!$C$5:$L$2060,4,FALSE)</f>
        <v>Fray Bentos</v>
      </c>
      <c r="M233" s="55">
        <f ref="M233:M242" t="shared" si="16">K233+1</f>
        <v>45533</v>
      </c>
      <c r="N233" s="53">
        <f t="shared" si="14"/>
        <v>6</v>
      </c>
      <c r="O233" s="51">
        <f>1152*2</f>
        <v>2304</v>
      </c>
      <c r="P233" s="51"/>
      <c r="Q233" s="51"/>
      <c r="R233" s="51"/>
      <c r="S233" s="51"/>
      <c r="T233" s="65"/>
      <c r="U233" s="65"/>
      <c r="V233" s="65"/>
      <c r="W233" s="51"/>
      <c r="X233" s="66"/>
    </row>
    <row r="234" hidden="1" ht="15.75" customHeight="1" s="32" customFormat="1">
      <c r="A234" s="37"/>
      <c r="B234" s="31" t="s">
        <v>32</v>
      </c>
      <c r="C234" s="59" t="s">
        <v>493</v>
      </c>
      <c r="D234" s="57" t="s">
        <v>30</v>
      </c>
      <c r="E234" s="57">
        <v>45508</v>
      </c>
      <c r="F234" s="38" t="str">
        <f>IF(C234&lt;&gt;"",VLOOKUP($C234,Carpetas!$C$5:$L$2060,2,FALSE),"")</f>
        <v>ECE039</v>
      </c>
      <c r="G234" s="38" t="s">
        <v>43</v>
      </c>
      <c r="H234" s="44">
        <f>IF(C234&lt;&gt;"",VLOOKUP($C234,Carpetas!$C$5:$L$2060,9,FALSE),"")</f>
        <v>1498788</v>
      </c>
      <c r="I234" s="51" t="str">
        <f>IF(C234&lt;&gt;"",VLOOKUP($C234,Carpetas!$C$5:$L$2060,5,FALSE),"")</f>
        <v>Andino</v>
      </c>
      <c r="J234" s="51"/>
      <c r="K234" s="50">
        <v>45532</v>
      </c>
      <c r="L234" s="39" t="str">
        <f>VLOOKUP($C234,Carpetas!$C$5:$L$2060,4,FALSE)</f>
        <v>Fray Bentos</v>
      </c>
      <c r="M234" s="55">
        <f t="shared" si="16"/>
        <v>45533</v>
      </c>
      <c r="N234" s="53">
        <f t="shared" si="14"/>
        <v>25</v>
      </c>
      <c r="O234" s="51">
        <v>2160</v>
      </c>
      <c r="P234" s="51"/>
      <c r="Q234" s="51">
        <v>2160</v>
      </c>
      <c r="R234" s="51">
        <v>40</v>
      </c>
      <c r="S234" s="51">
        <v>21</v>
      </c>
      <c r="T234" s="65"/>
      <c r="U234" s="65"/>
      <c r="V234" s="65" t="s">
        <v>60</v>
      </c>
      <c r="W234" s="51" t="s">
        <v>494</v>
      </c>
      <c r="X234" s="66" t="s">
        <v>495</v>
      </c>
    </row>
    <row r="235" hidden="1" ht="15.75" customHeight="1" s="32" customFormat="1">
      <c r="A235" s="37"/>
      <c r="B235" s="31" t="s">
        <v>32</v>
      </c>
      <c r="C235" s="59" t="s">
        <v>496</v>
      </c>
      <c r="D235" s="57" t="s">
        <v>30</v>
      </c>
      <c r="E235" s="57">
        <v>45504</v>
      </c>
      <c r="F235" s="38" t="str">
        <f>IF(C235&lt;&gt;"",VLOOKUP($C235,Carpetas!$C$5:$L$2060,2,FALSE),"")</f>
        <v>COB007</v>
      </c>
      <c r="G235" s="38" t="s">
        <v>267</v>
      </c>
      <c r="H235" s="44">
        <f>IF(C235&lt;&gt;"",VLOOKUP($C235,Carpetas!$C$5:$L$2060,9,FALSE),"")</f>
        <v>0</v>
      </c>
      <c r="I235" s="51" t="str">
        <f>IF(C235&lt;&gt;"",VLOOKUP($C235,Carpetas!$C$5:$L$2060,5,FALSE),"")</f>
        <v>Andino</v>
      </c>
      <c r="J235" s="51"/>
      <c r="K235" s="50">
        <v>45534</v>
      </c>
      <c r="L235" s="39" t="str">
        <f>VLOOKUP($C235,Carpetas!$C$5:$L$2060,4,FALSE)</f>
        <v>Fray Bentos</v>
      </c>
      <c r="M235" s="55">
        <f t="shared" si="16"/>
        <v>45535</v>
      </c>
      <c r="N235" s="53">
        <f t="shared" si="14"/>
        <v>31</v>
      </c>
      <c r="O235" s="51">
        <v>1080</v>
      </c>
      <c r="P235" s="51"/>
      <c r="Q235" s="51">
        <v>1080</v>
      </c>
      <c r="R235" s="51">
        <v>20</v>
      </c>
      <c r="S235" s="51">
        <v>19.7</v>
      </c>
      <c r="T235" s="65"/>
      <c r="U235" s="65"/>
      <c r="V235" s="65" t="s">
        <v>268</v>
      </c>
      <c r="W235" s="51" t="s">
        <v>497</v>
      </c>
      <c r="X235" s="66" t="s">
        <v>498</v>
      </c>
    </row>
    <row r="236" hidden="1" ht="15.75" customHeight="1" s="32" customFormat="1">
      <c r="A236" s="37"/>
      <c r="B236" s="31" t="s">
        <v>32</v>
      </c>
      <c r="C236" s="59" t="s">
        <v>496</v>
      </c>
      <c r="D236" s="57" t="s">
        <v>30</v>
      </c>
      <c r="E236" s="57">
        <v>45504</v>
      </c>
      <c r="F236" s="38" t="str">
        <f>IF(C236&lt;&gt;"",VLOOKUP($C236,Carpetas!$C$5:$L$2060,2,FALSE),"")</f>
        <v>COB007</v>
      </c>
      <c r="G236" s="38" t="s">
        <v>267</v>
      </c>
      <c r="H236" s="44">
        <f>IF(C236&lt;&gt;"",VLOOKUP($C236,Carpetas!$C$5:$L$2060,9,FALSE),"")</f>
        <v>0</v>
      </c>
      <c r="I236" s="51" t="str">
        <f>IF(C236&lt;&gt;"",VLOOKUP($C236,Carpetas!$C$5:$L$2060,5,FALSE),"")</f>
        <v>Andino</v>
      </c>
      <c r="J236" s="51"/>
      <c r="K236" s="50">
        <v>45534</v>
      </c>
      <c r="L236" s="39" t="str">
        <f>VLOOKUP($C236,Carpetas!$C$5:$L$2060,4,FALSE)</f>
        <v>Fray Bentos</v>
      </c>
      <c r="M236" s="55">
        <f t="shared" si="16"/>
        <v>45535</v>
      </c>
      <c r="N236" s="53">
        <f t="shared" si="14"/>
        <v>31</v>
      </c>
      <c r="O236" s="51">
        <v>1080</v>
      </c>
      <c r="P236" s="51"/>
      <c r="Q236" s="51">
        <v>1080</v>
      </c>
      <c r="R236" s="51">
        <v>20</v>
      </c>
      <c r="S236" s="51">
        <v>19.6</v>
      </c>
      <c r="T236" s="65"/>
      <c r="U236" s="65"/>
      <c r="V236" s="65"/>
      <c r="W236" s="51" t="s">
        <v>325</v>
      </c>
      <c r="X236" s="66" t="s">
        <v>499</v>
      </c>
    </row>
    <row r="237" hidden="1" ht="15.75" customHeight="1" s="32" customFormat="1">
      <c r="A237" s="37"/>
      <c r="B237" s="31" t="s">
        <v>32</v>
      </c>
      <c r="C237" s="59" t="s">
        <v>500</v>
      </c>
      <c r="D237" s="57" t="s">
        <v>42</v>
      </c>
      <c r="E237" s="57">
        <v>45515</v>
      </c>
      <c r="F237" s="38" t="str">
        <f>IF(C237&lt;&gt;"",VLOOKUP($C237,Carpetas!$C$5:$L$2060,2,FALSE),"")</f>
        <v>ECA017</v>
      </c>
      <c r="G237" s="38" t="s">
        <v>485</v>
      </c>
      <c r="H237" s="44">
        <f>IF(C237&lt;&gt;"",VLOOKUP($C237,Carpetas!$C$5:$L$2060,9,FALSE),"")</f>
        <v>1499591</v>
      </c>
      <c r="I237" s="51" t="str">
        <f>IF(C237&lt;&gt;"",VLOOKUP($C237,Carpetas!$C$5:$L$2060,5,FALSE),"")</f>
        <v>Andino</v>
      </c>
      <c r="J237" s="51"/>
      <c r="K237" s="50">
        <v>45534</v>
      </c>
      <c r="L237" s="39" t="str">
        <f>VLOOKUP($C237,Carpetas!$C$5:$L$2060,4,FALSE)</f>
        <v>Fray Bentos</v>
      </c>
      <c r="M237" s="55">
        <f t="shared" si="16"/>
        <v>45535</v>
      </c>
      <c r="N237" s="53">
        <f t="shared" si="14"/>
        <v>20</v>
      </c>
      <c r="O237" s="51">
        <v>1680</v>
      </c>
      <c r="P237" s="51"/>
      <c r="Q237" s="51"/>
      <c r="R237" s="51"/>
      <c r="S237" s="51"/>
      <c r="T237" s="65"/>
      <c r="U237" s="65"/>
      <c r="V237" s="65"/>
      <c r="W237" s="51"/>
      <c r="X237" s="66"/>
    </row>
    <row r="238" hidden="1" ht="15.75" customHeight="1" s="32" customFormat="1">
      <c r="A238" s="37"/>
      <c r="B238" s="31" t="s">
        <v>32</v>
      </c>
      <c r="C238" s="59" t="s">
        <v>496</v>
      </c>
      <c r="D238" s="57" t="s">
        <v>30</v>
      </c>
      <c r="E238" s="57">
        <v>45504</v>
      </c>
      <c r="F238" s="38" t="str">
        <f>IF(C238&lt;&gt;"",VLOOKUP($C238,Carpetas!$C$5:$L$2060,2,FALSE),"")</f>
        <v>COB007</v>
      </c>
      <c r="G238" s="38" t="s">
        <v>267</v>
      </c>
      <c r="H238" s="44">
        <f>IF(C238&lt;&gt;"",VLOOKUP($C238,Carpetas!$C$5:$L$2060,9,FALSE),"")</f>
        <v>0</v>
      </c>
      <c r="I238" s="51" t="str">
        <f>IF(C238&lt;&gt;"",VLOOKUP($C238,Carpetas!$C$5:$L$2060,5,FALSE),"")</f>
        <v>Andino</v>
      </c>
      <c r="J238" s="51"/>
      <c r="K238" s="50">
        <v>45538</v>
      </c>
      <c r="L238" s="39" t="str">
        <f>VLOOKUP($C238,Carpetas!$C$5:$L$2060,4,FALSE)</f>
        <v>Fray Bentos</v>
      </c>
      <c r="M238" s="55">
        <f t="shared" si="16"/>
        <v>45539</v>
      </c>
      <c r="N238" s="53">
        <f t="shared" si="14"/>
        <v>35</v>
      </c>
      <c r="O238" s="51">
        <v>1080</v>
      </c>
      <c r="P238" s="51"/>
      <c r="Q238" s="51">
        <v>1080</v>
      </c>
      <c r="R238" s="51">
        <v>20</v>
      </c>
      <c r="S238" s="51">
        <v>19.5</v>
      </c>
      <c r="T238" s="65"/>
      <c r="U238" s="65"/>
      <c r="V238" s="65" t="s">
        <v>268</v>
      </c>
      <c r="W238" s="51" t="s">
        <v>157</v>
      </c>
      <c r="X238" s="66" t="s">
        <v>501</v>
      </c>
    </row>
    <row r="239" hidden="1" ht="15.75" customHeight="1" s="32" customFormat="1">
      <c r="A239" s="37"/>
      <c r="B239" s="31" t="s">
        <v>32</v>
      </c>
      <c r="C239" s="59" t="s">
        <v>502</v>
      </c>
      <c r="D239" s="57" t="s">
        <v>432</v>
      </c>
      <c r="E239" s="57">
        <v>45534</v>
      </c>
      <c r="F239" s="38" t="str">
        <f>IF(C239&lt;&gt;"",VLOOKUP($C239,Carpetas!$C$5:$L$2060,2,FALSE),"")</f>
        <v>CLK009</v>
      </c>
      <c r="G239" s="38" t="s">
        <v>485</v>
      </c>
      <c r="H239" s="44">
        <f>IF(C239&lt;&gt;"",VLOOKUP($C239,Carpetas!$C$5:$L$2060,9,FALSE),"")</f>
        <v>1501799</v>
      </c>
      <c r="I239" s="51" t="str">
        <f>IF(C239&lt;&gt;"",VLOOKUP($C239,Carpetas!$C$5:$L$2060,5,FALSE),"")</f>
        <v>Nihuil</v>
      </c>
      <c r="J239" s="51"/>
      <c r="K239" s="50">
        <v>45538</v>
      </c>
      <c r="L239" s="39" t="str">
        <f>VLOOKUP($C239,Carpetas!$C$5:$L$2060,4,FALSE)</f>
        <v>Fray Bentos</v>
      </c>
      <c r="M239" s="55">
        <f t="shared" si="16"/>
        <v>45539</v>
      </c>
      <c r="N239" s="53">
        <f t="shared" si="14"/>
        <v>5</v>
      </c>
      <c r="O239" s="51">
        <f>1152*2</f>
        <v>2304</v>
      </c>
      <c r="P239" s="51"/>
      <c r="Q239" s="51">
        <v>2304</v>
      </c>
      <c r="R239" s="51">
        <v>24</v>
      </c>
      <c r="S239" s="51">
        <v>10.6</v>
      </c>
      <c r="T239" s="65"/>
      <c r="U239" s="65"/>
      <c r="V239" s="65" t="s">
        <v>459</v>
      </c>
      <c r="W239" s="51" t="s">
        <v>503</v>
      </c>
      <c r="X239" s="66" t="s">
        <v>504</v>
      </c>
    </row>
    <row r="240" hidden="1" ht="15.75" customHeight="1" s="32" customFormat="1">
      <c r="A240" s="37"/>
      <c r="B240" s="31" t="s">
        <v>32</v>
      </c>
      <c r="C240" s="59" t="s">
        <v>505</v>
      </c>
      <c r="D240" s="57" t="s">
        <v>30</v>
      </c>
      <c r="E240" s="57">
        <v>45515</v>
      </c>
      <c r="F240" s="38" t="str">
        <f>IF(C240&lt;&gt;"",VLOOKUP($C240,Carpetas!$C$5:$L$2060,2,FALSE),"")</f>
        <v>ECE041</v>
      </c>
      <c r="G240" s="38" t="s">
        <v>43</v>
      </c>
      <c r="H240" s="44">
        <f>IF(C240&lt;&gt;"",VLOOKUP($C240,Carpetas!$C$5:$L$2060,9,FALSE),"")</f>
        <v>1499591</v>
      </c>
      <c r="I240" s="51" t="str">
        <f>IF(C240&lt;&gt;"",VLOOKUP($C240,Carpetas!$C$5:$L$2060,5,FALSE),"")</f>
        <v>Andino</v>
      </c>
      <c r="J240" s="51"/>
      <c r="K240" s="50">
        <v>45540</v>
      </c>
      <c r="L240" s="39" t="str">
        <f>VLOOKUP($C240,Carpetas!$C$5:$L$2060,4,FALSE)</f>
        <v>Fray Bentos</v>
      </c>
      <c r="M240" s="55">
        <f t="shared" si="16"/>
        <v>45541</v>
      </c>
      <c r="N240" s="53">
        <f t="shared" si="14"/>
        <v>26</v>
      </c>
      <c r="O240" s="51">
        <v>3240</v>
      </c>
      <c r="P240" s="51"/>
      <c r="Q240" s="51">
        <v>3240</v>
      </c>
      <c r="R240" s="51">
        <v>60</v>
      </c>
      <c r="S240" s="51">
        <v>21.5</v>
      </c>
      <c r="T240" s="65"/>
      <c r="U240" s="65"/>
      <c r="V240" s="65" t="s">
        <v>506</v>
      </c>
      <c r="W240" s="51" t="s">
        <v>507</v>
      </c>
      <c r="X240" s="66" t="s">
        <v>508</v>
      </c>
    </row>
    <row r="241" hidden="1" ht="15.75" customHeight="1" s="32" customFormat="1">
      <c r="A241" s="37"/>
      <c r="B241" s="31" t="s">
        <v>32</v>
      </c>
      <c r="C241" s="59" t="s">
        <v>509</v>
      </c>
      <c r="D241" s="57" t="s">
        <v>30</v>
      </c>
      <c r="E241" s="57">
        <v>45524</v>
      </c>
      <c r="F241" s="38" t="str">
        <f>IF(C241&lt;&gt;"",VLOOKUP($C241,Carpetas!$C$5:$L$2060,2,FALSE),"")</f>
        <v>ECB041</v>
      </c>
      <c r="G241" s="38" t="s">
        <v>43</v>
      </c>
      <c r="H241" s="44">
        <f>IF(C241&lt;&gt;"",VLOOKUP($C241,Carpetas!$C$5:$L$2060,9,FALSE),"")</f>
        <v>1499845</v>
      </c>
      <c r="I241" s="51" t="str">
        <f>IF(C241&lt;&gt;"",VLOOKUP($C241,Carpetas!$C$5:$L$2060,5,FALSE),"")</f>
        <v>Andino</v>
      </c>
      <c r="J241" s="51"/>
      <c r="K241" s="50">
        <v>45540</v>
      </c>
      <c r="L241" s="39" t="str">
        <f>VLOOKUP($C241,Carpetas!$C$5:$L$2060,4,FALSE)</f>
        <v>Fray Bentos</v>
      </c>
      <c r="M241" s="55">
        <f t="shared" si="16"/>
        <v>45541</v>
      </c>
      <c r="N241" s="53">
        <f t="shared" si="14"/>
        <v>17</v>
      </c>
      <c r="O241" s="51">
        <v>3240</v>
      </c>
      <c r="P241" s="51"/>
      <c r="Q241" s="51">
        <v>2160</v>
      </c>
      <c r="R241" s="51">
        <v>60</v>
      </c>
      <c r="S241" s="51">
        <v>21.5</v>
      </c>
      <c r="T241" s="65"/>
      <c r="U241" s="65"/>
      <c r="V241" s="65" t="s">
        <v>506</v>
      </c>
      <c r="W241" s="51" t="s">
        <v>510</v>
      </c>
      <c r="X241" s="66" t="s">
        <v>511</v>
      </c>
    </row>
    <row r="242" hidden="1" ht="15.75" customHeight="1" s="32" customFormat="1">
      <c r="A242" s="37"/>
      <c r="B242" s="31" t="s">
        <v>32</v>
      </c>
      <c r="C242" s="59" t="s">
        <v>512</v>
      </c>
      <c r="D242" s="57" t="s">
        <v>30</v>
      </c>
      <c r="E242" s="57">
        <v>45524</v>
      </c>
      <c r="F242" s="38" t="str">
        <f>IF(C242&lt;&gt;"",VLOOKUP($C242,Carpetas!$C$5:$L$2060,2,FALSE),"")</f>
        <v>ECE042</v>
      </c>
      <c r="G242" s="38" t="s">
        <v>43</v>
      </c>
      <c r="H242" s="44">
        <f>IF(C242&lt;&gt;"",VLOOKUP($C242,Carpetas!$C$5:$L$2060,9,FALSE),"")</f>
        <v>1499988</v>
      </c>
      <c r="I242" s="51" t="str">
        <f>IF(C242&lt;&gt;"",VLOOKUP($C242,Carpetas!$C$5:$L$2060,5,FALSE),"")</f>
        <v>Andino</v>
      </c>
      <c r="J242" s="51"/>
      <c r="K242" s="50">
        <v>45541</v>
      </c>
      <c r="L242" s="39" t="str">
        <f>VLOOKUP($C242,Carpetas!$C$5:$L$2060,4,FALSE)</f>
        <v>Fray Bentos</v>
      </c>
      <c r="M242" s="55">
        <f t="shared" si="16"/>
        <v>45542</v>
      </c>
      <c r="N242" s="53">
        <f t="shared" si="14"/>
        <v>18</v>
      </c>
      <c r="O242" s="51">
        <v>2160</v>
      </c>
      <c r="P242" s="51"/>
      <c r="Q242" s="51">
        <v>2160</v>
      </c>
      <c r="R242" s="51">
        <v>40</v>
      </c>
      <c r="S242" s="51">
        <v>21</v>
      </c>
      <c r="T242" s="65"/>
      <c r="U242" s="65"/>
      <c r="V242" s="65" t="s">
        <v>60</v>
      </c>
      <c r="W242" s="51" t="s">
        <v>513</v>
      </c>
      <c r="X242" s="66" t="s">
        <v>514</v>
      </c>
    </row>
    <row r="243" hidden="1" ht="27.75" customHeight="1" s="32" customFormat="1">
      <c r="A243" s="37"/>
      <c r="B243" s="31" t="s">
        <v>32</v>
      </c>
      <c r="C243" s="59" t="s">
        <v>515</v>
      </c>
      <c r="D243" s="57" t="s">
        <v>30</v>
      </c>
      <c r="E243" s="57">
        <v>45524</v>
      </c>
      <c r="F243" s="38" t="str">
        <f>IF(C243&lt;&gt;"",VLOOKUP($C243,Carpetas!$C$5:$L$2060,2,FALSE),"")</f>
        <v>ECE043</v>
      </c>
      <c r="G243" s="38" t="s">
        <v>43</v>
      </c>
      <c r="H243" s="44">
        <f>IF(C243&lt;&gt;"",VLOOKUP($C243,Carpetas!$C$5:$L$2060,9,FALSE),"")</f>
        <v>1499989</v>
      </c>
      <c r="I243" s="51" t="str">
        <f>IF(C243&lt;&gt;"",VLOOKUP($C243,Carpetas!$C$5:$L$2060,5,FALSE),"")</f>
        <v>Andino</v>
      </c>
      <c r="J243" s="51"/>
      <c r="K243" s="50">
        <v>45541</v>
      </c>
      <c r="L243" s="39" t="str">
        <f>VLOOKUP($C243,Carpetas!$C$5:$L$2060,4,FALSE)</f>
        <v>Fray Bentos</v>
      </c>
      <c r="M243" s="55">
        <v>45542</v>
      </c>
      <c r="N243" s="53">
        <f t="shared" si="14"/>
        <v>18</v>
      </c>
      <c r="O243" s="51">
        <v>1128</v>
      </c>
      <c r="P243" s="51"/>
      <c r="Q243" s="51">
        <v>1128</v>
      </c>
      <c r="R243" s="51">
        <v>20</v>
      </c>
      <c r="S243" s="51">
        <v>21</v>
      </c>
      <c r="T243" s="65"/>
      <c r="U243" s="65"/>
      <c r="V243" s="117" t="s">
        <v>187</v>
      </c>
      <c r="W243" s="51" t="s">
        <v>94</v>
      </c>
      <c r="X243" s="66" t="s">
        <v>516</v>
      </c>
    </row>
    <row r="244" hidden="1" ht="15.75" customHeight="1" s="32" customFormat="1">
      <c r="A244" s="37"/>
      <c r="B244" s="31" t="s">
        <v>32</v>
      </c>
      <c r="C244" s="59" t="s">
        <v>517</v>
      </c>
      <c r="D244" s="57" t="s">
        <v>470</v>
      </c>
      <c r="E244" s="57">
        <v>45539</v>
      </c>
      <c r="F244" s="38" t="str">
        <f>IF(C244&lt;&gt;"",VLOOKUP($C244,Carpetas!$C$5:$L$2060,2,FALSE),"")</f>
        <v>CLP006</v>
      </c>
      <c r="G244" s="38" t="s">
        <v>485</v>
      </c>
      <c r="H244" s="44">
        <f>IF(C244&lt;&gt;"",VLOOKUP($C244,Carpetas!$C$5:$L$2060,9,FALSE),"")</f>
        <v>1501684</v>
      </c>
      <c r="I244" s="51" t="str">
        <f>IF(C244&lt;&gt;"",VLOOKUP($C244,Carpetas!$C$5:$L$2060,5,FALSE),"")</f>
        <v>Nihuil</v>
      </c>
      <c r="J244" s="51"/>
      <c r="K244" s="50">
        <f>E244+5</f>
        <v>45544</v>
      </c>
      <c r="L244" s="39" t="str">
        <f>VLOOKUP($C244,Carpetas!$C$5:$L$2060,4,FALSE)</f>
        <v>Fray Bentos</v>
      </c>
      <c r="M244" s="55">
        <f ref="M244:M253" t="shared" si="17">K244+1</f>
        <v>45545</v>
      </c>
      <c r="N244" s="53">
        <f t="shared" si="14"/>
        <v>6</v>
      </c>
      <c r="O244" s="51">
        <v>1936</v>
      </c>
      <c r="P244" s="51"/>
      <c r="Q244" s="51">
        <v>1936</v>
      </c>
      <c r="R244" s="51">
        <v>22</v>
      </c>
      <c r="S244" s="51">
        <v>11.7</v>
      </c>
      <c r="T244" s="65"/>
      <c r="U244" s="65"/>
      <c r="V244" s="65" t="s">
        <v>518</v>
      </c>
      <c r="W244" s="51" t="s">
        <v>519</v>
      </c>
      <c r="X244" s="66" t="s">
        <v>520</v>
      </c>
    </row>
    <row r="245" hidden="1" ht="15.75" customHeight="1" s="32" customFormat="1">
      <c r="A245" s="37"/>
      <c r="B245" s="31" t="s">
        <v>32</v>
      </c>
      <c r="C245" s="59" t="s">
        <v>521</v>
      </c>
      <c r="D245" s="57" t="s">
        <v>522</v>
      </c>
      <c r="E245" s="57">
        <v>45540</v>
      </c>
      <c r="F245" s="38" t="str">
        <f>IF(C245&lt;&gt;"",VLOOKUP($C245,Carpetas!$C$5:$L$2060,2,FALSE),"")</f>
        <v>ARZ001</v>
      </c>
      <c r="G245" s="38" t="s">
        <v>369</v>
      </c>
      <c r="H245" s="44">
        <f>IF(C245&lt;&gt;"",VLOOKUP($C245,Carpetas!$C$5:$L$2060,9,FALSE),"")</f>
        <v>0</v>
      </c>
      <c r="I245" s="51" t="str">
        <f>IF(C245&lt;&gt;"",VLOOKUP($C245,Carpetas!$C$5:$L$2060,5,FALSE),"")</f>
        <v>Falero</v>
      </c>
      <c r="J245" s="51"/>
      <c r="K245" s="50">
        <v>45544</v>
      </c>
      <c r="L245" s="39" t="str">
        <f>VLOOKUP($C245,Carpetas!$C$5:$L$2060,4,FALSE)</f>
        <v>Fray Bentos</v>
      </c>
      <c r="M245" s="55">
        <f t="shared" si="17"/>
        <v>45545</v>
      </c>
      <c r="N245" s="53">
        <f t="shared" si="14"/>
        <v>5</v>
      </c>
      <c r="O245" s="51">
        <v>1300</v>
      </c>
      <c r="P245" s="51"/>
      <c r="Q245" s="51"/>
      <c r="R245" s="51"/>
      <c r="S245" s="51"/>
      <c r="T245" s="65"/>
      <c r="U245" s="65"/>
      <c r="V245" s="65"/>
      <c r="W245" s="51"/>
      <c r="X245" s="66" t="s">
        <v>523</v>
      </c>
    </row>
    <row r="246" hidden="1" ht="15.75" customHeight="1" s="32" customFormat="1">
      <c r="A246" s="37"/>
      <c r="B246" s="31" t="s">
        <v>32</v>
      </c>
      <c r="C246" s="59" t="s">
        <v>524</v>
      </c>
      <c r="D246" s="57" t="s">
        <v>363</v>
      </c>
      <c r="E246" s="57">
        <v>45529</v>
      </c>
      <c r="F246" s="38" t="str">
        <f>IF(C246&lt;&gt;"",VLOOKUP($C246,Carpetas!$C$5:$L$2060,2,FALSE),"")</f>
        <v>ECB043</v>
      </c>
      <c r="G246" s="38" t="s">
        <v>43</v>
      </c>
      <c r="H246" s="44">
        <f>IF(C246&lt;&gt;"",VLOOKUP($C246,Carpetas!$C$5:$L$2060,9,FALSE),"")</f>
        <v>1500771</v>
      </c>
      <c r="I246" s="51" t="str">
        <f>IF(C246&lt;&gt;"",VLOOKUP($C246,Carpetas!$C$5:$L$2060,5,FALSE),"")</f>
        <v>Andino</v>
      </c>
      <c r="J246" s="51"/>
      <c r="K246" s="50">
        <v>45545</v>
      </c>
      <c r="L246" s="39" t="str">
        <f>VLOOKUP($C246,Carpetas!$C$5:$L$2060,4,FALSE)</f>
        <v>Fray Bentos</v>
      </c>
      <c r="M246" s="55">
        <f t="shared" si="17"/>
        <v>45546</v>
      </c>
      <c r="N246" s="53">
        <f t="shared" si="14"/>
        <v>17</v>
      </c>
      <c r="O246" s="51">
        <v>1080</v>
      </c>
      <c r="P246" s="51"/>
      <c r="Q246" s="51">
        <v>1080</v>
      </c>
      <c r="R246" s="51">
        <v>20</v>
      </c>
      <c r="S246" s="51">
        <v>21</v>
      </c>
      <c r="T246" s="65"/>
      <c r="U246" s="65"/>
      <c r="V246" s="65" t="s">
        <v>60</v>
      </c>
      <c r="W246" s="51" t="s">
        <v>525</v>
      </c>
      <c r="X246" s="66" t="s">
        <v>526</v>
      </c>
    </row>
    <row r="247" hidden="1" ht="15.75" customHeight="1" s="32" customFormat="1">
      <c r="A247" s="37"/>
      <c r="B247" s="31" t="s">
        <v>32</v>
      </c>
      <c r="C247" s="59" t="s">
        <v>527</v>
      </c>
      <c r="D247" s="57" t="s">
        <v>363</v>
      </c>
      <c r="E247" s="57">
        <v>45529</v>
      </c>
      <c r="F247" s="38" t="str">
        <f>IF(C247&lt;&gt;"",VLOOKUP($C247,Carpetas!$C$5:$L$2060,2,FALSE),"")</f>
        <v>ECE044</v>
      </c>
      <c r="G247" s="38" t="s">
        <v>43</v>
      </c>
      <c r="H247" s="44">
        <f>IF(C247&lt;&gt;"",VLOOKUP($C247,Carpetas!$C$5:$L$2060,9,FALSE),"")</f>
        <v>1500764</v>
      </c>
      <c r="I247" s="51" t="str">
        <f>IF(C247&lt;&gt;"",VLOOKUP($C247,Carpetas!$C$5:$L$2060,5,FALSE),"")</f>
        <v>Andino</v>
      </c>
      <c r="J247" s="51"/>
      <c r="K247" s="50">
        <v>45545</v>
      </c>
      <c r="L247" s="39" t="str">
        <f>VLOOKUP($C247,Carpetas!$C$5:$L$2060,4,FALSE)</f>
        <v>Fray Bentos</v>
      </c>
      <c r="M247" s="55">
        <f t="shared" si="17"/>
        <v>45546</v>
      </c>
      <c r="N247" s="53">
        <f t="shared" si="14"/>
        <v>17</v>
      </c>
      <c r="O247" s="51">
        <v>2160</v>
      </c>
      <c r="P247" s="51"/>
      <c r="Q247" s="51">
        <v>2160</v>
      </c>
      <c r="R247" s="51">
        <v>40</v>
      </c>
      <c r="S247" s="51">
        <v>21</v>
      </c>
      <c r="T247" s="65"/>
      <c r="U247" s="65"/>
      <c r="V247" s="65" t="s">
        <v>55</v>
      </c>
      <c r="W247" s="51" t="s">
        <v>528</v>
      </c>
      <c r="X247" s="66" t="s">
        <v>529</v>
      </c>
    </row>
    <row r="248" hidden="1" ht="15.75" customHeight="1" s="32" customFormat="1">
      <c r="A248" s="37"/>
      <c r="B248" s="31" t="s">
        <v>32</v>
      </c>
      <c r="C248" s="59" t="s">
        <v>530</v>
      </c>
      <c r="D248" s="57" t="s">
        <v>363</v>
      </c>
      <c r="E248" s="57">
        <v>45529</v>
      </c>
      <c r="F248" s="38" t="str">
        <f>IF(C248&lt;&gt;"",VLOOKUP($C248,Carpetas!$C$5:$L$2060,2,FALSE),"")</f>
        <v>ECE045</v>
      </c>
      <c r="G248" s="38" t="s">
        <v>43</v>
      </c>
      <c r="H248" s="44">
        <f>IF(C248&lt;&gt;"",VLOOKUP($C248,Carpetas!$C$5:$L$2060,9,FALSE),"")</f>
        <v>1500765</v>
      </c>
      <c r="I248" s="51" t="str">
        <f>IF(C248&lt;&gt;"",VLOOKUP($C248,Carpetas!$C$5:$L$2060,5,FALSE),"")</f>
        <v>Andino</v>
      </c>
      <c r="J248" s="51"/>
      <c r="K248" s="50">
        <v>45545</v>
      </c>
      <c r="L248" s="39" t="str">
        <f>VLOOKUP($C248,Carpetas!$C$5:$L$2060,4,FALSE)</f>
        <v>Fray Bentos</v>
      </c>
      <c r="M248" s="55">
        <f t="shared" si="17"/>
        <v>45546</v>
      </c>
      <c r="N248" s="53">
        <f t="shared" si="14"/>
        <v>17</v>
      </c>
      <c r="O248" s="51">
        <v>1080</v>
      </c>
      <c r="P248" s="51"/>
      <c r="Q248" s="51">
        <v>1080</v>
      </c>
      <c r="R248" s="51">
        <v>20</v>
      </c>
      <c r="S248" s="51">
        <v>21</v>
      </c>
      <c r="T248" s="65"/>
      <c r="U248" s="65"/>
      <c r="V248" s="65" t="s">
        <v>60</v>
      </c>
      <c r="W248" s="51" t="s">
        <v>157</v>
      </c>
      <c r="X248" s="66" t="s">
        <v>526</v>
      </c>
    </row>
    <row r="249" hidden="1" ht="15.75" customHeight="1" s="32" customFormat="1">
      <c r="A249" s="37"/>
      <c r="B249" s="31" t="s">
        <v>32</v>
      </c>
      <c r="C249" s="59" t="s">
        <v>531</v>
      </c>
      <c r="D249" s="57" t="s">
        <v>363</v>
      </c>
      <c r="E249" s="57">
        <v>45529</v>
      </c>
      <c r="F249" s="38" t="str">
        <f>IF(C249&lt;&gt;"",VLOOKUP($C249,Carpetas!$C$5:$L$2060,2,FALSE),"")</f>
        <v>ECB042</v>
      </c>
      <c r="G249" s="38" t="s">
        <v>43</v>
      </c>
      <c r="H249" s="44">
        <f>IF(C249&lt;&gt;"",VLOOKUP($C249,Carpetas!$C$5:$L$2060,9,FALSE),"")</f>
        <v>1500769</v>
      </c>
      <c r="I249" s="51" t="str">
        <f>IF(C249&lt;&gt;"",VLOOKUP($C249,Carpetas!$C$5:$L$2060,5,FALSE),"")</f>
        <v>Andino</v>
      </c>
      <c r="J249" s="51"/>
      <c r="K249" s="50">
        <v>45546</v>
      </c>
      <c r="L249" s="39" t="str">
        <f>VLOOKUP($C249,Carpetas!$C$5:$L$2060,4,FALSE)</f>
        <v>Fray Bentos</v>
      </c>
      <c r="M249" s="55">
        <f t="shared" si="17"/>
        <v>45547</v>
      </c>
      <c r="N249" s="53">
        <f t="shared" si="14"/>
        <v>18</v>
      </c>
      <c r="O249" s="51">
        <v>1080</v>
      </c>
      <c r="P249" s="51"/>
      <c r="Q249" s="51">
        <v>1080</v>
      </c>
      <c r="R249" s="51">
        <v>20</v>
      </c>
      <c r="S249" s="51">
        <v>21</v>
      </c>
      <c r="T249" s="65"/>
      <c r="U249" s="65"/>
      <c r="V249" s="65" t="s">
        <v>55</v>
      </c>
      <c r="W249" s="51" t="s">
        <v>110</v>
      </c>
      <c r="X249" s="66" t="s">
        <v>532</v>
      </c>
    </row>
    <row r="250" hidden="1" ht="15.75" customHeight="1" s="32" customFormat="1">
      <c r="A250" s="37"/>
      <c r="B250" s="31" t="s">
        <v>32</v>
      </c>
      <c r="C250" s="59" t="s">
        <v>531</v>
      </c>
      <c r="D250" s="57" t="s">
        <v>363</v>
      </c>
      <c r="E250" s="57">
        <v>45529</v>
      </c>
      <c r="F250" s="38" t="str">
        <f>IF(C250&lt;&gt;"",VLOOKUP($C250,Carpetas!$C$5:$L$2060,2,FALSE),"")</f>
        <v>ECB042</v>
      </c>
      <c r="G250" s="38" t="s">
        <v>43</v>
      </c>
      <c r="H250" s="44">
        <f>IF(C250&lt;&gt;"",VLOOKUP($C250,Carpetas!$C$5:$L$2060,9,FALSE),"")</f>
        <v>1500769</v>
      </c>
      <c r="I250" s="51" t="str">
        <f>IF(C250&lt;&gt;"",VLOOKUP($C250,Carpetas!$C$5:$L$2060,5,FALSE),"")</f>
        <v>Andino</v>
      </c>
      <c r="J250" s="51"/>
      <c r="K250" s="50">
        <v>45547</v>
      </c>
      <c r="L250" s="39" t="str">
        <f>VLOOKUP($C250,Carpetas!$C$5:$L$2060,4,FALSE)</f>
        <v>Fray Bentos</v>
      </c>
      <c r="M250" s="55">
        <f t="shared" si="17"/>
        <v>45548</v>
      </c>
      <c r="N250" s="53">
        <f t="shared" si="14"/>
        <v>19</v>
      </c>
      <c r="O250" s="51">
        <v>1080</v>
      </c>
      <c r="P250" s="51"/>
      <c r="Q250" s="51">
        <v>1080</v>
      </c>
      <c r="R250" s="51">
        <v>20</v>
      </c>
      <c r="S250" s="51">
        <v>21</v>
      </c>
      <c r="T250" s="65"/>
      <c r="U250" s="65"/>
      <c r="V250" s="65" t="s">
        <v>55</v>
      </c>
      <c r="W250" s="51" t="s">
        <v>56</v>
      </c>
      <c r="X250" s="66" t="s">
        <v>533</v>
      </c>
    </row>
    <row r="251" hidden="1" ht="15.75" customHeight="1" s="32" customFormat="1">
      <c r="A251" s="37"/>
      <c r="B251" s="31" t="s">
        <v>32</v>
      </c>
      <c r="C251" s="59" t="s">
        <v>534</v>
      </c>
      <c r="D251" s="57" t="s">
        <v>42</v>
      </c>
      <c r="E251" s="57">
        <v>45529</v>
      </c>
      <c r="F251" s="38" t="str">
        <f>IF(C251&lt;&gt;"",VLOOKUP($C251,Carpetas!$C$5:$L$2060,2,FALSE),"")</f>
        <v>ECA018</v>
      </c>
      <c r="G251" s="38" t="s">
        <v>43</v>
      </c>
      <c r="H251" s="44">
        <f>IF(C251&lt;&gt;"",VLOOKUP($C251,Carpetas!$C$5:$L$2060,9,FALSE),"")</f>
        <v>1500760</v>
      </c>
      <c r="I251" s="51" t="str">
        <f>IF(C251&lt;&gt;"",VLOOKUP($C251,Carpetas!$C$5:$L$2060,5,FALSE),"")</f>
        <v>Andino</v>
      </c>
      <c r="J251" s="51"/>
      <c r="K251" s="50">
        <v>45547</v>
      </c>
      <c r="L251" s="39" t="str">
        <f>VLOOKUP($C251,Carpetas!$C$5:$L$2060,4,FALSE)</f>
        <v>Fray Bentos</v>
      </c>
      <c r="M251" s="55">
        <f t="shared" si="17"/>
        <v>45548</v>
      </c>
      <c r="N251" s="53">
        <f t="shared" si="14"/>
        <v>19</v>
      </c>
      <c r="O251" s="51">
        <v>1680</v>
      </c>
      <c r="P251" s="51"/>
      <c r="Q251" s="51"/>
      <c r="R251" s="51"/>
      <c r="S251" s="51"/>
      <c r="T251" s="65"/>
      <c r="U251" s="65"/>
      <c r="V251" s="65"/>
      <c r="W251" s="51"/>
      <c r="X251" s="66"/>
    </row>
    <row r="252" hidden="1" ht="15.75" customHeight="1" s="32" customFormat="1">
      <c r="A252" s="37"/>
      <c r="B252" s="31" t="s">
        <v>32</v>
      </c>
      <c r="C252" s="59" t="s">
        <v>535</v>
      </c>
      <c r="D252" s="57" t="s">
        <v>363</v>
      </c>
      <c r="E252" s="57">
        <v>45529</v>
      </c>
      <c r="F252" s="38" t="str">
        <f>IF(C252&lt;&gt;"",VLOOKUP($C252,Carpetas!$C$5:$L$2060,2,FALSE),"")</f>
        <v>COB008</v>
      </c>
      <c r="G252" s="38" t="s">
        <v>43</v>
      </c>
      <c r="H252" s="44">
        <f>IF(C252&lt;&gt;"",VLOOKUP($C252,Carpetas!$C$5:$L$2060,9,FALSE),"")</f>
        <v>0</v>
      </c>
      <c r="I252" s="51" t="str">
        <f>IF(C252&lt;&gt;"",VLOOKUP($C252,Carpetas!$C$5:$L$2060,5,FALSE),"")</f>
        <v>Andino</v>
      </c>
      <c r="J252" s="51"/>
      <c r="K252" s="50">
        <v>45547</v>
      </c>
      <c r="L252" s="39" t="str">
        <f>VLOOKUP($C252,Carpetas!$C$5:$L$2060,4,FALSE)</f>
        <v>Fray Bentos</v>
      </c>
      <c r="M252" s="55">
        <f t="shared" si="17"/>
        <v>45548</v>
      </c>
      <c r="N252" s="53">
        <f t="shared" si="14"/>
        <v>19</v>
      </c>
      <c r="O252" s="51">
        <v>1080</v>
      </c>
      <c r="P252" s="51"/>
      <c r="Q252" s="51">
        <v>1080</v>
      </c>
      <c r="R252" s="51">
        <v>20</v>
      </c>
      <c r="S252" s="51">
        <v>19.5</v>
      </c>
      <c r="T252" s="65"/>
      <c r="U252" s="65"/>
      <c r="V252" s="65" t="s">
        <v>268</v>
      </c>
      <c r="W252" s="51" t="s">
        <v>536</v>
      </c>
      <c r="X252" s="66" t="s">
        <v>537</v>
      </c>
    </row>
    <row r="253" hidden="1" ht="15.75" customHeight="1" s="32" customFormat="1">
      <c r="A253" s="37"/>
      <c r="B253" s="31" t="s">
        <v>32</v>
      </c>
      <c r="C253" s="59" t="s">
        <v>538</v>
      </c>
      <c r="D253" s="57" t="s">
        <v>470</v>
      </c>
      <c r="E253" s="57">
        <v>45544</v>
      </c>
      <c r="F253" s="38" t="str">
        <f>IF(C253&lt;&gt;"",VLOOKUP($C253,Carpetas!$C$5:$L$2060,2,FALSE),"")</f>
        <v>CLP007</v>
      </c>
      <c r="G253" s="38" t="s">
        <v>485</v>
      </c>
      <c r="H253" s="44" t="str">
        <f>IF(C253&lt;&gt;"",VLOOKUP($C253,Carpetas!$C$5:$L$2060,9,FALSE),"")</f>
        <v>150,28,76</v>
      </c>
      <c r="I253" s="51" t="str">
        <f>IF(C253&lt;&gt;"",VLOOKUP($C253,Carpetas!$C$5:$L$2060,5,FALSE),"")</f>
        <v>Nihuil</v>
      </c>
      <c r="J253" s="51"/>
      <c r="K253" s="50">
        <f>E253+5</f>
        <v>45549</v>
      </c>
      <c r="L253" s="39" t="str">
        <f>VLOOKUP($C253,Carpetas!$C$5:$L$2060,4,FALSE)</f>
        <v>Fray Bentos</v>
      </c>
      <c r="M253" s="55">
        <f t="shared" si="17"/>
        <v>45550</v>
      </c>
      <c r="N253" s="53">
        <f t="shared" si="14"/>
        <v>6</v>
      </c>
      <c r="O253" s="51">
        <v>1936</v>
      </c>
      <c r="P253" s="51"/>
      <c r="Q253" s="51"/>
      <c r="R253" s="51"/>
      <c r="S253" s="51"/>
      <c r="T253" s="65"/>
      <c r="U253" s="65"/>
      <c r="V253" s="65"/>
      <c r="W253" s="51"/>
      <c r="X253" s="66" t="s">
        <v>539</v>
      </c>
    </row>
    <row r="254" hidden="1" ht="15.75" customHeight="1" s="32" customFormat="1">
      <c r="A254" s="37"/>
      <c r="B254" s="31" t="s">
        <v>28</v>
      </c>
      <c r="C254" s="59" t="s">
        <v>29</v>
      </c>
      <c r="D254" s="57" t="s">
        <v>522</v>
      </c>
      <c r="E254" s="57">
        <v>45547</v>
      </c>
      <c r="F254" s="38" t="str">
        <f>IF(C254&lt;&gt;"",VLOOKUP($C254,Carpetas!$C$5:$L$2060,2,FALSE),"")</f>
        <v>xx</v>
      </c>
      <c r="G254" s="38" t="s">
        <v>369</v>
      </c>
      <c r="H254" s="44" t="str">
        <f>IF(C254&lt;&gt;"",VLOOKUP($C254,Carpetas!$C$5:$L$2060,9,FALSE),"")</f>
        <v>xx</v>
      </c>
      <c r="I254" s="51" t="str">
        <f>IF(C254&lt;&gt;"",VLOOKUP($C254,Carpetas!$C$5:$L$2060,5,FALSE),"")</f>
        <v>xx</v>
      </c>
      <c r="J254" s="51"/>
      <c r="K254" s="50">
        <v>45549</v>
      </c>
      <c r="L254" s="39" t="str">
        <f>VLOOKUP($C254,Carpetas!$C$5:$L$2060,4,FALSE)</f>
        <v>xx</v>
      </c>
      <c r="M254" s="55">
        <v>45551</v>
      </c>
      <c r="N254" s="53">
        <f t="shared" si="14"/>
        <v>4</v>
      </c>
      <c r="O254" s="51">
        <v>1300</v>
      </c>
      <c r="P254" s="51"/>
      <c r="Q254" s="51"/>
      <c r="R254" s="51"/>
      <c r="S254" s="51"/>
      <c r="T254" s="65"/>
      <c r="U254" s="65"/>
      <c r="V254" s="65"/>
      <c r="W254" s="51"/>
      <c r="X254" s="66" t="s">
        <v>523</v>
      </c>
    </row>
    <row r="255" hidden="1" ht="15.75" customHeight="1" s="32" customFormat="1">
      <c r="A255" s="37"/>
      <c r="B255" s="31" t="s">
        <v>32</v>
      </c>
      <c r="C255" s="59" t="s">
        <v>540</v>
      </c>
      <c r="D255" s="57" t="s">
        <v>432</v>
      </c>
      <c r="E255" s="57">
        <v>45541</v>
      </c>
      <c r="F255" s="38" t="str">
        <f>IF(C255&lt;&gt;"",VLOOKUP($C255,Carpetas!$C$5:$L$2060,2,FALSE),"")</f>
        <v>CLK010</v>
      </c>
      <c r="G255" s="38" t="s">
        <v>485</v>
      </c>
      <c r="H255" s="44">
        <f>IF(C255&lt;&gt;"",VLOOKUP($C255,Carpetas!$C$5:$L$2060,9,FALSE),"")</f>
        <v>1502513</v>
      </c>
      <c r="I255" s="51" t="str">
        <f>IF(C255&lt;&gt;"",VLOOKUP($C255,Carpetas!$C$5:$L$2060,5,FALSE),"")</f>
        <v>Nihuil</v>
      </c>
      <c r="J255" s="51"/>
      <c r="K255" s="50">
        <v>45551</v>
      </c>
      <c r="L255" s="39" t="str">
        <f>VLOOKUP($C255,Carpetas!$C$5:$L$2060,4,FALSE)</f>
        <v>Fray Bentos</v>
      </c>
      <c r="M255" s="55">
        <f ref="M255:M260" t="shared" si="18">K255+1</f>
        <v>45552</v>
      </c>
      <c r="N255" s="53">
        <f t="shared" si="14"/>
        <v>11</v>
      </c>
      <c r="O255" s="51">
        <f>1152*2</f>
        <v>2304</v>
      </c>
      <c r="P255" s="51"/>
      <c r="Q255" s="51"/>
      <c r="R255" s="51"/>
      <c r="S255" s="51"/>
      <c r="T255" s="65"/>
      <c r="U255" s="65"/>
      <c r="V255" s="65"/>
      <c r="W255" s="51"/>
      <c r="X255" s="66"/>
    </row>
    <row r="256" hidden="1" ht="15.75" customHeight="1" s="32" customFormat="1">
      <c r="A256" s="37"/>
      <c r="B256" s="31" t="s">
        <v>32</v>
      </c>
      <c r="C256" s="59" t="s">
        <v>541</v>
      </c>
      <c r="D256" s="57" t="s">
        <v>470</v>
      </c>
      <c r="E256" s="57">
        <v>45544</v>
      </c>
      <c r="F256" s="38" t="str">
        <f>IF(C256&lt;&gt;"",VLOOKUP($C256,Carpetas!$C$5:$L$2060,2,FALSE),"")</f>
        <v>CLP008</v>
      </c>
      <c r="G256" s="38" t="s">
        <v>485</v>
      </c>
      <c r="H256" s="44" t="str">
        <f>IF(C256&lt;&gt;"",VLOOKUP($C256,Carpetas!$C$5:$L$2060,9,FALSE),"")</f>
        <v>150.26.50</v>
      </c>
      <c r="I256" s="51" t="str">
        <f>IF(C256&lt;&gt;"",VLOOKUP($C256,Carpetas!$C$5:$L$2060,5,FALSE),"")</f>
        <v>Nihuil</v>
      </c>
      <c r="J256" s="51"/>
      <c r="K256" s="50">
        <v>45551</v>
      </c>
      <c r="L256" s="39" t="str">
        <f>VLOOKUP($C256,Carpetas!$C$5:$L$2060,4,FALSE)</f>
        <v>Fray Bentos</v>
      </c>
      <c r="M256" s="55">
        <f t="shared" si="18"/>
        <v>45552</v>
      </c>
      <c r="N256" s="53">
        <f t="shared" si="14"/>
        <v>8</v>
      </c>
      <c r="O256" s="51">
        <v>2112</v>
      </c>
      <c r="P256" s="51"/>
      <c r="Q256" s="51">
        <v>2112</v>
      </c>
      <c r="R256" s="51">
        <v>24</v>
      </c>
      <c r="S256" s="51">
        <v>11</v>
      </c>
      <c r="T256" s="65"/>
      <c r="U256" s="65"/>
      <c r="V256" s="65"/>
      <c r="W256" s="51" t="s">
        <v>251</v>
      </c>
      <c r="X256" s="66" t="s">
        <v>542</v>
      </c>
    </row>
    <row r="257" hidden="1" ht="15.75" customHeight="1" s="32" customFormat="1">
      <c r="A257" s="37"/>
      <c r="B257" s="31" t="s">
        <v>32</v>
      </c>
      <c r="C257" s="59" t="s">
        <v>543</v>
      </c>
      <c r="D257" s="57" t="s">
        <v>30</v>
      </c>
      <c r="E257" s="57">
        <v>45536</v>
      </c>
      <c r="F257" s="38" t="str">
        <f>IF(C257&lt;&gt;"",VLOOKUP($C257,Carpetas!$C$5:$L$2060,2,FALSE),"")</f>
        <v>ECE046</v>
      </c>
      <c r="G257" s="38" t="s">
        <v>43</v>
      </c>
      <c r="H257" s="44">
        <f>IF(C257&lt;&gt;"",VLOOKUP($C257,Carpetas!$C$5:$L$2060,9,FALSE),"")</f>
        <v>1501395</v>
      </c>
      <c r="I257" s="51" t="str">
        <f>IF(C257&lt;&gt;"",VLOOKUP($C257,Carpetas!$C$5:$L$2060,5,FALSE),"")</f>
        <v>Andino</v>
      </c>
      <c r="J257" s="51"/>
      <c r="K257" s="50">
        <v>45552</v>
      </c>
      <c r="L257" s="39" t="str">
        <f>VLOOKUP($C257,Carpetas!$C$5:$L$2060,4,FALSE)</f>
        <v>Fray Bentos</v>
      </c>
      <c r="M257" s="55">
        <f t="shared" si="18"/>
        <v>45553</v>
      </c>
      <c r="N257" s="53">
        <f t="shared" si="14"/>
        <v>17</v>
      </c>
      <c r="O257" s="51">
        <v>1080</v>
      </c>
      <c r="P257" s="51"/>
      <c r="Q257" s="51">
        <v>1080</v>
      </c>
      <c r="R257" s="51">
        <v>20</v>
      </c>
      <c r="S257" s="51">
        <v>21.5</v>
      </c>
      <c r="T257" s="65"/>
      <c r="U257" s="65"/>
      <c r="V257" s="65" t="s">
        <v>60</v>
      </c>
      <c r="W257" s="51" t="s">
        <v>64</v>
      </c>
      <c r="X257" s="66" t="s">
        <v>544</v>
      </c>
    </row>
    <row r="258" hidden="1" ht="27.75" customHeight="1" s="32" customFormat="1">
      <c r="A258" s="37"/>
      <c r="B258" s="31" t="s">
        <v>32</v>
      </c>
      <c r="C258" s="59" t="s">
        <v>545</v>
      </c>
      <c r="D258" s="57" t="s">
        <v>30</v>
      </c>
      <c r="E258" s="57">
        <v>45536</v>
      </c>
      <c r="F258" s="38" t="str">
        <f>IF(C258&lt;&gt;"",VLOOKUP($C258,Carpetas!$C$5:$L$2060,2,FALSE),"")</f>
        <v>ECE047</v>
      </c>
      <c r="G258" s="38" t="s">
        <v>43</v>
      </c>
      <c r="H258" s="44">
        <f>IF(C258&lt;&gt;"",VLOOKUP($C258,Carpetas!$C$5:$L$2060,9,FALSE),"")</f>
        <v>1501397</v>
      </c>
      <c r="I258" s="51" t="str">
        <f>IF(C258&lt;&gt;"",VLOOKUP($C258,Carpetas!$C$5:$L$2060,5,FALSE),"")</f>
        <v>Andino</v>
      </c>
      <c r="J258" s="51"/>
      <c r="K258" s="50">
        <v>45552</v>
      </c>
      <c r="L258" s="39" t="str">
        <f>VLOOKUP($C258,Carpetas!$C$5:$L$2060,4,FALSE)</f>
        <v>Fray Bentos</v>
      </c>
      <c r="M258" s="55">
        <f t="shared" si="18"/>
        <v>45553</v>
      </c>
      <c r="N258" s="53">
        <f t="shared" si="14"/>
        <v>17</v>
      </c>
      <c r="O258" s="51">
        <v>1128</v>
      </c>
      <c r="P258" s="51"/>
      <c r="Q258" s="51">
        <v>1128</v>
      </c>
      <c r="R258" s="51">
        <v>20</v>
      </c>
      <c r="S258" s="51">
        <v>21.5</v>
      </c>
      <c r="T258" s="65"/>
      <c r="U258" s="65"/>
      <c r="V258" s="65"/>
      <c r="W258" s="51" t="s">
        <v>143</v>
      </c>
      <c r="X258" s="66" t="s">
        <v>546</v>
      </c>
    </row>
    <row r="259" hidden="1" ht="15.75" customHeight="1" s="32" customFormat="1">
      <c r="A259" s="37"/>
      <c r="B259" s="31" t="s">
        <v>32</v>
      </c>
      <c r="C259" s="59" t="s">
        <v>547</v>
      </c>
      <c r="D259" s="57" t="s">
        <v>30</v>
      </c>
      <c r="E259" s="57">
        <v>45536</v>
      </c>
      <c r="F259" s="38" t="str">
        <f>IF(C259&lt;&gt;"",VLOOKUP($C259,Carpetas!$C$5:$L$2060,2,FALSE),"")</f>
        <v>ECB044</v>
      </c>
      <c r="G259" s="38" t="s">
        <v>43</v>
      </c>
      <c r="H259" s="44">
        <f>IF(C259&lt;&gt;"",VLOOKUP($C259,Carpetas!$C$5:$L$2060,9,FALSE),"")</f>
        <v>1501998</v>
      </c>
      <c r="I259" s="51" t="str">
        <f>IF(C259&lt;&gt;"",VLOOKUP($C259,Carpetas!$C$5:$L$2060,5,FALSE),"")</f>
        <v>Andino</v>
      </c>
      <c r="J259" s="51"/>
      <c r="K259" s="50">
        <v>45554</v>
      </c>
      <c r="L259" s="39" t="str">
        <f>VLOOKUP($C259,Carpetas!$C$5:$L$2060,4,FALSE)</f>
        <v>Fray Bentos</v>
      </c>
      <c r="M259" s="55">
        <f t="shared" si="18"/>
        <v>45555</v>
      </c>
      <c r="N259" s="53">
        <f t="shared" si="14"/>
        <v>19</v>
      </c>
      <c r="O259" s="51">
        <v>1080</v>
      </c>
      <c r="P259" s="51"/>
      <c r="Q259" s="51"/>
      <c r="R259" s="51"/>
      <c r="S259" s="51"/>
      <c r="T259" s="65"/>
      <c r="U259" s="65"/>
      <c r="V259" s="65"/>
      <c r="W259" s="51"/>
      <c r="X259" s="66" t="s">
        <v>539</v>
      </c>
    </row>
    <row r="260" hidden="1" ht="15.75" customHeight="1" s="32" customFormat="1">
      <c r="A260" s="37"/>
      <c r="B260" s="31" t="s">
        <v>32</v>
      </c>
      <c r="C260" s="59" t="s">
        <v>547</v>
      </c>
      <c r="D260" s="57" t="s">
        <v>30</v>
      </c>
      <c r="E260" s="57">
        <v>45536</v>
      </c>
      <c r="F260" s="38" t="str">
        <f>IF(C260&lt;&gt;"",VLOOKUP($C260,Carpetas!$C$5:$L$2060,2,FALSE),"")</f>
        <v>ECB044</v>
      </c>
      <c r="G260" s="38" t="s">
        <v>43</v>
      </c>
      <c r="H260" s="44">
        <f>IF(C260&lt;&gt;"",VLOOKUP($C260,Carpetas!$C$5:$L$2060,9,FALSE),"")</f>
        <v>1501998</v>
      </c>
      <c r="I260" s="51" t="str">
        <f>IF(C260&lt;&gt;"",VLOOKUP($C260,Carpetas!$C$5:$L$2060,5,FALSE),"")</f>
        <v>Andino</v>
      </c>
      <c r="J260" s="51"/>
      <c r="K260" s="50">
        <v>45554</v>
      </c>
      <c r="L260" s="39" t="str">
        <f>VLOOKUP($C260,Carpetas!$C$5:$L$2060,4,FALSE)</f>
        <v>Fray Bentos</v>
      </c>
      <c r="M260" s="55">
        <f t="shared" si="18"/>
        <v>45555</v>
      </c>
      <c r="N260" s="53">
        <f t="shared" si="14"/>
        <v>19</v>
      </c>
      <c r="O260" s="51">
        <v>1080</v>
      </c>
      <c r="P260" s="51"/>
      <c r="Q260" s="51"/>
      <c r="R260" s="51"/>
      <c r="S260" s="51"/>
      <c r="T260" s="65"/>
      <c r="U260" s="65"/>
      <c r="V260" s="65"/>
      <c r="W260" s="51"/>
      <c r="X260" s="66" t="s">
        <v>539</v>
      </c>
    </row>
    <row r="261" hidden="1" ht="15.75" customHeight="1" s="32" customFormat="1">
      <c r="A261" s="37"/>
      <c r="B261" s="31" t="s">
        <v>32</v>
      </c>
      <c r="C261" s="59" t="s">
        <v>543</v>
      </c>
      <c r="D261" s="57" t="s">
        <v>30</v>
      </c>
      <c r="E261" s="57">
        <v>45536</v>
      </c>
      <c r="F261" s="38" t="str">
        <f>IF(C261&lt;&gt;"",VLOOKUP($C261,Carpetas!$C$5:$L$2060,2,FALSE),"")</f>
        <v>ECE046</v>
      </c>
      <c r="G261" s="38" t="s">
        <v>43</v>
      </c>
      <c r="H261" s="44">
        <f>IF(C261&lt;&gt;"",VLOOKUP($C261,Carpetas!$C$5:$L$2060,9,FALSE),"")</f>
        <v>1501395</v>
      </c>
      <c r="I261" s="51" t="str">
        <f>IF(C261&lt;&gt;"",VLOOKUP($C261,Carpetas!$C$5:$L$2060,5,FALSE),"")</f>
        <v>Andino</v>
      </c>
      <c r="J261" s="51"/>
      <c r="K261" s="50">
        <v>45555</v>
      </c>
      <c r="L261" s="39" t="str">
        <f>VLOOKUP($C261,Carpetas!$C$5:$L$2060,4,FALSE)</f>
        <v>Fray Bentos</v>
      </c>
      <c r="M261" s="55">
        <v>45556</v>
      </c>
      <c r="N261" s="53">
        <f t="shared" si="14"/>
        <v>20</v>
      </c>
      <c r="O261" s="51">
        <v>1080</v>
      </c>
      <c r="P261" s="51"/>
      <c r="Q261" s="51"/>
      <c r="R261" s="51"/>
      <c r="S261" s="51"/>
      <c r="T261" s="65"/>
      <c r="U261" s="65"/>
      <c r="V261" s="65"/>
      <c r="W261" s="51"/>
      <c r="X261" s="66" t="s">
        <v>539</v>
      </c>
    </row>
    <row r="262" hidden="1" ht="15.75" customHeight="1" s="32" customFormat="1">
      <c r="A262" s="37"/>
      <c r="B262" s="31" t="s">
        <v>32</v>
      </c>
      <c r="C262" s="59" t="s">
        <v>548</v>
      </c>
      <c r="D262" s="57" t="s">
        <v>30</v>
      </c>
      <c r="E262" s="57">
        <v>45536</v>
      </c>
      <c r="F262" s="38" t="str">
        <f>IF(C262&lt;&gt;"",VLOOKUP($C262,Carpetas!$C$5:$L$2060,2,FALSE),"")</f>
        <v>ECB045</v>
      </c>
      <c r="G262" s="38" t="s">
        <v>43</v>
      </c>
      <c r="H262" s="44">
        <f>IF(C262&lt;&gt;"",VLOOKUP($C262,Carpetas!$C$5:$L$2060,9,FALSE),"")</f>
        <v>1501999</v>
      </c>
      <c r="I262" s="51" t="str">
        <f>IF(C262&lt;&gt;"",VLOOKUP($C262,Carpetas!$C$5:$L$2060,5,FALSE),"")</f>
        <v>Andino</v>
      </c>
      <c r="J262" s="51"/>
      <c r="K262" s="50">
        <v>45555</v>
      </c>
      <c r="L262" s="39" t="str">
        <f>VLOOKUP($C262,Carpetas!$C$5:$L$2060,4,FALSE)</f>
        <v>Fray Bentos</v>
      </c>
      <c r="M262" s="55">
        <f ref="M262:M272" t="shared" si="19">K262+1</f>
        <v>45556</v>
      </c>
      <c r="N262" s="53">
        <f ref="N262:N325" t="shared" si="20">IF(M262&lt;&gt;"",M262-E262,"-")</f>
        <v>20</v>
      </c>
      <c r="O262" s="51">
        <v>1080</v>
      </c>
      <c r="P262" s="51"/>
      <c r="Q262" s="51"/>
      <c r="R262" s="51"/>
      <c r="S262" s="51"/>
      <c r="T262" s="65"/>
      <c r="U262" s="65"/>
      <c r="V262" s="65"/>
      <c r="W262" s="51"/>
      <c r="X262" s="66" t="s">
        <v>539</v>
      </c>
    </row>
    <row r="263" hidden="1" ht="15.75" customHeight="1" s="32" customFormat="1">
      <c r="A263" s="37"/>
      <c r="B263" s="31" t="s">
        <v>32</v>
      </c>
      <c r="C263" s="59" t="s">
        <v>549</v>
      </c>
      <c r="D263" s="57" t="s">
        <v>30</v>
      </c>
      <c r="E263" s="57">
        <v>45536</v>
      </c>
      <c r="F263" s="38" t="str">
        <f>IF(C263&lt;&gt;"",VLOOKUP($C263,Carpetas!$C$5:$L$2060,2,FALSE),"")</f>
        <v>COB009</v>
      </c>
      <c r="G263" s="38" t="s">
        <v>267</v>
      </c>
      <c r="H263" s="44">
        <f>IF(C263&lt;&gt;"",VLOOKUP($C263,Carpetas!$C$5:$L$2060,9,FALSE),"")</f>
        <v>0</v>
      </c>
      <c r="I263" s="51" t="str">
        <f>IF(C263&lt;&gt;"",VLOOKUP($C263,Carpetas!$C$5:$L$2060,5,FALSE),"")</f>
        <v>Andino</v>
      </c>
      <c r="J263" s="51"/>
      <c r="K263" s="50">
        <v>45555</v>
      </c>
      <c r="L263" s="39" t="str">
        <f>VLOOKUP($C263,Carpetas!$C$5:$L$2060,4,FALSE)</f>
        <v>Fray Bentos</v>
      </c>
      <c r="M263" s="55">
        <f t="shared" si="19"/>
        <v>45556</v>
      </c>
      <c r="N263" s="53">
        <f t="shared" si="20"/>
        <v>20</v>
      </c>
      <c r="O263" s="51">
        <v>1080</v>
      </c>
      <c r="P263" s="51"/>
      <c r="Q263" s="51">
        <v>1080</v>
      </c>
      <c r="R263" s="51">
        <v>20</v>
      </c>
      <c r="S263" s="51">
        <v>19.5</v>
      </c>
      <c r="T263" s="65"/>
      <c r="U263" s="65"/>
      <c r="V263" s="65"/>
      <c r="W263" s="51" t="s">
        <v>67</v>
      </c>
      <c r="X263" s="66" t="s">
        <v>550</v>
      </c>
    </row>
    <row r="264" hidden="1" ht="15.75" customHeight="1" s="32" customFormat="1">
      <c r="A264" s="37"/>
      <c r="B264" s="31" t="s">
        <v>32</v>
      </c>
      <c r="C264" s="59" t="s">
        <v>551</v>
      </c>
      <c r="D264" s="57" t="s">
        <v>470</v>
      </c>
      <c r="E264" s="57">
        <v>45551</v>
      </c>
      <c r="F264" s="38" t="str">
        <f>IF(C264&lt;&gt;"",VLOOKUP($C264,Carpetas!$C$5:$L$2060,2,FALSE),"")</f>
        <v>CLP009</v>
      </c>
      <c r="G264" s="38" t="s">
        <v>485</v>
      </c>
      <c r="H264" s="44">
        <f>IF(C264&lt;&gt;"",VLOOKUP($C264,Carpetas!$C$5:$L$2060,9,FALSE),"")</f>
        <v>1503480</v>
      </c>
      <c r="I264" s="51" t="str">
        <f>IF(C264&lt;&gt;"",VLOOKUP($C264,Carpetas!$C$5:$L$2060,5,FALSE),"")</f>
        <v>Nihuil</v>
      </c>
      <c r="J264" s="51"/>
      <c r="K264" s="50">
        <f>E264+5</f>
        <v>45556</v>
      </c>
      <c r="L264" s="39" t="str">
        <f>VLOOKUP($C264,Carpetas!$C$5:$L$2060,4,FALSE)</f>
        <v>Fray Bentos</v>
      </c>
      <c r="M264" s="55">
        <f t="shared" si="19"/>
        <v>45557</v>
      </c>
      <c r="N264" s="53">
        <f t="shared" si="20"/>
        <v>6</v>
      </c>
      <c r="O264" s="51">
        <v>2112</v>
      </c>
      <c r="P264" s="51"/>
      <c r="Q264" s="51"/>
      <c r="R264" s="51"/>
      <c r="S264" s="51"/>
      <c r="T264" s="65"/>
      <c r="U264" s="65"/>
      <c r="V264" s="65" t="s">
        <v>93</v>
      </c>
      <c r="W264" s="51"/>
      <c r="X264" s="66"/>
    </row>
    <row r="265" hidden="1" ht="15.75" customHeight="1" s="32" customFormat="1">
      <c r="A265" s="37"/>
      <c r="B265" s="31" t="s">
        <v>32</v>
      </c>
      <c r="C265" s="59" t="s">
        <v>552</v>
      </c>
      <c r="D265" s="57" t="s">
        <v>42</v>
      </c>
      <c r="E265" s="57">
        <v>45544</v>
      </c>
      <c r="F265" s="38" t="str">
        <f>IF(C265&lt;&gt;"",VLOOKUP($C265,Carpetas!$C$5:$L$2060,2,FALSE),"")</f>
        <v>ECA019</v>
      </c>
      <c r="G265" s="38" t="s">
        <v>43</v>
      </c>
      <c r="H265" s="44">
        <f>IF(C265&lt;&gt;"",VLOOKUP($C265,Carpetas!$C$5:$L$2060,9,FALSE),"")</f>
        <v>1502017</v>
      </c>
      <c r="I265" s="51" t="str">
        <f>IF(C265&lt;&gt;"",VLOOKUP($C265,Carpetas!$C$5:$L$2060,5,FALSE),"")</f>
        <v>Andino</v>
      </c>
      <c r="J265" s="51"/>
      <c r="K265" s="50">
        <v>45562</v>
      </c>
      <c r="L265" s="39" t="str">
        <f>VLOOKUP($C265,Carpetas!$C$5:$L$2060,4,FALSE)</f>
        <v>Fray Bentos</v>
      </c>
      <c r="M265" s="55">
        <f t="shared" si="19"/>
        <v>45563</v>
      </c>
      <c r="N265" s="53">
        <f t="shared" si="20"/>
        <v>19</v>
      </c>
      <c r="O265" s="51">
        <v>1680</v>
      </c>
      <c r="P265" s="51"/>
      <c r="Q265" s="51"/>
      <c r="R265" s="51"/>
      <c r="S265" s="51"/>
      <c r="T265" s="65"/>
      <c r="U265" s="65"/>
      <c r="V265" s="65"/>
      <c r="W265" s="51"/>
      <c r="X265" s="66"/>
    </row>
    <row r="266" hidden="1" ht="15.75" customHeight="1" s="32" customFormat="1">
      <c r="A266" s="37"/>
      <c r="B266" s="31" t="s">
        <v>32</v>
      </c>
      <c r="C266" s="59" t="s">
        <v>553</v>
      </c>
      <c r="D266" s="57" t="s">
        <v>30</v>
      </c>
      <c r="E266" s="57">
        <v>45544</v>
      </c>
      <c r="F266" s="38" t="str">
        <f>IF(C266&lt;&gt;"",VLOOKUP($C266,Carpetas!$C$5:$L$2060,2,FALSE),"")</f>
        <v>ECB047</v>
      </c>
      <c r="G266" s="38" t="s">
        <v>43</v>
      </c>
      <c r="H266" s="44">
        <f>IF(C266&lt;&gt;"",VLOOKUP($C266,Carpetas!$C$5:$L$2060,9,FALSE),"")</f>
        <v>1502034</v>
      </c>
      <c r="I266" s="51" t="str">
        <f>IF(C266&lt;&gt;"",VLOOKUP($C266,Carpetas!$C$5:$L$2060,5,FALSE),"")</f>
        <v>Andino</v>
      </c>
      <c r="J266" s="51"/>
      <c r="K266" s="50">
        <v>45562</v>
      </c>
      <c r="L266" s="39" t="str">
        <f>VLOOKUP($C266,Carpetas!$C$5:$L$2060,4,FALSE)</f>
        <v>Fray Bentos</v>
      </c>
      <c r="M266" s="55">
        <f t="shared" si="19"/>
        <v>45563</v>
      </c>
      <c r="N266" s="53">
        <f t="shared" si="20"/>
        <v>19</v>
      </c>
      <c r="O266" s="51">
        <v>1080</v>
      </c>
      <c r="P266" s="51"/>
      <c r="Q266" s="51">
        <v>1080</v>
      </c>
      <c r="R266" s="51">
        <v>20</v>
      </c>
      <c r="S266" s="51">
        <v>21</v>
      </c>
      <c r="T266" s="65"/>
      <c r="U266" s="65"/>
      <c r="V266" s="65"/>
      <c r="W266" s="51" t="s">
        <v>140</v>
      </c>
      <c r="X266" s="66" t="s">
        <v>554</v>
      </c>
    </row>
    <row r="267" hidden="1" ht="27.75" customHeight="1" s="32" customFormat="1">
      <c r="A267" s="37"/>
      <c r="B267" s="31" t="s">
        <v>32</v>
      </c>
      <c r="C267" s="59" t="s">
        <v>555</v>
      </c>
      <c r="D267" s="57" t="s">
        <v>30</v>
      </c>
      <c r="E267" s="57">
        <v>45544</v>
      </c>
      <c r="F267" s="38" t="str">
        <f>IF(C267&lt;&gt;"",VLOOKUP($C267,Carpetas!$C$5:$L$2060,2,FALSE),"")</f>
        <v>ECE048</v>
      </c>
      <c r="G267" s="38" t="s">
        <v>43</v>
      </c>
      <c r="H267" s="44">
        <f>IF(C267&lt;&gt;"",VLOOKUP($C267,Carpetas!$C$5:$L$2060,9,FALSE),"")</f>
        <v>1502030</v>
      </c>
      <c r="I267" s="51" t="str">
        <f>IF(C267&lt;&gt;"",VLOOKUP($C267,Carpetas!$C$5:$L$2060,5,FALSE),"")</f>
        <v>Andino</v>
      </c>
      <c r="J267" s="51"/>
      <c r="K267" s="50">
        <v>45562</v>
      </c>
      <c r="L267" s="39" t="str">
        <f>VLOOKUP($C267,Carpetas!$C$5:$L$2060,4,FALSE)</f>
        <v>Fray Bentos</v>
      </c>
      <c r="M267" s="55">
        <f t="shared" si="19"/>
        <v>45563</v>
      </c>
      <c r="N267" s="53">
        <f t="shared" si="20"/>
        <v>19</v>
      </c>
      <c r="O267" s="51">
        <v>1128</v>
      </c>
      <c r="P267" s="51"/>
      <c r="Q267" s="51">
        <v>1120</v>
      </c>
      <c r="R267" s="51">
        <v>20</v>
      </c>
      <c r="S267" s="51">
        <v>21</v>
      </c>
      <c r="T267" s="65"/>
      <c r="U267" s="65"/>
      <c r="V267" s="65"/>
      <c r="W267" s="51" t="s">
        <v>110</v>
      </c>
      <c r="X267" s="66" t="s">
        <v>556</v>
      </c>
    </row>
    <row r="268" hidden="1" ht="15.75" customHeight="1" s="32" customFormat="1">
      <c r="A268" s="37"/>
      <c r="B268" s="31" t="s">
        <v>32</v>
      </c>
      <c r="C268" s="59" t="s">
        <v>557</v>
      </c>
      <c r="D268" s="57" t="s">
        <v>432</v>
      </c>
      <c r="E268" s="57">
        <v>45558</v>
      </c>
      <c r="F268" s="38" t="str">
        <f>IF(C268&lt;&gt;"",VLOOKUP($C268,Carpetas!$C$5:$L$2060,2,FALSE),"")</f>
        <v>CLK011</v>
      </c>
      <c r="G268" s="38" t="s">
        <v>485</v>
      </c>
      <c r="H268" s="44">
        <f>IF(C268&lt;&gt;"",VLOOKUP($C268,Carpetas!$C$5:$L$2060,9,FALSE),"")</f>
        <v>1504858</v>
      </c>
      <c r="I268" s="51" t="str">
        <f>IF(C268&lt;&gt;"",VLOOKUP($C268,Carpetas!$C$5:$L$2060,5,FALSE),"")</f>
        <v>Cisterna</v>
      </c>
      <c r="J268" s="51"/>
      <c r="K268" s="50">
        <f>E268+5</f>
        <v>45563</v>
      </c>
      <c r="L268" s="39" t="str">
        <f>VLOOKUP($C268,Carpetas!$C$5:$L$2060,4,FALSE)</f>
        <v>Fray Bentos</v>
      </c>
      <c r="M268" s="55">
        <f t="shared" si="19"/>
        <v>45564</v>
      </c>
      <c r="N268" s="53">
        <f t="shared" si="20"/>
        <v>6</v>
      </c>
      <c r="O268" s="51">
        <f>1152*2</f>
        <v>2304</v>
      </c>
      <c r="P268" s="51"/>
      <c r="Q268" s="51">
        <v>2112</v>
      </c>
      <c r="R268" s="51">
        <v>22</v>
      </c>
      <c r="S268" s="51">
        <v>10.5</v>
      </c>
      <c r="T268" s="65"/>
      <c r="U268" s="65"/>
      <c r="V268" s="65"/>
      <c r="W268" s="51" t="s">
        <v>558</v>
      </c>
      <c r="X268" s="66" t="s">
        <v>559</v>
      </c>
    </row>
    <row r="269" hidden="1" ht="15.75" customHeight="1" s="32" customFormat="1">
      <c r="A269" s="37"/>
      <c r="B269" s="31" t="s">
        <v>32</v>
      </c>
      <c r="C269" s="59" t="s">
        <v>560</v>
      </c>
      <c r="D269" s="57" t="s">
        <v>30</v>
      </c>
      <c r="E269" s="57">
        <v>45537</v>
      </c>
      <c r="F269" s="38" t="str">
        <f>IF(C269&lt;&gt;"",VLOOKUP($C269,Carpetas!$C$5:$L$2060,2,FALSE),"")</f>
        <v>COB010</v>
      </c>
      <c r="G269" s="38" t="s">
        <v>267</v>
      </c>
      <c r="H269" s="44">
        <f>IF(C269&lt;&gt;"",VLOOKUP($C269,Carpetas!$C$5:$L$2060,9,FALSE),"")</f>
        <v>0</v>
      </c>
      <c r="I269" s="51" t="str">
        <f>IF(C269&lt;&gt;"",VLOOKUP($C269,Carpetas!$C$5:$L$2060,5,FALSE),"")</f>
        <v>Andino</v>
      </c>
      <c r="J269" s="51"/>
      <c r="K269" s="50">
        <v>45565</v>
      </c>
      <c r="L269" s="39" t="str">
        <f>VLOOKUP($C269,Carpetas!$C$5:$L$2060,4,FALSE)</f>
        <v>Fray Bentos</v>
      </c>
      <c r="M269" s="55">
        <f t="shared" si="19"/>
        <v>45566</v>
      </c>
      <c r="N269" s="53">
        <f t="shared" si="20"/>
        <v>29</v>
      </c>
      <c r="O269" s="51">
        <v>1080</v>
      </c>
      <c r="P269" s="51"/>
      <c r="Q269" s="51">
        <v>1080</v>
      </c>
      <c r="R269" s="51">
        <v>20</v>
      </c>
      <c r="S269" s="51">
        <v>19.5</v>
      </c>
      <c r="T269" s="65"/>
      <c r="U269" s="65"/>
      <c r="V269" s="65"/>
      <c r="W269" s="51"/>
      <c r="X269" s="66" t="s">
        <v>561</v>
      </c>
    </row>
    <row r="270" hidden="1" ht="15.75" customHeight="1" s="32" customFormat="1">
      <c r="A270" s="37"/>
      <c r="B270" s="31" t="s">
        <v>32</v>
      </c>
      <c r="C270" s="59" t="s">
        <v>562</v>
      </c>
      <c r="D270" s="57" t="s">
        <v>30</v>
      </c>
      <c r="E270" s="57">
        <v>45544</v>
      </c>
      <c r="F270" s="38" t="str">
        <f>IF(C270&lt;&gt;"",VLOOKUP($C270,Carpetas!$C$5:$L$2060,2,FALSE),"")</f>
        <v>ECB046</v>
      </c>
      <c r="G270" s="38" t="s">
        <v>43</v>
      </c>
      <c r="H270" s="44">
        <f>IF(C270&lt;&gt;"",VLOOKUP($C270,Carpetas!$C$5:$L$2060,9,FALSE),"")</f>
        <v>1502033</v>
      </c>
      <c r="I270" s="51" t="str">
        <f>IF(C270&lt;&gt;"",VLOOKUP($C270,Carpetas!$C$5:$L$2060,5,FALSE),"")</f>
        <v>Andino</v>
      </c>
      <c r="J270" s="51"/>
      <c r="K270" s="50">
        <v>45565</v>
      </c>
      <c r="L270" s="39" t="str">
        <f>VLOOKUP($C270,Carpetas!$C$5:$L$2060,4,FALSE)</f>
        <v>Fray Bentos</v>
      </c>
      <c r="M270" s="55">
        <f t="shared" si="19"/>
        <v>45566</v>
      </c>
      <c r="N270" s="53">
        <f t="shared" si="20"/>
        <v>22</v>
      </c>
      <c r="O270" s="51">
        <v>2160</v>
      </c>
      <c r="P270" s="51"/>
      <c r="Q270" s="51">
        <v>2160</v>
      </c>
      <c r="R270" s="51">
        <v>40</v>
      </c>
      <c r="S270" s="51">
        <v>21.5</v>
      </c>
      <c r="T270" s="65"/>
      <c r="U270" s="65"/>
      <c r="V270" s="65"/>
      <c r="W270" s="51" t="s">
        <v>563</v>
      </c>
      <c r="X270" s="66" t="s">
        <v>564</v>
      </c>
    </row>
    <row r="271" hidden="1" ht="15.75" customHeight="1" s="32" customFormat="1">
      <c r="A271" s="37"/>
      <c r="B271" s="31" t="s">
        <v>32</v>
      </c>
      <c r="C271" s="59" t="s">
        <v>565</v>
      </c>
      <c r="D271" s="57" t="s">
        <v>30</v>
      </c>
      <c r="E271" s="57">
        <v>45550</v>
      </c>
      <c r="F271" s="38" t="str">
        <f>IF(C271&lt;&gt;"",VLOOKUP($C271,Carpetas!$C$5:$L$2060,2,FALSE),"")</f>
        <v>ECB048</v>
      </c>
      <c r="G271" s="38" t="s">
        <v>43</v>
      </c>
      <c r="H271" s="44">
        <f>IF(C271&lt;&gt;"",VLOOKUP($C271,Carpetas!$C$5:$L$2060,9,FALSE),"")</f>
        <v>1502925</v>
      </c>
      <c r="I271" s="51" t="str">
        <f>IF(C271&lt;&gt;"",VLOOKUP($C271,Carpetas!$C$5:$L$2060,5,FALSE),"")</f>
        <v>Andino</v>
      </c>
      <c r="J271" s="51"/>
      <c r="K271" s="50">
        <v>45568</v>
      </c>
      <c r="L271" s="39" t="str">
        <f>VLOOKUP($C271,Carpetas!$C$5:$L$2060,4,FALSE)</f>
        <v>Fray Bentos</v>
      </c>
      <c r="M271" s="55">
        <f t="shared" si="19"/>
        <v>45569</v>
      </c>
      <c r="N271" s="53">
        <f t="shared" si="20"/>
        <v>19</v>
      </c>
      <c r="O271" s="51">
        <v>2160</v>
      </c>
      <c r="P271" s="51"/>
      <c r="Q271" s="51">
        <v>2160</v>
      </c>
      <c r="R271" s="51">
        <v>40</v>
      </c>
      <c r="S271" s="51">
        <v>21</v>
      </c>
      <c r="T271" s="65"/>
      <c r="U271" s="65"/>
      <c r="V271" s="65"/>
      <c r="W271" s="51" t="s">
        <v>566</v>
      </c>
      <c r="X271" s="66" t="s">
        <v>567</v>
      </c>
    </row>
    <row r="272" hidden="1" ht="15.75" customHeight="1" s="32" customFormat="1">
      <c r="A272" s="37"/>
      <c r="B272" s="31" t="s">
        <v>32</v>
      </c>
      <c r="C272" s="59" t="s">
        <v>568</v>
      </c>
      <c r="D272" s="57" t="s">
        <v>30</v>
      </c>
      <c r="E272" s="57">
        <v>45550</v>
      </c>
      <c r="F272" s="38" t="str">
        <f>IF(C272&lt;&gt;"",VLOOKUP($C272,Carpetas!$C$5:$L$2060,2,FALSE),"")</f>
        <v>ECB049</v>
      </c>
      <c r="G272" s="38" t="s">
        <v>43</v>
      </c>
      <c r="H272" s="44">
        <f>IF(C272&lt;&gt;"",VLOOKUP($C272,Carpetas!$C$5:$L$2060,9,FALSE),"")</f>
        <v>1502926</v>
      </c>
      <c r="I272" s="51" t="str">
        <f>IF(C272&lt;&gt;"",VLOOKUP($C272,Carpetas!$C$5:$L$2060,5,FALSE),"")</f>
        <v>Andino</v>
      </c>
      <c r="J272" s="51"/>
      <c r="K272" s="50">
        <v>45568</v>
      </c>
      <c r="L272" s="39" t="str">
        <f>VLOOKUP($C272,Carpetas!$C$5:$L$2060,4,FALSE)</f>
        <v>Fray Bentos</v>
      </c>
      <c r="M272" s="55">
        <f t="shared" si="19"/>
        <v>45569</v>
      </c>
      <c r="N272" s="53">
        <f t="shared" si="20"/>
        <v>19</v>
      </c>
      <c r="O272" s="51">
        <v>1080</v>
      </c>
      <c r="P272" s="51"/>
      <c r="Q272" s="51">
        <v>1080</v>
      </c>
      <c r="R272" s="51">
        <v>20</v>
      </c>
      <c r="S272" s="51">
        <v>21</v>
      </c>
      <c r="T272" s="65"/>
      <c r="U272" s="65"/>
      <c r="V272" s="65"/>
      <c r="W272" s="51" t="s">
        <v>94</v>
      </c>
      <c r="X272" s="66" t="s">
        <v>569</v>
      </c>
    </row>
    <row r="273" hidden="1" ht="15.75" customHeight="1" s="32" customFormat="1">
      <c r="A273" s="37"/>
      <c r="B273" s="31" t="s">
        <v>32</v>
      </c>
      <c r="C273" s="59" t="s">
        <v>570</v>
      </c>
      <c r="D273" s="57" t="s">
        <v>571</v>
      </c>
      <c r="E273" s="57">
        <v>45542</v>
      </c>
      <c r="F273" s="38" t="str">
        <f>IF(C273&lt;&gt;"",VLOOKUP($C273,Carpetas!$C$5:$L$2060,2,FALSE),"")</f>
        <v>ESC002</v>
      </c>
      <c r="G273" s="38" t="s">
        <v>361</v>
      </c>
      <c r="H273" s="44">
        <f>IF(C273&lt;&gt;"",VLOOKUP($C273,Carpetas!$C$5:$L$2060,9,FALSE),"")</f>
        <v>0</v>
      </c>
      <c r="I273" s="51" t="str">
        <f>IF(C273&lt;&gt;"",VLOOKUP($C273,Carpetas!$C$5:$L$2060,5,FALSE),"")</f>
        <v>Ciatran</v>
      </c>
      <c r="J273" s="51"/>
      <c r="K273" s="50">
        <v>45567</v>
      </c>
      <c r="L273" s="39" t="str">
        <f>VLOOKUP($C273,Carpetas!$C$5:$L$2060,4,FALSE)</f>
        <v>Montevideo</v>
      </c>
      <c r="M273" s="55">
        <v>45570</v>
      </c>
      <c r="N273" s="53">
        <f t="shared" si="20"/>
        <v>28</v>
      </c>
      <c r="O273" s="51">
        <v>2352</v>
      </c>
      <c r="P273" s="51"/>
      <c r="Q273" s="51"/>
      <c r="R273" s="51"/>
      <c r="S273" s="51"/>
      <c r="T273" s="65"/>
      <c r="U273" s="65"/>
      <c r="V273" s="65"/>
      <c r="W273" s="51"/>
      <c r="X273" s="66"/>
    </row>
    <row r="274" hidden="1" ht="15.75" customHeight="1" s="32" customFormat="1">
      <c r="A274" s="37"/>
      <c r="B274" s="31" t="s">
        <v>32</v>
      </c>
      <c r="C274" s="59" t="s">
        <v>572</v>
      </c>
      <c r="D274" s="57" t="s">
        <v>470</v>
      </c>
      <c r="E274" s="57">
        <v>45567</v>
      </c>
      <c r="F274" s="38" t="str">
        <f>IF(C274&lt;&gt;"",VLOOKUP($C274,Carpetas!$C$5:$L$2060,2,FALSE),"")</f>
        <v>CLP010</v>
      </c>
      <c r="G274" s="38" t="s">
        <v>485</v>
      </c>
      <c r="H274" s="44">
        <f>IF(C274&lt;&gt;"",VLOOKUP($C274,Carpetas!$C$5:$L$2060,9,FALSE),"")</f>
        <v>1505466</v>
      </c>
      <c r="I274" s="51" t="str">
        <f>IF(C274&lt;&gt;"",VLOOKUP($C274,Carpetas!$C$5:$L$2060,5,FALSE),"")</f>
        <v>Nihuil</v>
      </c>
      <c r="J274" s="51"/>
      <c r="K274" s="50">
        <v>45569</v>
      </c>
      <c r="L274" s="39" t="str">
        <f>VLOOKUP($C274,Carpetas!$C$5:$L$2060,4,FALSE)</f>
        <v>Fray Bentos</v>
      </c>
      <c r="M274" s="55">
        <f>K274+1</f>
        <v>45570</v>
      </c>
      <c r="N274" s="53">
        <f t="shared" si="20"/>
        <v>3</v>
      </c>
      <c r="O274" s="51">
        <v>2112</v>
      </c>
      <c r="P274" s="51"/>
      <c r="Q274" s="51">
        <v>2112</v>
      </c>
      <c r="R274" s="51">
        <v>24</v>
      </c>
      <c r="S274" s="51">
        <v>11.5</v>
      </c>
      <c r="T274" s="65"/>
      <c r="U274" s="65"/>
      <c r="V274" s="65"/>
      <c r="W274" s="51" t="s">
        <v>573</v>
      </c>
      <c r="X274" s="66" t="s">
        <v>574</v>
      </c>
    </row>
    <row r="275" hidden="1" ht="15.75" customHeight="1" s="32" customFormat="1">
      <c r="A275" s="37"/>
      <c r="B275" s="31" t="s">
        <v>32</v>
      </c>
      <c r="C275" s="59" t="s">
        <v>575</v>
      </c>
      <c r="D275" s="57" t="s">
        <v>30</v>
      </c>
      <c r="E275" s="57">
        <v>45550</v>
      </c>
      <c r="F275" s="38" t="str">
        <f>IF(C275&lt;&gt;"",VLOOKUP($C275,Carpetas!$C$5:$L$2060,2,FALSE),"")</f>
        <v>ECE049</v>
      </c>
      <c r="G275" s="38" t="s">
        <v>43</v>
      </c>
      <c r="H275" s="44">
        <f>IF(C275&lt;&gt;"",VLOOKUP($C275,Carpetas!$C$5:$L$2060,9,FALSE),"")</f>
        <v>1502924</v>
      </c>
      <c r="I275" s="51" t="str">
        <f>IF(C275&lt;&gt;"",VLOOKUP($C275,Carpetas!$C$5:$L$2060,5,FALSE),"")</f>
        <v>Andino</v>
      </c>
      <c r="J275" s="51"/>
      <c r="K275" s="50">
        <v>45569</v>
      </c>
      <c r="L275" s="39" t="str">
        <f>VLOOKUP($C275,Carpetas!$C$5:$L$2060,4,FALSE)</f>
        <v>Fray Bentos</v>
      </c>
      <c r="M275" s="55">
        <f>K275+1</f>
        <v>45570</v>
      </c>
      <c r="N275" s="53">
        <f t="shared" si="20"/>
        <v>20</v>
      </c>
      <c r="O275" s="51">
        <v>2208</v>
      </c>
      <c r="P275" s="51"/>
      <c r="Q275" s="51">
        <v>2208</v>
      </c>
      <c r="R275" s="51">
        <v>20</v>
      </c>
      <c r="S275" s="51">
        <v>21</v>
      </c>
      <c r="T275" s="65"/>
      <c r="U275" s="65"/>
      <c r="V275" s="65"/>
      <c r="W275" s="51" t="s">
        <v>576</v>
      </c>
      <c r="X275" s="66" t="s">
        <v>577</v>
      </c>
    </row>
    <row r="276" hidden="1" ht="15.75" customHeight="1" s="32" customFormat="1">
      <c r="A276" s="37"/>
      <c r="B276" s="31" t="s">
        <v>32</v>
      </c>
      <c r="C276" s="59" t="s">
        <v>578</v>
      </c>
      <c r="D276" s="57" t="s">
        <v>30</v>
      </c>
      <c r="E276" s="57">
        <v>45546</v>
      </c>
      <c r="F276" s="38" t="str">
        <f>IF(C276&lt;&gt;"",VLOOKUP($C276,Carpetas!$C$5:$L$2060,2,FALSE),"")</f>
        <v>COB011</v>
      </c>
      <c r="G276" s="38" t="s">
        <v>267</v>
      </c>
      <c r="H276" s="44">
        <f>IF(C276&lt;&gt;"",VLOOKUP($C276,Carpetas!$C$5:$L$2060,9,FALSE),"")</f>
        <v>0</v>
      </c>
      <c r="I276" s="51" t="str">
        <f>IF(C276&lt;&gt;"",VLOOKUP($C276,Carpetas!$C$5:$L$2060,5,FALSE),"")</f>
        <v>Andino</v>
      </c>
      <c r="J276" s="51"/>
      <c r="K276" s="50">
        <v>45574</v>
      </c>
      <c r="L276" s="39" t="str">
        <f>VLOOKUP($C276,Carpetas!$C$5:$L$2060,4,FALSE)</f>
        <v>Fray Bentos</v>
      </c>
      <c r="M276" s="55">
        <f>K276+1</f>
        <v>45575</v>
      </c>
      <c r="N276" s="53">
        <f t="shared" si="20"/>
        <v>29</v>
      </c>
      <c r="O276" s="51">
        <v>2160</v>
      </c>
      <c r="P276" s="51"/>
      <c r="Q276" s="51">
        <v>2160</v>
      </c>
      <c r="R276" s="51">
        <v>40</v>
      </c>
      <c r="S276" s="51">
        <v>20</v>
      </c>
      <c r="T276" s="65"/>
      <c r="U276" s="65"/>
      <c r="V276" s="65"/>
      <c r="W276" s="51" t="s">
        <v>579</v>
      </c>
      <c r="X276" s="66" t="s">
        <v>580</v>
      </c>
    </row>
    <row r="277" hidden="1" ht="15.75" customHeight="1" s="32" customFormat="1">
      <c r="A277" s="37"/>
      <c r="B277" s="31" t="s">
        <v>32</v>
      </c>
      <c r="C277" s="59" t="s">
        <v>581</v>
      </c>
      <c r="D277" s="57" t="s">
        <v>30</v>
      </c>
      <c r="E277" s="57">
        <v>45550</v>
      </c>
      <c r="F277" s="38" t="str">
        <f>IF(C277&lt;&gt;"",VLOOKUP($C277,Carpetas!$C$5:$L$2060,2,FALSE),"")</f>
        <v>COB012</v>
      </c>
      <c r="G277" s="38" t="s">
        <v>267</v>
      </c>
      <c r="H277" s="44">
        <f>IF(C277&lt;&gt;"",VLOOKUP($C277,Carpetas!$C$5:$L$2060,9,FALSE),"")</f>
        <v>0</v>
      </c>
      <c r="I277" s="51" t="str">
        <f>IF(C277&lt;&gt;"",VLOOKUP($C277,Carpetas!$C$5:$L$2060,5,FALSE),"")</f>
        <v>Andino</v>
      </c>
      <c r="J277" s="51"/>
      <c r="K277" s="50">
        <v>45574</v>
      </c>
      <c r="L277" s="39" t="str">
        <f>VLOOKUP($C277,Carpetas!$C$5:$L$2060,4,FALSE)</f>
        <v>Fray Bentos</v>
      </c>
      <c r="M277" s="55">
        <f>K277+1</f>
        <v>45575</v>
      </c>
      <c r="N277" s="53">
        <f t="shared" si="20"/>
        <v>25</v>
      </c>
      <c r="O277" s="51">
        <v>2160</v>
      </c>
      <c r="P277" s="51"/>
      <c r="Q277" s="51">
        <v>2160</v>
      </c>
      <c r="R277" s="51">
        <v>40</v>
      </c>
      <c r="S277" s="51" t="s">
        <v>582</v>
      </c>
      <c r="T277" s="65"/>
      <c r="U277" s="65"/>
      <c r="V277" s="65"/>
      <c r="W277" s="51" t="s">
        <v>583</v>
      </c>
      <c r="X277" s="66" t="s">
        <v>584</v>
      </c>
    </row>
    <row r="278" hidden="1" ht="15.75" customHeight="1" s="32" customFormat="1">
      <c r="A278" s="37"/>
      <c r="B278" s="31" t="s">
        <v>32</v>
      </c>
      <c r="C278" s="59" t="s">
        <v>585</v>
      </c>
      <c r="D278" s="57" t="s">
        <v>30</v>
      </c>
      <c r="E278" s="57">
        <v>45557</v>
      </c>
      <c r="F278" s="38" t="str">
        <f>IF(C278&lt;&gt;"",VLOOKUP($C278,Carpetas!$C$5:$L$2060,2,FALSE),"")</f>
        <v>ECE051</v>
      </c>
      <c r="G278" s="38" t="s">
        <v>43</v>
      </c>
      <c r="H278" s="44">
        <f>IF(C278&lt;&gt;"",VLOOKUP($C278,Carpetas!$C$5:$L$2060,9,FALSE),"")</f>
        <v>1503561</v>
      </c>
      <c r="I278" s="51" t="str">
        <f>IF(C278&lt;&gt;"",VLOOKUP($C278,Carpetas!$C$5:$L$2060,5,FALSE),"")</f>
        <v>Andino</v>
      </c>
      <c r="J278" s="51"/>
      <c r="K278" s="50">
        <v>45576</v>
      </c>
      <c r="L278" s="39" t="str">
        <f>VLOOKUP($C278,Carpetas!$C$5:$L$2060,4,FALSE)</f>
        <v>Fray Bentos</v>
      </c>
      <c r="M278" s="55">
        <v>45579</v>
      </c>
      <c r="N278" s="53">
        <f t="shared" si="20"/>
        <v>22</v>
      </c>
      <c r="O278" s="51">
        <v>2160</v>
      </c>
      <c r="P278" s="51"/>
      <c r="Q278" s="51">
        <v>2160</v>
      </c>
      <c r="R278" s="51">
        <v>40</v>
      </c>
      <c r="S278" s="51">
        <v>21</v>
      </c>
      <c r="T278" s="65"/>
      <c r="U278" s="65"/>
      <c r="V278" s="65"/>
      <c r="W278" s="51" t="s">
        <v>586</v>
      </c>
      <c r="X278" s="66" t="s">
        <v>587</v>
      </c>
    </row>
    <row r="279" hidden="1" ht="15.75" customHeight="1" s="32" customFormat="1">
      <c r="A279" s="37"/>
      <c r="B279" s="31" t="s">
        <v>32</v>
      </c>
      <c r="C279" s="59" t="s">
        <v>588</v>
      </c>
      <c r="D279" s="57" t="s">
        <v>30</v>
      </c>
      <c r="E279" s="57">
        <v>45557</v>
      </c>
      <c r="F279" s="38" t="str">
        <f>IF(C279&lt;&gt;"",VLOOKUP($C279,Carpetas!$C$5:$L$2060,2,FALSE),"")</f>
        <v>ECB051</v>
      </c>
      <c r="G279" s="38" t="s">
        <v>43</v>
      </c>
      <c r="H279" s="44">
        <f>IF(C279&lt;&gt;"",VLOOKUP($C279,Carpetas!$C$5:$L$2060,9,FALSE),"")</f>
        <v>1503355</v>
      </c>
      <c r="I279" s="51" t="str">
        <f>IF(C279&lt;&gt;"",VLOOKUP($C279,Carpetas!$C$5:$L$2060,5,FALSE),"")</f>
        <v>Andino</v>
      </c>
      <c r="J279" s="51"/>
      <c r="K279" s="50">
        <v>45576</v>
      </c>
      <c r="L279" s="39" t="str">
        <f>VLOOKUP($C279,Carpetas!$C$5:$L$2060,4,FALSE)</f>
        <v>Fray Bentos</v>
      </c>
      <c r="M279" s="55">
        <v>45579</v>
      </c>
      <c r="N279" s="53">
        <f t="shared" si="20"/>
        <v>22</v>
      </c>
      <c r="O279" s="51">
        <v>1080</v>
      </c>
      <c r="P279" s="51"/>
      <c r="Q279" s="51">
        <v>1080</v>
      </c>
      <c r="R279" s="51">
        <v>20</v>
      </c>
      <c r="S279" s="51">
        <v>21</v>
      </c>
      <c r="T279" s="65"/>
      <c r="U279" s="65"/>
      <c r="V279" s="65"/>
      <c r="W279" s="51" t="s">
        <v>143</v>
      </c>
      <c r="X279" s="66" t="s">
        <v>589</v>
      </c>
    </row>
    <row r="280" hidden="1" ht="15.75" customHeight="1" s="32" customFormat="1">
      <c r="A280" s="37"/>
      <c r="B280" s="31" t="s">
        <v>32</v>
      </c>
      <c r="C280" s="59" t="s">
        <v>590</v>
      </c>
      <c r="D280" s="57" t="s">
        <v>42</v>
      </c>
      <c r="E280" s="57">
        <v>45557</v>
      </c>
      <c r="F280" s="38" t="str">
        <f>IF(C280&lt;&gt;"",VLOOKUP($C280,Carpetas!$C$5:$L$2060,2,FALSE),"")</f>
        <v>ECA020</v>
      </c>
      <c r="G280" s="38" t="s">
        <v>43</v>
      </c>
      <c r="H280" s="44">
        <f>IF(C280&lt;&gt;"",VLOOKUP($C280,Carpetas!$C$5:$L$2060,9,FALSE),"")</f>
        <v>1504711</v>
      </c>
      <c r="I280" s="51" t="str">
        <f>IF(C280&lt;&gt;"",VLOOKUP($C280,Carpetas!$C$5:$L$2060,5,FALSE),"")</f>
        <v>Andino</v>
      </c>
      <c r="J280" s="51"/>
      <c r="K280" s="50">
        <v>45576</v>
      </c>
      <c r="L280" s="39" t="str">
        <f>VLOOKUP($C280,Carpetas!$C$5:$L$2060,4,FALSE)</f>
        <v>Fray Bentos</v>
      </c>
      <c r="M280" s="55">
        <v>45579</v>
      </c>
      <c r="N280" s="53">
        <f t="shared" si="20"/>
        <v>22</v>
      </c>
      <c r="O280" s="51">
        <v>1680</v>
      </c>
      <c r="P280" s="51"/>
      <c r="Q280" s="51"/>
      <c r="R280" s="51"/>
      <c r="S280" s="51"/>
      <c r="T280" s="65"/>
      <c r="U280" s="65"/>
      <c r="V280" s="65"/>
      <c r="W280" s="51"/>
      <c r="X280" s="66"/>
    </row>
    <row r="281" hidden="1" ht="15.75" customHeight="1" s="32" customFormat="1">
      <c r="A281" s="37"/>
      <c r="B281" s="31" t="s">
        <v>32</v>
      </c>
      <c r="C281" s="59" t="s">
        <v>591</v>
      </c>
      <c r="D281" s="57" t="s">
        <v>48</v>
      </c>
      <c r="E281" s="57">
        <v>45548</v>
      </c>
      <c r="F281" s="38" t="str">
        <f>IF(C281&lt;&gt;"",VLOOKUP($C281,Carpetas!$C$5:$L$2060,2,FALSE),"")</f>
        <v>MXP013</v>
      </c>
      <c r="G281" s="38" t="s">
        <v>78</v>
      </c>
      <c r="H281" s="44">
        <f>IF(C281&lt;&gt;"",VLOOKUP($C281,Carpetas!$C$5:$L$2060,9,FALSE),"")</f>
        <v>1501786</v>
      </c>
      <c r="I281" s="51" t="str">
        <f>IF(C281&lt;&gt;"",VLOOKUP($C281,Carpetas!$C$5:$L$2060,5,FALSE),"")</f>
        <v>Andino</v>
      </c>
      <c r="J281" s="51"/>
      <c r="K281" s="50">
        <v>45576</v>
      </c>
      <c r="L281" s="39" t="str">
        <f>VLOOKUP($C281,Carpetas!$C$5:$L$2060,4,FALSE)</f>
        <v>Fray Bentos</v>
      </c>
      <c r="M281" s="55">
        <v>45579</v>
      </c>
      <c r="N281" s="53">
        <f t="shared" si="20"/>
        <v>31</v>
      </c>
      <c r="O281" s="51">
        <v>1920</v>
      </c>
      <c r="P281" s="51"/>
      <c r="Q281" s="51"/>
      <c r="R281" s="51"/>
      <c r="S281" s="51"/>
      <c r="T281" s="65"/>
      <c r="U281" s="65"/>
      <c r="V281" s="65"/>
      <c r="W281" s="51"/>
      <c r="X281" s="66"/>
    </row>
    <row r="282" hidden="1" ht="27.75" customHeight="1" s="32" customFormat="1">
      <c r="A282" s="37"/>
      <c r="B282" s="31" t="s">
        <v>32</v>
      </c>
      <c r="C282" s="59" t="s">
        <v>592</v>
      </c>
      <c r="D282" s="57" t="s">
        <v>30</v>
      </c>
      <c r="E282" s="57">
        <v>45557</v>
      </c>
      <c r="F282" s="38" t="str">
        <f>IF(C282&lt;&gt;"",VLOOKUP($C282,Carpetas!$C$5:$L$2060,2,FALSE),"")</f>
        <v>ECE050</v>
      </c>
      <c r="G282" s="38" t="s">
        <v>43</v>
      </c>
      <c r="H282" s="44">
        <f>IF(C282&lt;&gt;"",VLOOKUP($C282,Carpetas!$C$5:$L$2060,9,FALSE),"")</f>
        <v>1503557</v>
      </c>
      <c r="I282" s="51" t="str">
        <f>IF(C282&lt;&gt;"",VLOOKUP($C282,Carpetas!$C$5:$L$2060,5,FALSE),"")</f>
        <v>Andino</v>
      </c>
      <c r="J282" s="51"/>
      <c r="K282" s="50">
        <v>45576</v>
      </c>
      <c r="L282" s="39" t="str">
        <f>VLOOKUP($C282,Carpetas!$C$5:$L$2060,4,FALSE)</f>
        <v>Fray Bentos</v>
      </c>
      <c r="M282" s="55">
        <v>45579</v>
      </c>
      <c r="N282" s="53">
        <f t="shared" si="20"/>
        <v>22</v>
      </c>
      <c r="O282" s="51">
        <v>1128</v>
      </c>
      <c r="P282" s="51"/>
      <c r="Q282" s="51"/>
      <c r="R282" s="51"/>
      <c r="S282" s="51"/>
      <c r="T282" s="65"/>
      <c r="U282" s="65"/>
      <c r="V282" s="65"/>
      <c r="W282" s="51"/>
      <c r="X282" s="66"/>
    </row>
    <row r="283" hidden="1" ht="15.75" customHeight="1" s="32" customFormat="1">
      <c r="A283" s="37"/>
      <c r="B283" s="31" t="s">
        <v>32</v>
      </c>
      <c r="C283" s="59" t="s">
        <v>585</v>
      </c>
      <c r="D283" s="57" t="s">
        <v>30</v>
      </c>
      <c r="E283" s="57">
        <v>45557</v>
      </c>
      <c r="F283" s="38" t="str">
        <f>IF(C283&lt;&gt;"",VLOOKUP($C283,Carpetas!$C$5:$L$2060,2,FALSE),"")</f>
        <v>ECE051</v>
      </c>
      <c r="G283" s="38" t="s">
        <v>43</v>
      </c>
      <c r="H283" s="44">
        <f>IF(C283&lt;&gt;"",VLOOKUP($C283,Carpetas!$C$5:$L$2060,9,FALSE),"")</f>
        <v>1503561</v>
      </c>
      <c r="I283" s="51" t="str">
        <f>IF(C283&lt;&gt;"",VLOOKUP($C283,Carpetas!$C$5:$L$2060,5,FALSE),"")</f>
        <v>Andino</v>
      </c>
      <c r="J283" s="51"/>
      <c r="K283" s="50">
        <v>45579</v>
      </c>
      <c r="L283" s="39" t="str">
        <f>VLOOKUP($C283,Carpetas!$C$5:$L$2060,4,FALSE)</f>
        <v>Fray Bentos</v>
      </c>
      <c r="M283" s="55">
        <f>K283+1</f>
        <v>45580</v>
      </c>
      <c r="N283" s="53">
        <f t="shared" si="20"/>
        <v>23</v>
      </c>
      <c r="O283" s="51">
        <v>1080</v>
      </c>
      <c r="P283" s="51"/>
      <c r="Q283" s="51">
        <v>1080</v>
      </c>
      <c r="R283" s="51">
        <v>20</v>
      </c>
      <c r="S283" s="51">
        <v>21</v>
      </c>
      <c r="T283" s="65"/>
      <c r="U283" s="65"/>
      <c r="V283" s="65"/>
      <c r="W283" s="51" t="s">
        <v>593</v>
      </c>
      <c r="X283" s="66" t="s">
        <v>594</v>
      </c>
    </row>
    <row r="284" hidden="1" ht="15.75" customHeight="1" s="32" customFormat="1">
      <c r="A284" s="37"/>
      <c r="B284" s="31" t="s">
        <v>32</v>
      </c>
      <c r="C284" s="59" t="s">
        <v>595</v>
      </c>
      <c r="D284" s="57" t="s">
        <v>470</v>
      </c>
      <c r="E284" s="57">
        <v>45572</v>
      </c>
      <c r="F284" s="38" t="str">
        <f>IF(C284&lt;&gt;"",VLOOKUP($C284,Carpetas!$C$5:$L$2060,2,FALSE),"")</f>
        <v>CLP011</v>
      </c>
      <c r="G284" s="38" t="s">
        <v>485</v>
      </c>
      <c r="H284" s="44">
        <f>IF(C284&lt;&gt;"",VLOOKUP($C284,Carpetas!$C$5:$L$2060,9,FALSE),"")</f>
        <v>1505849</v>
      </c>
      <c r="I284" s="51" t="str">
        <f>IF(C284&lt;&gt;"",VLOOKUP($C284,Carpetas!$C$5:$L$2060,5,FALSE),"")</f>
        <v>Nihuil</v>
      </c>
      <c r="J284" s="51"/>
      <c r="K284" s="50">
        <v>45579</v>
      </c>
      <c r="L284" s="39" t="str">
        <f>VLOOKUP($C284,Carpetas!$C$5:$L$2060,4,FALSE)</f>
        <v>Fray Bentos</v>
      </c>
      <c r="M284" s="55">
        <v>45580</v>
      </c>
      <c r="N284" s="53">
        <f t="shared" si="20"/>
        <v>8</v>
      </c>
      <c r="O284" s="51">
        <v>2112</v>
      </c>
      <c r="P284" s="51"/>
      <c r="Q284" s="51">
        <v>2112</v>
      </c>
      <c r="R284" s="51">
        <v>24</v>
      </c>
      <c r="S284" s="51">
        <v>11</v>
      </c>
      <c r="T284" s="65"/>
      <c r="U284" s="65"/>
      <c r="V284" s="65"/>
      <c r="W284" s="51" t="s">
        <v>596</v>
      </c>
      <c r="X284" s="66" t="s">
        <v>597</v>
      </c>
    </row>
    <row r="285" hidden="1" ht="15.75" customHeight="1" s="32" customFormat="1">
      <c r="A285" s="37"/>
      <c r="B285" s="31" t="s">
        <v>32</v>
      </c>
      <c r="C285" s="59" t="s">
        <v>598</v>
      </c>
      <c r="D285" s="57" t="s">
        <v>470</v>
      </c>
      <c r="E285" s="57">
        <v>45573</v>
      </c>
      <c r="F285" s="38" t="str">
        <f>IF(C285&lt;&gt;"",VLOOKUP($C285,Carpetas!$C$5:$L$2060,2,FALSE),"")</f>
        <v>CLP012</v>
      </c>
      <c r="G285" s="38" t="s">
        <v>485</v>
      </c>
      <c r="H285" s="44">
        <f>IF(C285&lt;&gt;"",VLOOKUP($C285,Carpetas!$C$5:$L$2060,9,FALSE),"")</f>
        <v>0</v>
      </c>
      <c r="I285" s="51" t="str">
        <f>IF(C285&lt;&gt;"",VLOOKUP($C285,Carpetas!$C$5:$L$2060,5,FALSE),"")</f>
        <v>Cisterna</v>
      </c>
      <c r="J285" s="51"/>
      <c r="K285" s="50">
        <v>45579</v>
      </c>
      <c r="L285" s="39" t="str">
        <f>VLOOKUP($C285,Carpetas!$C$5:$L$2060,4,FALSE)</f>
        <v>Fray Bentos</v>
      </c>
      <c r="M285" s="55">
        <f ref="M285:M293" t="shared" si="21">K285+1</f>
        <v>45580</v>
      </c>
      <c r="N285" s="53">
        <f t="shared" si="20"/>
        <v>7</v>
      </c>
      <c r="O285" s="51">
        <v>1936</v>
      </c>
      <c r="P285" s="51"/>
      <c r="Q285" s="51">
        <v>1936</v>
      </c>
      <c r="R285" s="51">
        <v>22</v>
      </c>
      <c r="S285" s="51">
        <v>11</v>
      </c>
      <c r="T285" s="65"/>
      <c r="U285" s="65"/>
      <c r="V285" s="65"/>
      <c r="W285" s="51" t="s">
        <v>471</v>
      </c>
      <c r="X285" s="66" t="s">
        <v>599</v>
      </c>
    </row>
    <row r="286" hidden="1" ht="15.75" customHeight="1" s="32" customFormat="1">
      <c r="A286" s="37"/>
      <c r="B286" s="31" t="s">
        <v>32</v>
      </c>
      <c r="C286" s="59" t="s">
        <v>600</v>
      </c>
      <c r="D286" s="57" t="s">
        <v>470</v>
      </c>
      <c r="E286" s="57">
        <v>45573</v>
      </c>
      <c r="F286" s="38" t="str">
        <f>IF(C286&lt;&gt;"",VLOOKUP($C286,Carpetas!$C$5:$L$2060,2,FALSE),"")</f>
        <v>CLP013</v>
      </c>
      <c r="G286" s="38" t="s">
        <v>485</v>
      </c>
      <c r="H286" s="44">
        <f>IF(C286&lt;&gt;"",VLOOKUP($C286,Carpetas!$C$5:$L$2060,9,FALSE),"")</f>
        <v>0</v>
      </c>
      <c r="I286" s="51" t="str">
        <f>IF(C286&lt;&gt;"",VLOOKUP($C286,Carpetas!$C$5:$L$2060,5,FALSE),"")</f>
        <v>Cisterna</v>
      </c>
      <c r="J286" s="51"/>
      <c r="K286" s="50">
        <v>45579</v>
      </c>
      <c r="L286" s="39" t="str">
        <f>VLOOKUP($C286,Carpetas!$C$5:$L$2060,4,FALSE)</f>
        <v>Fray Bentos</v>
      </c>
      <c r="M286" s="55">
        <f t="shared" si="21"/>
        <v>45580</v>
      </c>
      <c r="N286" s="53">
        <f t="shared" si="20"/>
        <v>7</v>
      </c>
      <c r="O286" s="51">
        <v>1936</v>
      </c>
      <c r="P286" s="51"/>
      <c r="Q286" s="51">
        <v>1936</v>
      </c>
      <c r="R286" s="51">
        <v>22</v>
      </c>
      <c r="S286" s="51">
        <v>12</v>
      </c>
      <c r="T286" s="65"/>
      <c r="U286" s="65"/>
      <c r="V286" s="65" t="s">
        <v>601</v>
      </c>
      <c r="W286" s="51" t="s">
        <v>602</v>
      </c>
      <c r="X286" s="118" t="s">
        <v>603</v>
      </c>
    </row>
    <row r="287" hidden="1" ht="15.75" customHeight="1" s="32" customFormat="1">
      <c r="A287" s="37"/>
      <c r="B287" s="31" t="s">
        <v>32</v>
      </c>
      <c r="C287" s="59" t="s">
        <v>604</v>
      </c>
      <c r="D287" s="57" t="s">
        <v>30</v>
      </c>
      <c r="E287" s="57">
        <v>45575</v>
      </c>
      <c r="F287" s="38" t="str">
        <f>IF(C287&lt;&gt;"",VLOOKUP($C287,Carpetas!$C$5:$L$2060,2,FALSE),"")</f>
        <v>BOB001</v>
      </c>
      <c r="G287" s="38" t="s">
        <v>31</v>
      </c>
      <c r="H287" s="44">
        <f>IF(C287&lt;&gt;"",VLOOKUP($C287,Carpetas!$C$5:$L$2060,9,FALSE),"")</f>
        <v>1505599</v>
      </c>
      <c r="I287" s="51" t="str">
        <f>IF(C287&lt;&gt;"",VLOOKUP($C287,Carpetas!$C$5:$L$2060,5,FALSE),"")</f>
        <v>Chapare</v>
      </c>
      <c r="J287" s="51"/>
      <c r="K287" s="50">
        <v>45580</v>
      </c>
      <c r="L287" s="39" t="str">
        <f>VLOOKUP($C287,Carpetas!$C$5:$L$2060,4,FALSE)</f>
        <v>Salto</v>
      </c>
      <c r="M287" s="55">
        <f t="shared" si="21"/>
        <v>45581</v>
      </c>
      <c r="N287" s="53">
        <f t="shared" si="20"/>
        <v>6</v>
      </c>
      <c r="O287" s="51">
        <v>2208</v>
      </c>
      <c r="P287" s="51"/>
      <c r="Q287" s="51">
        <v>2208</v>
      </c>
      <c r="R287" s="51">
        <v>46</v>
      </c>
      <c r="S287" s="51">
        <v>21.2</v>
      </c>
      <c r="T287" s="65"/>
      <c r="U287" s="65"/>
      <c r="V287" s="65" t="s">
        <v>605</v>
      </c>
      <c r="W287" s="51" t="s">
        <v>606</v>
      </c>
      <c r="X287" s="66"/>
    </row>
    <row r="288" hidden="1" ht="15.75" customHeight="1" s="32" customFormat="1">
      <c r="A288" s="37"/>
      <c r="B288" s="31" t="s">
        <v>32</v>
      </c>
      <c r="C288" s="59" t="s">
        <v>607</v>
      </c>
      <c r="D288" s="57" t="s">
        <v>30</v>
      </c>
      <c r="E288" s="57">
        <v>45557</v>
      </c>
      <c r="F288" s="38" t="str">
        <f>IF(C288&lt;&gt;"",VLOOKUP($C288,Carpetas!$C$5:$L$2060,2,FALSE),"")</f>
        <v>ECB050</v>
      </c>
      <c r="G288" s="38" t="s">
        <v>43</v>
      </c>
      <c r="H288" s="44">
        <f>IF(C288&lt;&gt;"",VLOOKUP($C288,Carpetas!$C$5:$L$2060,9,FALSE),"")</f>
        <v>1503354</v>
      </c>
      <c r="I288" s="51" t="str">
        <f>IF(C288&lt;&gt;"",VLOOKUP($C288,Carpetas!$C$5:$L$2060,5,FALSE),"")</f>
        <v>Andino</v>
      </c>
      <c r="J288" s="51"/>
      <c r="K288" s="50">
        <v>45582</v>
      </c>
      <c r="L288" s="39" t="str">
        <f>VLOOKUP($C288,Carpetas!$C$5:$L$2060,4,FALSE)</f>
        <v>Fray Bentos</v>
      </c>
      <c r="M288" s="55">
        <f t="shared" si="21"/>
        <v>45583</v>
      </c>
      <c r="N288" s="53">
        <f t="shared" si="20"/>
        <v>26</v>
      </c>
      <c r="O288" s="51">
        <v>2160</v>
      </c>
      <c r="P288" s="51"/>
      <c r="Q288" s="51">
        <v>2160</v>
      </c>
      <c r="R288" s="51">
        <v>40</v>
      </c>
      <c r="S288" s="51">
        <v>21.5</v>
      </c>
      <c r="T288" s="65"/>
      <c r="U288" s="65"/>
      <c r="V288" s="65" t="s">
        <v>55</v>
      </c>
      <c r="W288" s="51" t="s">
        <v>608</v>
      </c>
      <c r="X288" s="66" t="s">
        <v>609</v>
      </c>
    </row>
    <row r="289" hidden="1" ht="15.75" customHeight="1" s="32" customFormat="1">
      <c r="A289" s="37"/>
      <c r="B289" s="31" t="s">
        <v>32</v>
      </c>
      <c r="C289" s="59" t="s">
        <v>610</v>
      </c>
      <c r="D289" s="57" t="s">
        <v>30</v>
      </c>
      <c r="E289" s="57">
        <v>45557</v>
      </c>
      <c r="F289" s="38" t="str">
        <f>IF(C289&lt;&gt;"",VLOOKUP($C289,Carpetas!$C$5:$L$2060,2,FALSE),"")</f>
        <v>COB013</v>
      </c>
      <c r="G289" s="38" t="s">
        <v>43</v>
      </c>
      <c r="H289" s="44">
        <f>IF(C289&lt;&gt;"",VLOOKUP($C289,Carpetas!$C$5:$L$2060,9,FALSE),"")</f>
        <v>0</v>
      </c>
      <c r="I289" s="51" t="str">
        <f>IF(C289&lt;&gt;"",VLOOKUP($C289,Carpetas!$C$5:$L$2060,5,FALSE),"")</f>
        <v>Andino</v>
      </c>
      <c r="J289" s="51"/>
      <c r="K289" s="50">
        <v>45586</v>
      </c>
      <c r="L289" s="39" t="str">
        <f>VLOOKUP($C289,Carpetas!$C$5:$L$2060,4,FALSE)</f>
        <v>Fray Bentos</v>
      </c>
      <c r="M289" s="55">
        <f t="shared" si="21"/>
        <v>45587</v>
      </c>
      <c r="N289" s="53">
        <f t="shared" si="20"/>
        <v>30</v>
      </c>
      <c r="O289" s="51">
        <v>2160</v>
      </c>
      <c r="P289" s="51"/>
      <c r="Q289" s="51">
        <v>2160</v>
      </c>
      <c r="R289" s="51">
        <v>40</v>
      </c>
      <c r="S289" s="51">
        <v>19</v>
      </c>
      <c r="T289" s="65"/>
      <c r="U289" s="65"/>
      <c r="V289" s="65" t="s">
        <v>611</v>
      </c>
      <c r="W289" s="51" t="s">
        <v>612</v>
      </c>
      <c r="X289" s="66" t="s">
        <v>613</v>
      </c>
    </row>
    <row r="290" hidden="1" ht="15.75" customHeight="1" s="32" customFormat="1">
      <c r="A290" s="37"/>
      <c r="B290" s="31" t="s">
        <v>32</v>
      </c>
      <c r="C290" s="59" t="s">
        <v>614</v>
      </c>
      <c r="D290" s="57" t="s">
        <v>30</v>
      </c>
      <c r="E290" s="57">
        <v>45573</v>
      </c>
      <c r="F290" s="38" t="str">
        <f>IF(C290&lt;&gt;"",VLOOKUP($C290,Carpetas!$C$5:$L$2060,2,FALSE),"")</f>
        <v>ECE053</v>
      </c>
      <c r="G290" s="38" t="s">
        <v>43</v>
      </c>
      <c r="H290" s="44">
        <f>IF(C290&lt;&gt;"",VLOOKUP($C290,Carpetas!$C$5:$L$2060,9,FALSE),"")</f>
        <v>1505061</v>
      </c>
      <c r="I290" s="51" t="str">
        <f>IF(C290&lt;&gt;"",VLOOKUP($C290,Carpetas!$C$5:$L$2060,5,FALSE),"")</f>
        <v>Andino</v>
      </c>
      <c r="J290" s="51"/>
      <c r="K290" s="50">
        <v>45586</v>
      </c>
      <c r="L290" s="39" t="str">
        <f>VLOOKUP($C290,Carpetas!$C$5:$L$2060,4,FALSE)</f>
        <v>Fray Bentos</v>
      </c>
      <c r="M290" s="55">
        <f t="shared" si="21"/>
        <v>45587</v>
      </c>
      <c r="N290" s="53">
        <f t="shared" si="20"/>
        <v>14</v>
      </c>
      <c r="O290" s="51">
        <v>1080</v>
      </c>
      <c r="P290" s="51"/>
      <c r="Q290" s="51">
        <v>1080</v>
      </c>
      <c r="R290" s="51">
        <v>20</v>
      </c>
      <c r="S290" s="51">
        <v>21</v>
      </c>
      <c r="T290" s="65"/>
      <c r="U290" s="65"/>
      <c r="V290" s="65" t="s">
        <v>611</v>
      </c>
      <c r="W290" s="51" t="s">
        <v>157</v>
      </c>
      <c r="X290" s="66" t="s">
        <v>615</v>
      </c>
    </row>
    <row r="291" hidden="1" ht="15.75" customHeight="1" s="32" customFormat="1">
      <c r="A291" s="37"/>
      <c r="B291" s="31" t="s">
        <v>32</v>
      </c>
      <c r="C291" s="59" t="s">
        <v>616</v>
      </c>
      <c r="D291" s="57" t="s">
        <v>42</v>
      </c>
      <c r="E291" s="57">
        <v>45573</v>
      </c>
      <c r="F291" s="38" t="str">
        <f>IF(C291&lt;&gt;"",VLOOKUP($C291,Carpetas!$C$5:$L$2060,2,FALSE),"")</f>
        <v>ECA021</v>
      </c>
      <c r="G291" s="38" t="s">
        <v>43</v>
      </c>
      <c r="H291" s="44">
        <f>IF(C291&lt;&gt;"",VLOOKUP($C291,Carpetas!$C$5:$L$2060,9,FALSE),"")</f>
        <v>1504711</v>
      </c>
      <c r="I291" s="51" t="str">
        <f>IF(C291&lt;&gt;"",VLOOKUP($C291,Carpetas!$C$5:$L$2060,5,FALSE),"")</f>
        <v>Andino</v>
      </c>
      <c r="J291" s="51"/>
      <c r="K291" s="50">
        <v>45588</v>
      </c>
      <c r="L291" s="39" t="str">
        <f>VLOOKUP($C291,Carpetas!$C$5:$L$2060,4,FALSE)</f>
        <v>Fray Bentos</v>
      </c>
      <c r="M291" s="55">
        <f t="shared" si="21"/>
        <v>45589</v>
      </c>
      <c r="N291" s="53">
        <f t="shared" si="20"/>
        <v>16</v>
      </c>
      <c r="O291" s="51">
        <v>1680</v>
      </c>
      <c r="P291" s="51"/>
      <c r="Q291" s="51"/>
      <c r="R291" s="51"/>
      <c r="S291" s="51"/>
      <c r="T291" s="65"/>
      <c r="U291" s="65"/>
      <c r="V291" s="65" t="s">
        <v>611</v>
      </c>
      <c r="W291" s="51"/>
      <c r="X291" s="66"/>
    </row>
    <row r="292" hidden="1" ht="15.75" customHeight="1" s="32" customFormat="1">
      <c r="A292" s="37"/>
      <c r="B292" s="31" t="s">
        <v>32</v>
      </c>
      <c r="C292" s="59" t="s">
        <v>617</v>
      </c>
      <c r="D292" s="57" t="s">
        <v>30</v>
      </c>
      <c r="E292" s="57">
        <v>45573</v>
      </c>
      <c r="F292" s="38" t="str">
        <f>IF(C292&lt;&gt;"",VLOOKUP($C292,Carpetas!$C$5:$L$2060,2,FALSE),"")</f>
        <v>ECB052</v>
      </c>
      <c r="G292" s="38" t="s">
        <v>43</v>
      </c>
      <c r="H292" s="44">
        <f>IF(C292&lt;&gt;"",VLOOKUP($C292,Carpetas!$C$5:$L$2060,9,FALSE),"")</f>
        <v>1504509</v>
      </c>
      <c r="I292" s="51" t="str">
        <f>IF(C292&lt;&gt;"",VLOOKUP($C292,Carpetas!$C$5:$L$2060,5,FALSE),"")</f>
        <v>Andino</v>
      </c>
      <c r="J292" s="51"/>
      <c r="K292" s="50">
        <v>45589</v>
      </c>
      <c r="L292" s="39" t="str">
        <f>VLOOKUP($C292,Carpetas!$C$5:$L$2060,4,FALSE)</f>
        <v>Fray Bentos</v>
      </c>
      <c r="M292" s="55">
        <f t="shared" si="21"/>
        <v>45590</v>
      </c>
      <c r="N292" s="53">
        <f t="shared" si="20"/>
        <v>17</v>
      </c>
      <c r="O292" s="51">
        <v>2160</v>
      </c>
      <c r="P292" s="51"/>
      <c r="Q292" s="51">
        <v>2160</v>
      </c>
      <c r="R292" s="51">
        <v>40</v>
      </c>
      <c r="S292" s="51">
        <v>21</v>
      </c>
      <c r="T292" s="65"/>
      <c r="U292" s="65"/>
      <c r="V292" s="65" t="s">
        <v>611</v>
      </c>
      <c r="W292" s="51" t="s">
        <v>618</v>
      </c>
      <c r="X292" s="66" t="s">
        <v>619</v>
      </c>
    </row>
    <row r="293" hidden="1" ht="15.75" customHeight="1" s="32" customFormat="1">
      <c r="A293" s="37"/>
      <c r="B293" s="31" t="s">
        <v>32</v>
      </c>
      <c r="C293" s="59" t="s">
        <v>620</v>
      </c>
      <c r="D293" s="57" t="s">
        <v>30</v>
      </c>
      <c r="E293" s="57">
        <v>45573</v>
      </c>
      <c r="F293" s="38" t="str">
        <f>IF(C293&lt;&gt;"",VLOOKUP($C293,Carpetas!$C$5:$L$2060,2,FALSE),"")</f>
        <v>ECE052</v>
      </c>
      <c r="G293" s="38" t="s">
        <v>43</v>
      </c>
      <c r="H293" s="44">
        <f>IF(C293&lt;&gt;"",VLOOKUP($C293,Carpetas!$C$5:$L$2060,9,FALSE),"")</f>
        <v>1504506</v>
      </c>
      <c r="I293" s="51" t="str">
        <f>IF(C293&lt;&gt;"",VLOOKUP($C293,Carpetas!$C$5:$L$2060,5,FALSE),"")</f>
        <v>Andino</v>
      </c>
      <c r="J293" s="51"/>
      <c r="K293" s="50">
        <v>45589</v>
      </c>
      <c r="L293" s="39" t="str">
        <f>VLOOKUP($C293,Carpetas!$C$5:$L$2060,4,FALSE)</f>
        <v>Fray Bentos</v>
      </c>
      <c r="M293" s="55">
        <f t="shared" si="21"/>
        <v>45590</v>
      </c>
      <c r="N293" s="53">
        <f t="shared" si="20"/>
        <v>17</v>
      </c>
      <c r="O293" s="51">
        <v>2208</v>
      </c>
      <c r="P293" s="51"/>
      <c r="Q293" s="51">
        <v>2208</v>
      </c>
      <c r="R293" s="51">
        <v>40</v>
      </c>
      <c r="S293" s="51">
        <v>22</v>
      </c>
      <c r="T293" s="65"/>
      <c r="U293" s="65"/>
      <c r="V293" s="65" t="s">
        <v>60</v>
      </c>
      <c r="W293" s="51" t="s">
        <v>440</v>
      </c>
      <c r="X293" s="66" t="s">
        <v>621</v>
      </c>
    </row>
    <row r="294" hidden="1" ht="15.75" customHeight="1" s="32" customFormat="1">
      <c r="A294" s="37"/>
      <c r="B294" s="31" t="s">
        <v>32</v>
      </c>
      <c r="C294" s="59" t="s">
        <v>614</v>
      </c>
      <c r="D294" s="57" t="s">
        <v>30</v>
      </c>
      <c r="E294" s="57">
        <v>45573</v>
      </c>
      <c r="F294" s="38" t="str">
        <f>IF(C294&lt;&gt;"",VLOOKUP($C294,Carpetas!$C$5:$L$2060,2,FALSE),"")</f>
        <v>ECE053</v>
      </c>
      <c r="G294" s="38" t="s">
        <v>43</v>
      </c>
      <c r="H294" s="44">
        <f>IF(C294&lt;&gt;"",VLOOKUP($C294,Carpetas!$C$5:$L$2060,9,FALSE),"")</f>
        <v>1505061</v>
      </c>
      <c r="I294" s="51" t="str">
        <f>IF(C294&lt;&gt;"",VLOOKUP($C294,Carpetas!$C$5:$L$2060,5,FALSE),"")</f>
        <v>Andino</v>
      </c>
      <c r="J294" s="51"/>
      <c r="K294" s="50">
        <v>45591</v>
      </c>
      <c r="L294" s="39" t="str">
        <f>VLOOKUP($C294,Carpetas!$C$5:$L$2060,4,FALSE)</f>
        <v>Fray Bentos</v>
      </c>
      <c r="M294" s="55">
        <v>45593</v>
      </c>
      <c r="N294" s="53">
        <f t="shared" si="20"/>
        <v>20</v>
      </c>
      <c r="O294" s="51">
        <v>1080</v>
      </c>
      <c r="P294" s="51"/>
      <c r="Q294" s="51">
        <v>1080</v>
      </c>
      <c r="R294" s="51">
        <v>20</v>
      </c>
      <c r="S294" s="51">
        <v>21.5</v>
      </c>
      <c r="T294" s="65"/>
      <c r="U294" s="65"/>
      <c r="V294" s="117" t="s">
        <v>60</v>
      </c>
      <c r="W294" s="51"/>
      <c r="X294" s="66" t="s">
        <v>622</v>
      </c>
    </row>
    <row r="295" hidden="1" ht="15.75" customHeight="1" s="32" customFormat="1">
      <c r="A295" s="37"/>
      <c r="B295" s="31" t="s">
        <v>32</v>
      </c>
      <c r="C295" s="59" t="s">
        <v>623</v>
      </c>
      <c r="D295" s="57" t="s">
        <v>30</v>
      </c>
      <c r="E295" s="57">
        <v>45566</v>
      </c>
      <c r="F295" s="38" t="str">
        <f>IF(C295&lt;&gt;"",VLOOKUP($C295,Carpetas!$C$5:$L$2060,2,FALSE),"")</f>
        <v>COB014</v>
      </c>
      <c r="G295" s="38" t="s">
        <v>43</v>
      </c>
      <c r="H295" s="44">
        <f>IF(C295&lt;&gt;"",VLOOKUP($C295,Carpetas!$C$5:$L$2060,9,FALSE),"")</f>
        <v>0</v>
      </c>
      <c r="I295" s="51" t="str">
        <f>IF(C295&lt;&gt;"",VLOOKUP($C295,Carpetas!$C$5:$L$2060,5,FALSE),"")</f>
        <v>Andino</v>
      </c>
      <c r="J295" s="51"/>
      <c r="K295" s="50">
        <v>45591</v>
      </c>
      <c r="L295" s="39" t="str">
        <f>VLOOKUP($C295,Carpetas!$C$5:$L$2060,4,FALSE)</f>
        <v>Fray Bentos</v>
      </c>
      <c r="M295" s="55">
        <v>45593</v>
      </c>
      <c r="N295" s="53">
        <f t="shared" si="20"/>
        <v>27</v>
      </c>
      <c r="O295" s="51">
        <v>2160</v>
      </c>
      <c r="P295" s="51"/>
      <c r="Q295" s="51">
        <v>2160</v>
      </c>
      <c r="R295" s="51">
        <v>40</v>
      </c>
      <c r="S295" s="51">
        <v>19.5</v>
      </c>
      <c r="T295" s="65"/>
      <c r="U295" s="65"/>
      <c r="V295" s="117" t="s">
        <v>624</v>
      </c>
      <c r="W295" s="51" t="s">
        <v>625</v>
      </c>
      <c r="X295" s="66" t="s">
        <v>626</v>
      </c>
    </row>
    <row r="296" hidden="1" ht="15.75" customHeight="1" s="32" customFormat="1">
      <c r="A296" s="37"/>
      <c r="B296" s="31" t="s">
        <v>32</v>
      </c>
      <c r="C296" s="59" t="s">
        <v>627</v>
      </c>
      <c r="D296" s="57" t="s">
        <v>48</v>
      </c>
      <c r="E296" s="57">
        <v>45589</v>
      </c>
      <c r="F296" s="38" t="str">
        <f>IF(C296&lt;&gt;"",VLOOKUP($C296,Carpetas!$C$5:$L$2060,2,FALSE),"")</f>
        <v>CLP014</v>
      </c>
      <c r="G296" s="38" t="s">
        <v>35</v>
      </c>
      <c r="H296" s="44">
        <f>IF(C296&lt;&gt;"",VLOOKUP($C296,Carpetas!$C$5:$L$2060,9,FALSE),"")</f>
        <v>0</v>
      </c>
      <c r="I296" s="51" t="str">
        <f>IF(C296&lt;&gt;"",VLOOKUP($C296,Carpetas!$C$5:$L$2060,5,FALSE),"")</f>
        <v>Nihuil</v>
      </c>
      <c r="J296" s="51"/>
      <c r="K296" s="50">
        <v>45593</v>
      </c>
      <c r="L296" s="39" t="str">
        <f>VLOOKUP($C296,Carpetas!$C$5:$L$2060,4,FALSE)</f>
        <v>Fray Bentos</v>
      </c>
      <c r="M296" s="55">
        <f>K296+1</f>
        <v>45594</v>
      </c>
      <c r="N296" s="53">
        <f t="shared" si="20"/>
        <v>5</v>
      </c>
      <c r="O296" s="51">
        <v>1936</v>
      </c>
      <c r="P296" s="51"/>
      <c r="Q296" s="51">
        <v>1936</v>
      </c>
      <c r="R296" s="51">
        <v>22</v>
      </c>
      <c r="S296" s="51">
        <v>11</v>
      </c>
      <c r="T296" s="65"/>
      <c r="U296" s="65"/>
      <c r="V296" s="65" t="s">
        <v>628</v>
      </c>
      <c r="W296" s="51" t="s">
        <v>629</v>
      </c>
      <c r="X296" s="66" t="s">
        <v>630</v>
      </c>
    </row>
    <row r="297" hidden="1" ht="15.75" customHeight="1" s="32" customFormat="1">
      <c r="A297" s="37"/>
      <c r="B297" s="31" t="s">
        <v>32</v>
      </c>
      <c r="C297" s="59" t="s">
        <v>631</v>
      </c>
      <c r="D297" s="57" t="s">
        <v>632</v>
      </c>
      <c r="E297" s="57">
        <v>45592</v>
      </c>
      <c r="F297" s="38" t="str">
        <f>IF(C297&lt;&gt;"",VLOOKUP($C297,Carpetas!$C$5:$L$2060,2,FALSE),"")</f>
        <v>PEE002</v>
      </c>
      <c r="G297" s="38" t="s">
        <v>216</v>
      </c>
      <c r="H297" s="44">
        <f>IF(C297&lt;&gt;"",VLOOKUP($C297,Carpetas!$C$5:$L$2060,9,FALSE),"")</f>
        <v>0</v>
      </c>
      <c r="I297" s="51" t="str">
        <f>IF(C297&lt;&gt;"",VLOOKUP($C297,Carpetas!$C$5:$L$2060,5,FALSE),"")</f>
        <v>Ciatran</v>
      </c>
      <c r="J297" s="51"/>
      <c r="K297" s="50">
        <v>45593</v>
      </c>
      <c r="L297" s="39" t="str">
        <f>VLOOKUP($C297,Carpetas!$C$5:$L$2060,4,FALSE)</f>
        <v>Carrasco</v>
      </c>
      <c r="M297" s="55">
        <f>K297+1</f>
        <v>45594</v>
      </c>
      <c r="N297" s="53">
        <f t="shared" si="20"/>
        <v>2</v>
      </c>
      <c r="O297" s="51">
        <v>280</v>
      </c>
      <c r="P297" s="51"/>
      <c r="Q297" s="51"/>
      <c r="R297" s="51"/>
      <c r="S297" s="51"/>
      <c r="T297" s="65"/>
      <c r="U297" s="65"/>
      <c r="V297" s="65" t="s">
        <v>611</v>
      </c>
      <c r="W297" s="51"/>
      <c r="X297" s="66"/>
    </row>
    <row r="298" hidden="1" ht="15.75" customHeight="1" s="32" customFormat="1">
      <c r="A298" s="37"/>
      <c r="B298" s="31" t="s">
        <v>32</v>
      </c>
      <c r="C298" s="59" t="s">
        <v>633</v>
      </c>
      <c r="D298" s="57" t="s">
        <v>30</v>
      </c>
      <c r="E298" s="57">
        <v>45573</v>
      </c>
      <c r="F298" s="38" t="str">
        <f>IF(C298&lt;&gt;"",VLOOKUP($C298,Carpetas!$C$5:$L$2060,2,FALSE),"")</f>
        <v>ECB054</v>
      </c>
      <c r="G298" s="38" t="s">
        <v>43</v>
      </c>
      <c r="H298" s="44">
        <f>IF(C298&lt;&gt;"",VLOOKUP($C298,Carpetas!$C$5:$L$2060,9,FALSE),"")</f>
        <v>1505055</v>
      </c>
      <c r="I298" s="51" t="str">
        <f>IF(C298&lt;&gt;"",VLOOKUP($C298,Carpetas!$C$5:$L$2060,5,FALSE),"")</f>
        <v>Andino</v>
      </c>
      <c r="J298" s="51"/>
      <c r="K298" s="50">
        <v>45593</v>
      </c>
      <c r="L298" s="39" t="str">
        <f>VLOOKUP($C298,Carpetas!$C$5:$L$2060,4,FALSE)</f>
        <v>Fray Bentos</v>
      </c>
      <c r="M298" s="55">
        <f>K298+1</f>
        <v>45594</v>
      </c>
      <c r="N298" s="53">
        <f t="shared" si="20"/>
        <v>21</v>
      </c>
      <c r="O298" s="51">
        <v>1080</v>
      </c>
      <c r="P298" s="51"/>
      <c r="Q298" s="51">
        <v>1080</v>
      </c>
      <c r="R298" s="51">
        <v>20</v>
      </c>
      <c r="S298" s="51">
        <v>21</v>
      </c>
      <c r="T298" s="65"/>
      <c r="U298" s="65"/>
      <c r="V298" s="65" t="s">
        <v>55</v>
      </c>
      <c r="W298" s="51" t="s">
        <v>318</v>
      </c>
      <c r="X298" s="66" t="s">
        <v>634</v>
      </c>
    </row>
    <row r="299" hidden="1" ht="15.75" customHeight="1" s="32" customFormat="1">
      <c r="A299" s="37"/>
      <c r="B299" s="31" t="s">
        <v>32</v>
      </c>
      <c r="C299" s="59" t="s">
        <v>635</v>
      </c>
      <c r="D299" s="57" t="s">
        <v>30</v>
      </c>
      <c r="E299" s="57">
        <v>45573</v>
      </c>
      <c r="F299" s="38" t="str">
        <f>IF(C299&lt;&gt;"",VLOOKUP($C299,Carpetas!$C$5:$L$2060,2,FALSE),"")</f>
        <v>ECB053</v>
      </c>
      <c r="G299" s="38" t="s">
        <v>43</v>
      </c>
      <c r="H299" s="44">
        <f>IF(C299&lt;&gt;"",VLOOKUP($C299,Carpetas!$C$5:$L$2060,9,FALSE),"")</f>
        <v>1504507</v>
      </c>
      <c r="I299" s="51" t="str">
        <f>IF(C299&lt;&gt;"",VLOOKUP($C299,Carpetas!$C$5:$L$2060,5,FALSE),"")</f>
        <v>Andino</v>
      </c>
      <c r="J299" s="51"/>
      <c r="K299" s="50">
        <v>45594</v>
      </c>
      <c r="L299" s="39" t="str">
        <f>VLOOKUP($C299,Carpetas!$C$5:$L$2060,4,FALSE)</f>
        <v>Fray Bentos</v>
      </c>
      <c r="M299" s="55">
        <f>K299+1</f>
        <v>45595</v>
      </c>
      <c r="N299" s="53">
        <f t="shared" si="20"/>
        <v>22</v>
      </c>
      <c r="O299" s="51">
        <v>2160</v>
      </c>
      <c r="P299" s="51"/>
      <c r="Q299" s="51">
        <v>2160</v>
      </c>
      <c r="R299" s="51">
        <v>40</v>
      </c>
      <c r="S299" s="51">
        <v>21</v>
      </c>
      <c r="T299" s="65"/>
      <c r="U299" s="65"/>
      <c r="V299" s="65" t="s">
        <v>55</v>
      </c>
      <c r="W299" s="51" t="s">
        <v>636</v>
      </c>
      <c r="X299" s="66" t="s">
        <v>637</v>
      </c>
    </row>
    <row r="300" hidden="1" ht="15.75" customHeight="1" s="32" customFormat="1">
      <c r="A300" s="37"/>
      <c r="B300" s="31" t="s">
        <v>32</v>
      </c>
      <c r="C300" s="59" t="s">
        <v>633</v>
      </c>
      <c r="D300" s="57" t="s">
        <v>30</v>
      </c>
      <c r="E300" s="57">
        <v>45573</v>
      </c>
      <c r="F300" s="38" t="str">
        <f>IF(C300&lt;&gt;"",VLOOKUP($C300,Carpetas!$C$5:$L$2060,2,FALSE),"")</f>
        <v>ECB054</v>
      </c>
      <c r="G300" s="38" t="s">
        <v>43</v>
      </c>
      <c r="H300" s="44">
        <f>IF(C300&lt;&gt;"",VLOOKUP($C300,Carpetas!$C$5:$L$2060,9,FALSE),"")</f>
        <v>1505055</v>
      </c>
      <c r="I300" s="51" t="str">
        <f>IF(C300&lt;&gt;"",VLOOKUP($C300,Carpetas!$C$5:$L$2060,5,FALSE),"")</f>
        <v>Andino</v>
      </c>
      <c r="J300" s="51"/>
      <c r="K300" s="50">
        <v>45594</v>
      </c>
      <c r="L300" s="39" t="str">
        <f>VLOOKUP($C300,Carpetas!$C$5:$L$2060,4,FALSE)</f>
        <v>Fray Bentos</v>
      </c>
      <c r="M300" s="55">
        <f>K300+1</f>
        <v>45595</v>
      </c>
      <c r="N300" s="53">
        <f t="shared" si="20"/>
        <v>22</v>
      </c>
      <c r="O300" s="51">
        <v>1080</v>
      </c>
      <c r="P300" s="51"/>
      <c r="Q300" s="51"/>
      <c r="R300" s="51"/>
      <c r="S300" s="51"/>
      <c r="T300" s="65"/>
      <c r="U300" s="65"/>
      <c r="V300" s="65" t="s">
        <v>611</v>
      </c>
      <c r="W300" s="51"/>
      <c r="X300" s="66"/>
    </row>
    <row r="301" hidden="1" ht="15.75" customHeight="1" s="32" customFormat="1">
      <c r="A301" s="37"/>
      <c r="B301" s="31" t="s">
        <v>32</v>
      </c>
      <c r="C301" s="59" t="s">
        <v>638</v>
      </c>
      <c r="D301" s="57" t="s">
        <v>42</v>
      </c>
      <c r="E301" s="57">
        <v>45580</v>
      </c>
      <c r="F301" s="38" t="str">
        <f>IF(C301&lt;&gt;"",VLOOKUP($C301,Carpetas!$C$5:$L$2060,2,FALSE),"")</f>
        <v>ECA022</v>
      </c>
      <c r="G301" s="38" t="s">
        <v>43</v>
      </c>
      <c r="H301" s="44">
        <f>IF(C301&lt;&gt;"",VLOOKUP($C301,Carpetas!$C$5:$L$2060,9,FALSE),"")</f>
        <v>1506034</v>
      </c>
      <c r="I301" s="51" t="str">
        <f>IF(C301&lt;&gt;"",VLOOKUP($C301,Carpetas!$C$5:$L$2060,5,FALSE),"")</f>
        <v>Andino</v>
      </c>
      <c r="J301" s="51"/>
      <c r="K301" s="50">
        <v>45595</v>
      </c>
      <c r="L301" s="39" t="str">
        <f>VLOOKUP($C301,Carpetas!$C$5:$L$2060,4,FALSE)</f>
        <v>Fray Bentos</v>
      </c>
      <c r="M301" s="55">
        <f>K301+1+1</f>
        <v>45597</v>
      </c>
      <c r="N301" s="53">
        <f t="shared" si="20"/>
        <v>17</v>
      </c>
      <c r="O301" s="51">
        <v>1680</v>
      </c>
      <c r="P301" s="51"/>
      <c r="Q301" s="51"/>
      <c r="R301" s="51"/>
      <c r="S301" s="51"/>
      <c r="T301" s="65"/>
      <c r="U301" s="65"/>
      <c r="V301" s="65"/>
      <c r="W301" s="51"/>
      <c r="X301" s="66"/>
    </row>
    <row r="302" hidden="1" ht="15.75" customHeight="1" s="32" customFormat="1">
      <c r="A302" s="37"/>
      <c r="B302" s="31" t="s">
        <v>32</v>
      </c>
      <c r="C302" s="59" t="s">
        <v>639</v>
      </c>
      <c r="D302" s="57" t="s">
        <v>30</v>
      </c>
      <c r="E302" s="57">
        <v>45578</v>
      </c>
      <c r="F302" s="38" t="str">
        <f>IF(C302&lt;&gt;"",VLOOKUP($C302,Carpetas!$C$5:$L$2060,2,FALSE),"")</f>
        <v>ECE054</v>
      </c>
      <c r="G302" s="38" t="s">
        <v>43</v>
      </c>
      <c r="H302" s="44">
        <f>IF(C302&lt;&gt;"",VLOOKUP($C302,Carpetas!$C$5:$L$2060,9,FALSE),"")</f>
        <v>1506046</v>
      </c>
      <c r="I302" s="51" t="str">
        <f>IF(C302&lt;&gt;"",VLOOKUP($C302,Carpetas!$C$5:$L$2060,5,FALSE),"")</f>
        <v>Andino</v>
      </c>
      <c r="J302" s="51"/>
      <c r="K302" s="50">
        <v>45596</v>
      </c>
      <c r="L302" s="39" t="str">
        <f>VLOOKUP($C302,Carpetas!$C$5:$L$2060,4,FALSE)</f>
        <v>Fray Bentos</v>
      </c>
      <c r="M302" s="55">
        <f>K302+1+1</f>
        <v>45598</v>
      </c>
      <c r="N302" s="53">
        <f t="shared" si="20"/>
        <v>20</v>
      </c>
      <c r="O302" s="51">
        <v>3240</v>
      </c>
      <c r="P302" s="51"/>
      <c r="Q302" s="51">
        <v>3240</v>
      </c>
      <c r="R302" s="51">
        <v>60</v>
      </c>
      <c r="S302" s="51">
        <v>21</v>
      </c>
      <c r="T302" s="65"/>
      <c r="U302" s="65"/>
      <c r="V302" s="65" t="s">
        <v>60</v>
      </c>
      <c r="W302" s="51" t="s">
        <v>640</v>
      </c>
      <c r="X302" s="66" t="s">
        <v>641</v>
      </c>
    </row>
    <row r="303" hidden="1" ht="15.75" customHeight="1" s="32" customFormat="1">
      <c r="A303" s="37"/>
      <c r="B303" s="31" t="s">
        <v>32</v>
      </c>
      <c r="C303" s="59" t="s">
        <v>642</v>
      </c>
      <c r="D303" s="57" t="s">
        <v>30</v>
      </c>
      <c r="E303" s="57">
        <v>45578</v>
      </c>
      <c r="F303" s="38" t="str">
        <f>IF(C303&lt;&gt;"",VLOOKUP($C303,Carpetas!$C$5:$L$2060,2,FALSE),"")</f>
        <v>ECB056</v>
      </c>
      <c r="G303" s="38" t="s">
        <v>43</v>
      </c>
      <c r="H303" s="44">
        <f>IF(C303&lt;&gt;"",VLOOKUP($C303,Carpetas!$C$5:$L$2060,9,FALSE),"")</f>
        <v>0</v>
      </c>
      <c r="I303" s="51" t="str">
        <f>IF(C303&lt;&gt;"",VLOOKUP($C303,Carpetas!$C$5:$L$2060,5,FALSE),"")</f>
        <v>Andino</v>
      </c>
      <c r="J303" s="51"/>
      <c r="K303" s="50">
        <v>45596</v>
      </c>
      <c r="L303" s="39" t="str">
        <f>VLOOKUP($C303,Carpetas!$C$5:$L$2060,4,FALSE)</f>
        <v>Fray Bentos</v>
      </c>
      <c r="M303" s="55">
        <f>K303+1+1</f>
        <v>45598</v>
      </c>
      <c r="N303" s="53">
        <f t="shared" si="20"/>
        <v>20</v>
      </c>
      <c r="O303" s="51">
        <v>1080</v>
      </c>
      <c r="P303" s="51"/>
      <c r="Q303" s="51">
        <v>1080</v>
      </c>
      <c r="R303" s="51">
        <v>20</v>
      </c>
      <c r="S303" s="51">
        <v>21</v>
      </c>
      <c r="T303" s="65"/>
      <c r="U303" s="65"/>
      <c r="V303" s="65"/>
      <c r="W303" s="51" t="s">
        <v>198</v>
      </c>
      <c r="X303" s="66" t="s">
        <v>643</v>
      </c>
    </row>
    <row r="304" hidden="1" ht="27.75" customHeight="1" s="32" customFormat="1">
      <c r="A304" s="37"/>
      <c r="B304" s="31" t="s">
        <v>32</v>
      </c>
      <c r="C304" s="59" t="s">
        <v>644</v>
      </c>
      <c r="D304" s="57" t="s">
        <v>30</v>
      </c>
      <c r="E304" s="57">
        <v>45578</v>
      </c>
      <c r="F304" s="38" t="str">
        <f>IF(C304&lt;&gt;"",VLOOKUP($C304,Carpetas!$C$5:$L$2060,2,FALSE),"")</f>
        <v>ECE055</v>
      </c>
      <c r="G304" s="38" t="s">
        <v>43</v>
      </c>
      <c r="H304" s="44">
        <f>IF(C304&lt;&gt;"",VLOOKUP($C304,Carpetas!$C$5:$L$2060,9,FALSE),"")</f>
        <v>1506047</v>
      </c>
      <c r="I304" s="51" t="str">
        <f>IF(C304&lt;&gt;"",VLOOKUP($C304,Carpetas!$C$5:$L$2060,5,FALSE),"")</f>
        <v>Andino</v>
      </c>
      <c r="J304" s="51"/>
      <c r="K304" s="50">
        <v>45596</v>
      </c>
      <c r="L304" s="39" t="str">
        <f>VLOOKUP($C304,Carpetas!$C$5:$L$2060,4,FALSE)</f>
        <v>Fray Bentos</v>
      </c>
      <c r="M304" s="55">
        <f>K304+1+1</f>
        <v>45598</v>
      </c>
      <c r="N304" s="53">
        <f t="shared" si="20"/>
        <v>20</v>
      </c>
      <c r="O304" s="51">
        <v>1128</v>
      </c>
      <c r="P304" s="51"/>
      <c r="Q304" s="51">
        <v>1128</v>
      </c>
      <c r="R304" s="51">
        <v>20</v>
      </c>
      <c r="S304" s="51">
        <v>21.3</v>
      </c>
      <c r="T304" s="65"/>
      <c r="U304" s="65"/>
      <c r="V304" s="117" t="s">
        <v>645</v>
      </c>
      <c r="W304" s="51" t="s">
        <v>112</v>
      </c>
      <c r="X304" s="66" t="s">
        <v>646</v>
      </c>
    </row>
    <row r="305" hidden="1" ht="15.75" customHeight="1" s="32" customFormat="1">
      <c r="A305" s="37"/>
      <c r="B305" s="31" t="s">
        <v>32</v>
      </c>
      <c r="C305" s="59" t="s">
        <v>647</v>
      </c>
      <c r="D305" s="57" t="s">
        <v>30</v>
      </c>
      <c r="E305" s="57">
        <v>45578</v>
      </c>
      <c r="F305" s="38" t="str">
        <f>IF(C305&lt;&gt;"",VLOOKUP($C305,Carpetas!$C$5:$L$2060,2,FALSE),"")</f>
        <v>ECB055</v>
      </c>
      <c r="G305" s="38" t="s">
        <v>43</v>
      </c>
      <c r="H305" s="44">
        <f>IF(C305&lt;&gt;"",VLOOKUP($C305,Carpetas!$C$5:$L$2060,9,FALSE),"")</f>
        <v>0</v>
      </c>
      <c r="I305" s="51" t="str">
        <f>IF(C305&lt;&gt;"",VLOOKUP($C305,Carpetas!$C$5:$L$2060,5,FALSE),"")</f>
        <v>Andino</v>
      </c>
      <c r="J305" s="51"/>
      <c r="K305" s="50">
        <v>45598</v>
      </c>
      <c r="L305" s="39" t="str">
        <f>VLOOKUP($C305,Carpetas!$C$5:$L$2060,4,FALSE)</f>
        <v>Fray Bentos</v>
      </c>
      <c r="M305" s="55">
        <f>K305+1+1</f>
        <v>45600</v>
      </c>
      <c r="N305" s="53">
        <f t="shared" si="20"/>
        <v>22</v>
      </c>
      <c r="O305" s="51">
        <v>2160</v>
      </c>
      <c r="P305" s="51"/>
      <c r="Q305" s="51">
        <v>2160</v>
      </c>
      <c r="R305" s="51">
        <v>40</v>
      </c>
      <c r="S305" s="51">
        <v>21</v>
      </c>
      <c r="T305" s="65"/>
      <c r="U305" s="65"/>
      <c r="V305" s="65" t="s">
        <v>55</v>
      </c>
      <c r="W305" s="51" t="s">
        <v>648</v>
      </c>
      <c r="X305" s="66" t="s">
        <v>649</v>
      </c>
    </row>
    <row r="306" hidden="1" ht="15.75" customHeight="1" s="32" customFormat="1">
      <c r="A306" s="37"/>
      <c r="B306" s="31" t="s">
        <v>32</v>
      </c>
      <c r="C306" s="59" t="s">
        <v>650</v>
      </c>
      <c r="D306" s="57" t="s">
        <v>48</v>
      </c>
      <c r="E306" s="57">
        <v>45593</v>
      </c>
      <c r="F306" s="38" t="str">
        <f>IF(C306&lt;&gt;"",VLOOKUP($C306,Carpetas!$C$5:$L$2060,2,FALSE),"")</f>
        <v>CLP015</v>
      </c>
      <c r="G306" s="38" t="s">
        <v>35</v>
      </c>
      <c r="H306" s="44">
        <f>IF(C306&lt;&gt;"",VLOOKUP($C306,Carpetas!$C$5:$L$2060,9,FALSE),"")</f>
        <v>0</v>
      </c>
      <c r="I306" s="51" t="str">
        <f>IF(C306&lt;&gt;"",VLOOKUP($C306,Carpetas!$C$5:$L$2060,5,FALSE),"")</f>
        <v>Nihuil</v>
      </c>
      <c r="J306" s="51"/>
      <c r="K306" s="50">
        <v>45600</v>
      </c>
      <c r="L306" s="39" t="str">
        <f>VLOOKUP($C306,Carpetas!$C$5:$L$2060,4,FALSE)</f>
        <v>Fray Bentos</v>
      </c>
      <c r="M306" s="55">
        <f>K306+1</f>
        <v>45601</v>
      </c>
      <c r="N306" s="53">
        <f t="shared" si="20"/>
        <v>8</v>
      </c>
      <c r="O306" s="51">
        <v>1936</v>
      </c>
      <c r="P306" s="51"/>
      <c r="Q306" s="51">
        <v>1936</v>
      </c>
      <c r="R306" s="51">
        <v>22</v>
      </c>
      <c r="S306" s="51">
        <v>11</v>
      </c>
      <c r="T306" s="65"/>
      <c r="U306" s="65"/>
      <c r="V306" s="65" t="s">
        <v>518</v>
      </c>
      <c r="W306" s="51" t="s">
        <v>596</v>
      </c>
      <c r="X306" s="66" t="s">
        <v>651</v>
      </c>
    </row>
    <row r="307" hidden="1" ht="15.75" customHeight="1" s="32" customFormat="1">
      <c r="A307" s="37"/>
      <c r="B307" s="31" t="s">
        <v>32</v>
      </c>
      <c r="C307" s="59" t="s">
        <v>652</v>
      </c>
      <c r="D307" s="57" t="s">
        <v>48</v>
      </c>
      <c r="E307" s="57">
        <v>45594</v>
      </c>
      <c r="F307" s="38" t="str">
        <f>IF(C307&lt;&gt;"",VLOOKUP($C307,Carpetas!$C$5:$L$2060,2,FALSE),"")</f>
        <v>CLP016</v>
      </c>
      <c r="G307" s="38" t="s">
        <v>35</v>
      </c>
      <c r="H307" s="44">
        <f>IF(C307&lt;&gt;"",VLOOKUP($C307,Carpetas!$C$5:$L$2060,9,FALSE),"")</f>
        <v>0</v>
      </c>
      <c r="I307" s="51" t="str">
        <f>IF(C307&lt;&gt;"",VLOOKUP($C307,Carpetas!$C$5:$L$2060,5,FALSE),"")</f>
        <v>Nihuil</v>
      </c>
      <c r="J307" s="51"/>
      <c r="K307" s="50">
        <v>45600</v>
      </c>
      <c r="L307" s="39" t="str">
        <f>VLOOKUP($C307,Carpetas!$C$5:$L$2060,4,FALSE)</f>
        <v>Fray Bentos</v>
      </c>
      <c r="M307" s="55">
        <f>K307+1</f>
        <v>45601</v>
      </c>
      <c r="N307" s="53">
        <f t="shared" si="20"/>
        <v>7</v>
      </c>
      <c r="O307" s="51">
        <v>1936</v>
      </c>
      <c r="P307" s="51"/>
      <c r="Q307" s="51">
        <v>1936</v>
      </c>
      <c r="R307" s="51">
        <v>22</v>
      </c>
      <c r="S307" s="51">
        <v>11.5</v>
      </c>
      <c r="T307" s="65"/>
      <c r="U307" s="65"/>
      <c r="V307" s="65" t="s">
        <v>653</v>
      </c>
      <c r="W307" s="51" t="s">
        <v>251</v>
      </c>
      <c r="X307" s="66" t="s">
        <v>654</v>
      </c>
    </row>
    <row r="308" hidden="1" ht="15.75" customHeight="1" s="32" customFormat="1">
      <c r="A308" s="37"/>
      <c r="B308" s="31" t="s">
        <v>32</v>
      </c>
      <c r="C308" s="59" t="s">
        <v>655</v>
      </c>
      <c r="D308" s="57" t="s">
        <v>656</v>
      </c>
      <c r="E308" s="57">
        <v>45600</v>
      </c>
      <c r="F308" s="38" t="str">
        <f>IF(C308&lt;&gt;"",VLOOKUP($C308,Carpetas!$C$5:$L$2060,2,FALSE),"")</f>
        <v>EGP001</v>
      </c>
      <c r="G308" s="38" t="s">
        <v>657</v>
      </c>
      <c r="H308" s="44">
        <f>IF(C308&lt;&gt;"",VLOOKUP($C308,Carpetas!$C$5:$L$2060,9,FALSE),"")</f>
        <v>1505599</v>
      </c>
      <c r="I308" s="51" t="str">
        <f>IF(C308&lt;&gt;"",VLOOKUP($C308,Carpetas!$C$5:$L$2060,5,FALSE),"")</f>
        <v>Ciatran</v>
      </c>
      <c r="J308" s="51"/>
      <c r="K308" s="50">
        <v>45600</v>
      </c>
      <c r="L308" s="39" t="str">
        <f>VLOOKUP($C308,Carpetas!$C$5:$L$2060,4,FALSE)</f>
        <v>Montevideo</v>
      </c>
      <c r="M308" s="55">
        <f>K308+1</f>
        <v>45601</v>
      </c>
      <c r="N308" s="53">
        <f t="shared" si="20"/>
        <v>1</v>
      </c>
      <c r="O308" s="51">
        <v>1312</v>
      </c>
      <c r="P308" s="51"/>
      <c r="Q308" s="51">
        <v>1312</v>
      </c>
      <c r="R308" s="51">
        <v>21</v>
      </c>
      <c r="S308" s="51">
        <v>15</v>
      </c>
      <c r="T308" s="65"/>
      <c r="U308" s="65"/>
      <c r="V308" s="65"/>
      <c r="W308" s="51"/>
      <c r="X308" s="66" t="s">
        <v>658</v>
      </c>
    </row>
    <row r="309" hidden="1" ht="15.75" customHeight="1" s="32" customFormat="1">
      <c r="A309" s="37"/>
      <c r="B309" s="31" t="s">
        <v>32</v>
      </c>
      <c r="C309" s="59" t="s">
        <v>659</v>
      </c>
      <c r="D309" s="57" t="s">
        <v>30</v>
      </c>
      <c r="E309" s="57">
        <v>45585</v>
      </c>
      <c r="F309" s="38" t="str">
        <f>IF(C309&lt;&gt;"",VLOOKUP($C309,Carpetas!$C$5:$L$2060,2,FALSE),"")</f>
        <v>ECE056</v>
      </c>
      <c r="G309" s="38" t="s">
        <v>43</v>
      </c>
      <c r="H309" s="44">
        <f>IF(C309&lt;&gt;"",VLOOKUP($C309,Carpetas!$C$5:$L$2060,9,FALSE),"")</f>
        <v>1507093</v>
      </c>
      <c r="I309" s="51" t="str">
        <f>IF(C309&lt;&gt;"",VLOOKUP($C309,Carpetas!$C$5:$L$2060,5,FALSE),"")</f>
        <v>Andino</v>
      </c>
      <c r="J309" s="51"/>
      <c r="K309" s="50">
        <v>45603</v>
      </c>
      <c r="L309" s="39" t="str">
        <f>VLOOKUP($C309,Carpetas!$C$5:$L$2060,4,FALSE)</f>
        <v>Fray Bentos</v>
      </c>
      <c r="M309" s="55">
        <f>K309+1</f>
        <v>45604</v>
      </c>
      <c r="N309" s="53">
        <f t="shared" si="20"/>
        <v>19</v>
      </c>
      <c r="O309" s="51">
        <v>1080</v>
      </c>
      <c r="P309" s="51"/>
      <c r="Q309" s="51">
        <v>1080</v>
      </c>
      <c r="R309" s="51">
        <v>20</v>
      </c>
      <c r="S309" s="51">
        <v>21</v>
      </c>
      <c r="T309" s="65"/>
      <c r="U309" s="65"/>
      <c r="V309" s="65" t="s">
        <v>60</v>
      </c>
      <c r="W309" s="51" t="s">
        <v>67</v>
      </c>
      <c r="X309" s="66" t="s">
        <v>660</v>
      </c>
    </row>
    <row r="310" hidden="1" ht="15.75" customHeight="1" s="32" customFormat="1">
      <c r="A310" s="37"/>
      <c r="B310" s="31" t="s">
        <v>32</v>
      </c>
      <c r="C310" s="59" t="s">
        <v>661</v>
      </c>
      <c r="D310" s="57" t="s">
        <v>30</v>
      </c>
      <c r="E310" s="57">
        <v>45585</v>
      </c>
      <c r="F310" s="38" t="str">
        <f>IF(C310&lt;&gt;"",VLOOKUP($C310,Carpetas!$C$5:$L$2060,2,FALSE),"")</f>
        <v>ECB058</v>
      </c>
      <c r="G310" s="38" t="s">
        <v>43</v>
      </c>
      <c r="H310" s="44">
        <f>IF(C310&lt;&gt;"",VLOOKUP($C310,Carpetas!$C$5:$L$2060,9,FALSE),"")</f>
        <v>0</v>
      </c>
      <c r="I310" s="51" t="str">
        <f>IF(C310&lt;&gt;"",VLOOKUP($C310,Carpetas!$C$5:$L$2060,5,FALSE),"")</f>
        <v>Andino</v>
      </c>
      <c r="J310" s="51"/>
      <c r="K310" s="50">
        <v>45603</v>
      </c>
      <c r="L310" s="39" t="str">
        <f>VLOOKUP($C310,Carpetas!$C$5:$L$2060,4,FALSE)</f>
        <v>Fray Bentos</v>
      </c>
      <c r="M310" s="55">
        <v>45605</v>
      </c>
      <c r="N310" s="53">
        <f t="shared" si="20"/>
        <v>20</v>
      </c>
      <c r="O310" s="51">
        <v>1080</v>
      </c>
      <c r="P310" s="51"/>
      <c r="Q310" s="51">
        <v>1080</v>
      </c>
      <c r="R310" s="51">
        <v>20</v>
      </c>
      <c r="S310" s="51">
        <v>21</v>
      </c>
      <c r="T310" s="65"/>
      <c r="U310" s="65"/>
      <c r="V310" s="65" t="s">
        <v>662</v>
      </c>
      <c r="W310" s="51" t="s">
        <v>325</v>
      </c>
      <c r="X310" s="66" t="s">
        <v>663</v>
      </c>
    </row>
    <row r="311" hidden="1" ht="15.75" customHeight="1" s="32" customFormat="1">
      <c r="A311" s="37"/>
      <c r="B311" s="31" t="s">
        <v>32</v>
      </c>
      <c r="C311" s="59" t="s">
        <v>664</v>
      </c>
      <c r="D311" s="57" t="s">
        <v>30</v>
      </c>
      <c r="E311" s="57">
        <v>45585</v>
      </c>
      <c r="F311" s="38" t="str">
        <f>IF(C311&lt;&gt;"",VLOOKUP($C311,Carpetas!$C$5:$L$2060,2,FALSE),"")</f>
        <v>ECE057</v>
      </c>
      <c r="G311" s="38" t="s">
        <v>43</v>
      </c>
      <c r="H311" s="44">
        <f>IF(C311&lt;&gt;"",VLOOKUP($C311,Carpetas!$C$5:$L$2060,9,FALSE),"")</f>
        <v>1507040</v>
      </c>
      <c r="I311" s="51" t="str">
        <f>IF(C311&lt;&gt;"",VLOOKUP($C311,Carpetas!$C$5:$L$2060,5,FALSE),"")</f>
        <v>Andino</v>
      </c>
      <c r="J311" s="51"/>
      <c r="K311" s="50">
        <v>45603</v>
      </c>
      <c r="L311" s="39" t="str">
        <f>VLOOKUP($C311,Carpetas!$C$5:$L$2060,4,FALSE)</f>
        <v>Fray Bentos</v>
      </c>
      <c r="M311" s="55">
        <v>45605</v>
      </c>
      <c r="N311" s="53">
        <f t="shared" si="20"/>
        <v>20</v>
      </c>
      <c r="O311" s="51">
        <v>1128</v>
      </c>
      <c r="P311" s="51"/>
      <c r="Q311" s="51">
        <v>1128</v>
      </c>
      <c r="R311" s="51">
        <v>20</v>
      </c>
      <c r="S311" s="51">
        <v>21</v>
      </c>
      <c r="T311" s="65"/>
      <c r="U311" s="65"/>
      <c r="V311" s="65" t="s">
        <v>665</v>
      </c>
      <c r="W311" s="51" t="s">
        <v>64</v>
      </c>
      <c r="X311" s="66" t="s">
        <v>666</v>
      </c>
    </row>
    <row r="312" hidden="1" ht="15.75" customHeight="1" s="32" customFormat="1">
      <c r="A312" s="37"/>
      <c r="B312" s="31" t="s">
        <v>32</v>
      </c>
      <c r="C312" s="59" t="s">
        <v>659</v>
      </c>
      <c r="D312" s="57" t="s">
        <v>30</v>
      </c>
      <c r="E312" s="57">
        <v>45585</v>
      </c>
      <c r="F312" s="38" t="str">
        <f>IF(C312&lt;&gt;"",VLOOKUP($C312,Carpetas!$C$5:$L$2060,2,FALSE),"")</f>
        <v>ECE056</v>
      </c>
      <c r="G312" s="38" t="s">
        <v>43</v>
      </c>
      <c r="H312" s="44">
        <f>IF(C312&lt;&gt;"",VLOOKUP($C312,Carpetas!$C$5:$L$2060,9,FALSE),"")</f>
        <v>1507093</v>
      </c>
      <c r="I312" s="51" t="str">
        <f>IF(C312&lt;&gt;"",VLOOKUP($C312,Carpetas!$C$5:$L$2060,5,FALSE),"")</f>
        <v>Andino</v>
      </c>
      <c r="J312" s="51"/>
      <c r="K312" s="50">
        <v>45604</v>
      </c>
      <c r="L312" s="39" t="str">
        <f>VLOOKUP($C312,Carpetas!$C$5:$L$2060,4,FALSE)</f>
        <v>Fray Bentos</v>
      </c>
      <c r="M312" s="55">
        <f>K312+1</f>
        <v>45605</v>
      </c>
      <c r="N312" s="53">
        <f t="shared" si="20"/>
        <v>20</v>
      </c>
      <c r="O312" s="51">
        <v>4320</v>
      </c>
      <c r="P312" s="51"/>
      <c r="Q312" s="51">
        <v>4320</v>
      </c>
      <c r="R312" s="51">
        <v>80</v>
      </c>
      <c r="S312" s="51">
        <v>21</v>
      </c>
      <c r="T312" s="65"/>
      <c r="U312" s="65"/>
      <c r="V312" s="65" t="s">
        <v>60</v>
      </c>
      <c r="W312" s="51" t="s">
        <v>667</v>
      </c>
      <c r="X312" s="66" t="s">
        <v>668</v>
      </c>
    </row>
    <row r="313" hidden="1" ht="15.75" customHeight="1" s="32" customFormat="1">
      <c r="A313" s="37"/>
      <c r="B313" s="31" t="s">
        <v>32</v>
      </c>
      <c r="C313" s="59" t="s">
        <v>669</v>
      </c>
      <c r="D313" s="57" t="s">
        <v>48</v>
      </c>
      <c r="E313" s="57">
        <v>45559</v>
      </c>
      <c r="F313" s="38" t="str">
        <f>IF(C313&lt;&gt;"",VLOOKUP($C313,Carpetas!$C$5:$L$2060,2,FALSE),"")</f>
        <v>MXP014</v>
      </c>
      <c r="G313" s="38" t="s">
        <v>78</v>
      </c>
      <c r="H313" s="44">
        <f>IF(C313&lt;&gt;"",VLOOKUP($C313,Carpetas!$C$5:$L$2060,9,FALSE),"")</f>
        <v>0</v>
      </c>
      <c r="I313" s="51" t="str">
        <f>IF(C313&lt;&gt;"",VLOOKUP($C313,Carpetas!$C$5:$L$2060,5,FALSE),"")</f>
        <v>Andino</v>
      </c>
      <c r="J313" s="51"/>
      <c r="K313" s="50">
        <v>45604</v>
      </c>
      <c r="L313" s="39" t="str">
        <f>VLOOKUP($C313,Carpetas!$C$5:$L$2060,4,FALSE)</f>
        <v>Fray Bentos</v>
      </c>
      <c r="M313" s="55">
        <f>K313+1</f>
        <v>45605</v>
      </c>
      <c r="N313" s="53">
        <f t="shared" si="20"/>
        <v>46</v>
      </c>
      <c r="O313" s="51">
        <v>1936</v>
      </c>
      <c r="P313" s="51"/>
      <c r="Q313" s="51">
        <v>1920</v>
      </c>
      <c r="R313" s="51">
        <v>20</v>
      </c>
      <c r="S313" s="51">
        <v>10</v>
      </c>
      <c r="T313" s="65"/>
      <c r="U313" s="65"/>
      <c r="V313" s="65" t="s">
        <v>518</v>
      </c>
      <c r="W313" s="51" t="s">
        <v>140</v>
      </c>
      <c r="X313" s="66" t="s">
        <v>670</v>
      </c>
    </row>
    <row r="314" hidden="1" ht="15.75" customHeight="1" s="32" customFormat="1">
      <c r="A314" s="37"/>
      <c r="B314" s="31" t="s">
        <v>32</v>
      </c>
      <c r="C314" s="59" t="s">
        <v>671</v>
      </c>
      <c r="D314" s="57" t="s">
        <v>42</v>
      </c>
      <c r="E314" s="57">
        <v>45585</v>
      </c>
      <c r="F314" s="38" t="str">
        <f>IF(C314&lt;&gt;"",VLOOKUP($C314,Carpetas!$C$5:$L$2060,2,FALSE),"")</f>
        <v>ECA023</v>
      </c>
      <c r="G314" s="38" t="s">
        <v>43</v>
      </c>
      <c r="H314" s="44">
        <f>IF(C314&lt;&gt;"",VLOOKUP($C314,Carpetas!$C$5:$L$2060,9,FALSE),"")</f>
        <v>1507092</v>
      </c>
      <c r="I314" s="51" t="str">
        <f>IF(C314&lt;&gt;"",VLOOKUP($C314,Carpetas!$C$5:$L$2060,5,FALSE),"")</f>
        <v>Andino</v>
      </c>
      <c r="J314" s="51"/>
      <c r="K314" s="50">
        <v>45604</v>
      </c>
      <c r="L314" s="39" t="str">
        <f>VLOOKUP($C314,Carpetas!$C$5:$L$2060,4,FALSE)</f>
        <v>Fray Bentos</v>
      </c>
      <c r="M314" s="55">
        <v>45605</v>
      </c>
      <c r="N314" s="53">
        <f t="shared" si="20"/>
        <v>20</v>
      </c>
      <c r="O314" s="51">
        <v>1680</v>
      </c>
      <c r="P314" s="51"/>
      <c r="Q314" s="51">
        <v>1680</v>
      </c>
      <c r="R314" s="51">
        <v>21</v>
      </c>
      <c r="S314" s="51"/>
      <c r="T314" s="65"/>
      <c r="U314" s="65"/>
      <c r="V314" s="65"/>
      <c r="W314" s="51"/>
      <c r="X314" s="66" t="s">
        <v>672</v>
      </c>
    </row>
    <row r="315" hidden="1" ht="15.75" customHeight="1" s="32" customFormat="1">
      <c r="A315" s="37"/>
      <c r="B315" s="31" t="s">
        <v>32</v>
      </c>
      <c r="C315" s="59" t="s">
        <v>673</v>
      </c>
      <c r="D315" s="57" t="s">
        <v>30</v>
      </c>
      <c r="E315" s="57">
        <v>45574</v>
      </c>
      <c r="F315" s="38" t="str">
        <f>IF(C315&lt;&gt;"",VLOOKUP($C315,Carpetas!$C$5:$L$2060,2,FALSE),"")</f>
        <v>COB015</v>
      </c>
      <c r="G315" s="38" t="s">
        <v>267</v>
      </c>
      <c r="H315" s="44">
        <f>IF(C315&lt;&gt;"",VLOOKUP($C315,Carpetas!$C$5:$L$2060,9,FALSE),"")</f>
        <v>0</v>
      </c>
      <c r="I315" s="51" t="str">
        <f>IF(C315&lt;&gt;"",VLOOKUP($C315,Carpetas!$C$5:$L$2060,5,FALSE),"")</f>
        <v>Andino</v>
      </c>
      <c r="J315" s="51"/>
      <c r="K315" s="50">
        <v>45604</v>
      </c>
      <c r="L315" s="39" t="str">
        <f>VLOOKUP($C315,Carpetas!$C$5:$L$2060,4,FALSE)</f>
        <v>Fray Bentos</v>
      </c>
      <c r="M315" s="55">
        <f>K315+1</f>
        <v>45605</v>
      </c>
      <c r="N315" s="53">
        <f t="shared" si="20"/>
        <v>31</v>
      </c>
      <c r="O315" s="51">
        <v>2160</v>
      </c>
      <c r="P315" s="51"/>
      <c r="Q315" s="51">
        <v>1080</v>
      </c>
      <c r="R315" s="51">
        <v>20</v>
      </c>
      <c r="S315" s="51">
        <v>19</v>
      </c>
      <c r="T315" s="65"/>
      <c r="U315" s="65"/>
      <c r="V315" s="65" t="s">
        <v>674</v>
      </c>
      <c r="W315" s="51" t="s">
        <v>112</v>
      </c>
      <c r="X315" s="66" t="s">
        <v>675</v>
      </c>
    </row>
    <row r="316" hidden="1" ht="27.75" customHeight="1" s="32" customFormat="1">
      <c r="A316" s="37"/>
      <c r="B316" s="31" t="s">
        <v>32</v>
      </c>
      <c r="C316" s="59" t="s">
        <v>676</v>
      </c>
      <c r="D316" s="57" t="s">
        <v>30</v>
      </c>
      <c r="E316" s="57">
        <v>45585</v>
      </c>
      <c r="F316" s="38" t="str">
        <f>IF(C316&lt;&gt;"",VLOOKUP($C316,Carpetas!$C$5:$L$2060,2,FALSE),"")</f>
        <v>ECB057</v>
      </c>
      <c r="G316" s="38" t="s">
        <v>43</v>
      </c>
      <c r="H316" s="44">
        <f>IF(C316&lt;&gt;"",VLOOKUP($C316,Carpetas!$C$5:$L$2060,9,FALSE),"")</f>
        <v>1507037</v>
      </c>
      <c r="I316" s="51" t="str">
        <f>IF(C316&lt;&gt;"",VLOOKUP($C316,Carpetas!$C$5:$L$2060,5,FALSE),"")</f>
        <v>Andino</v>
      </c>
      <c r="J316" s="51"/>
      <c r="K316" s="50">
        <v>45604</v>
      </c>
      <c r="L316" s="39" t="str">
        <f>VLOOKUP($C316,Carpetas!$C$5:$L$2060,4,FALSE)</f>
        <v>Fray Bentos</v>
      </c>
      <c r="M316" s="55">
        <f>K316+1</f>
        <v>45605</v>
      </c>
      <c r="N316" s="53">
        <f t="shared" si="20"/>
        <v>20</v>
      </c>
      <c r="O316" s="51">
        <v>1080</v>
      </c>
      <c r="P316" s="51"/>
      <c r="Q316" s="51">
        <v>1080</v>
      </c>
      <c r="R316" s="51">
        <v>20</v>
      </c>
      <c r="S316" s="51">
        <v>21</v>
      </c>
      <c r="T316" s="65"/>
      <c r="U316" s="65"/>
      <c r="V316" s="65" t="s">
        <v>55</v>
      </c>
      <c r="W316" s="51" t="s">
        <v>110</v>
      </c>
      <c r="X316" s="66" t="s">
        <v>677</v>
      </c>
    </row>
    <row r="317" hidden="1" ht="15.75" customHeight="1" s="32" customFormat="1">
      <c r="A317" s="37"/>
      <c r="B317" s="31" t="s">
        <v>32</v>
      </c>
      <c r="C317" s="59" t="s">
        <v>676</v>
      </c>
      <c r="D317" s="57" t="s">
        <v>30</v>
      </c>
      <c r="E317" s="57">
        <v>45585</v>
      </c>
      <c r="F317" s="38" t="str">
        <f>IF(C317&lt;&gt;"",VLOOKUP($C317,Carpetas!$C$5:$L$2060,2,FALSE),"")</f>
        <v>ECB057</v>
      </c>
      <c r="G317" s="38" t="s">
        <v>43</v>
      </c>
      <c r="H317" s="44">
        <f>IF(C317&lt;&gt;"",VLOOKUP($C317,Carpetas!$C$5:$L$2060,9,FALSE),"")</f>
        <v>1507037</v>
      </c>
      <c r="I317" s="51" t="str">
        <f>IF(C317&lt;&gt;"",VLOOKUP($C317,Carpetas!$C$5:$L$2060,5,FALSE),"")</f>
        <v>Andino</v>
      </c>
      <c r="J317" s="51"/>
      <c r="K317" s="50">
        <v>45608</v>
      </c>
      <c r="L317" s="39" t="str">
        <f>VLOOKUP($C317,Carpetas!$C$5:$L$2060,4,FALSE)</f>
        <v>Fray Bentos</v>
      </c>
      <c r="M317" s="55">
        <v>45607</v>
      </c>
      <c r="N317" s="53">
        <f t="shared" si="20"/>
        <v>22</v>
      </c>
      <c r="O317" s="51">
        <v>1080</v>
      </c>
      <c r="P317" s="51"/>
      <c r="Q317" s="51">
        <v>1080</v>
      </c>
      <c r="R317" s="51">
        <v>20</v>
      </c>
      <c r="S317" s="51">
        <v>21</v>
      </c>
      <c r="T317" s="65"/>
      <c r="U317" s="65"/>
      <c r="V317" s="65" t="s">
        <v>55</v>
      </c>
      <c r="W317" s="51" t="s">
        <v>143</v>
      </c>
      <c r="X317" s="66" t="s">
        <v>678</v>
      </c>
    </row>
    <row r="318" hidden="1" ht="15.75" customHeight="1" s="32" customFormat="1">
      <c r="A318" s="37"/>
      <c r="B318" s="31" t="s">
        <v>32</v>
      </c>
      <c r="C318" s="59" t="s">
        <v>679</v>
      </c>
      <c r="D318" s="57" t="s">
        <v>30</v>
      </c>
      <c r="E318" s="57">
        <v>45607</v>
      </c>
      <c r="F318" s="38" t="str">
        <f>IF(C318&lt;&gt;"",VLOOKUP($C318,Carpetas!$C$5:$L$2060,2,FALSE),"")</f>
        <v>BOB002</v>
      </c>
      <c r="G318" s="38" t="s">
        <v>31</v>
      </c>
      <c r="H318" s="44">
        <f>IF(C318&lt;&gt;"",VLOOKUP($C318,Carpetas!$C$5:$L$2060,9,FALSE),"")</f>
        <v>1507564</v>
      </c>
      <c r="I318" s="51" t="str">
        <f>IF(C318&lt;&gt;"",VLOOKUP($C318,Carpetas!$C$5:$L$2060,5,FALSE),"")</f>
        <v>Chapare</v>
      </c>
      <c r="J318" s="51"/>
      <c r="K318" s="50">
        <v>45609</v>
      </c>
      <c r="L318" s="39" t="str">
        <f>VLOOKUP($C318,Carpetas!$C$5:$L$2060,4,FALSE)</f>
        <v>Salto</v>
      </c>
      <c r="M318" s="55">
        <f ref="M318:M325" t="shared" si="22">K318+1</f>
        <v>45610</v>
      </c>
      <c r="N318" s="53">
        <f t="shared" si="20"/>
        <v>3</v>
      </c>
      <c r="O318" s="51">
        <v>2208</v>
      </c>
      <c r="P318" s="51"/>
      <c r="Q318" s="51">
        <v>2208</v>
      </c>
      <c r="R318" s="51">
        <v>46</v>
      </c>
      <c r="S318" s="51">
        <v>21</v>
      </c>
      <c r="T318" s="65"/>
      <c r="U318" s="65"/>
      <c r="V318" s="65" t="s">
        <v>605</v>
      </c>
      <c r="W318" s="51" t="s">
        <v>680</v>
      </c>
      <c r="X318" s="66" t="s">
        <v>681</v>
      </c>
    </row>
    <row r="319" hidden="1" ht="15.75" customHeight="1" s="32" customFormat="1">
      <c r="A319" s="37"/>
      <c r="B319" s="31" t="s">
        <v>32</v>
      </c>
      <c r="C319" s="59" t="s">
        <v>682</v>
      </c>
      <c r="D319" s="57" t="s">
        <v>30</v>
      </c>
      <c r="E319" s="57">
        <v>45592</v>
      </c>
      <c r="F319" s="38" t="str">
        <f>IF(C319&lt;&gt;"",VLOOKUP($C319,Carpetas!$C$5:$L$2060,2,FALSE),"")</f>
        <v>ECB060</v>
      </c>
      <c r="G319" s="38" t="s">
        <v>43</v>
      </c>
      <c r="H319" s="44">
        <f>IF(C319&lt;&gt;"",VLOOKUP($C319,Carpetas!$C$5:$L$2060,9,FALSE),"")</f>
        <v>1507673</v>
      </c>
      <c r="I319" s="51" t="str">
        <f>IF(C319&lt;&gt;"",VLOOKUP($C319,Carpetas!$C$5:$L$2060,5,FALSE),"")</f>
        <v>Andino</v>
      </c>
      <c r="J319" s="51"/>
      <c r="K319" s="50">
        <v>45610</v>
      </c>
      <c r="L319" s="39" t="str">
        <f>VLOOKUP($C319,Carpetas!$C$5:$L$2060,4,FALSE)</f>
        <v>Fray Bentos</v>
      </c>
      <c r="M319" s="55">
        <f t="shared" si="22"/>
        <v>45611</v>
      </c>
      <c r="N319" s="53">
        <f t="shared" si="20"/>
        <v>19</v>
      </c>
      <c r="O319" s="51">
        <v>1080</v>
      </c>
      <c r="P319" s="51"/>
      <c r="Q319" s="51"/>
      <c r="R319" s="51"/>
      <c r="S319" s="51"/>
      <c r="T319" s="65"/>
      <c r="U319" s="65"/>
      <c r="V319" s="65"/>
      <c r="W319" s="51"/>
      <c r="X319" s="66"/>
    </row>
    <row r="320" hidden="1" ht="15.75" customHeight="1" s="32" customFormat="1">
      <c r="A320" s="37"/>
      <c r="B320" s="31" t="s">
        <v>32</v>
      </c>
      <c r="C320" s="59" t="s">
        <v>683</v>
      </c>
      <c r="D320" s="57" t="s">
        <v>48</v>
      </c>
      <c r="E320" s="57">
        <v>45607</v>
      </c>
      <c r="F320" s="38" t="str">
        <f>IF(C320&lt;&gt;"",VLOOKUP($C320,Carpetas!$C$5:$L$2060,2,FALSE),"")</f>
        <v>CLP018</v>
      </c>
      <c r="G320" s="38" t="s">
        <v>35</v>
      </c>
      <c r="H320" s="44">
        <f>IF(C320&lt;&gt;"",VLOOKUP($C320,Carpetas!$C$5:$L$2060,9,FALSE),"")</f>
        <v>0</v>
      </c>
      <c r="I320" s="51" t="str">
        <f>IF(C320&lt;&gt;"",VLOOKUP($C320,Carpetas!$C$5:$L$2060,5,FALSE),"")</f>
        <v>Sarla y Ramón</v>
      </c>
      <c r="J320" s="51"/>
      <c r="K320" s="50">
        <v>45611</v>
      </c>
      <c r="L320" s="39" t="str">
        <f>VLOOKUP($C320,Carpetas!$C$5:$L$2060,4,FALSE)</f>
        <v>Fray Bentos</v>
      </c>
      <c r="M320" s="55">
        <f t="shared" si="22"/>
        <v>45612</v>
      </c>
      <c r="N320" s="53">
        <f t="shared" si="20"/>
        <v>5</v>
      </c>
      <c r="O320" s="51">
        <v>2112</v>
      </c>
      <c r="P320" s="51"/>
      <c r="Q320" s="51">
        <v>2112</v>
      </c>
      <c r="R320" s="51">
        <v>24</v>
      </c>
      <c r="S320" s="51">
        <v>10.9</v>
      </c>
      <c r="T320" s="65"/>
      <c r="U320" s="65"/>
      <c r="V320" s="65" t="s">
        <v>684</v>
      </c>
      <c r="W320" s="51" t="s">
        <v>342</v>
      </c>
      <c r="X320" s="66" t="s">
        <v>685</v>
      </c>
    </row>
    <row r="321" hidden="1" ht="15.75" customHeight="1" s="32" customFormat="1">
      <c r="A321" s="37"/>
      <c r="B321" s="31" t="s">
        <v>32</v>
      </c>
      <c r="C321" s="59" t="s">
        <v>686</v>
      </c>
      <c r="D321" s="57" t="s">
        <v>48</v>
      </c>
      <c r="E321" s="57">
        <v>45604</v>
      </c>
      <c r="F321" s="38" t="str">
        <f>IF(C321&lt;&gt;"",VLOOKUP($C321,Carpetas!$C$5:$L$2060,2,FALSE),"")</f>
        <v>CLP017</v>
      </c>
      <c r="G321" s="38" t="s">
        <v>35</v>
      </c>
      <c r="H321" s="44">
        <f>IF(C321&lt;&gt;"",VLOOKUP($C321,Carpetas!$C$5:$L$2060,9,FALSE),"")</f>
        <v>0</v>
      </c>
      <c r="I321" s="51" t="str">
        <f>IF(C321&lt;&gt;"",VLOOKUP($C321,Carpetas!$C$5:$L$2060,5,FALSE),"")</f>
        <v>Nihuil</v>
      </c>
      <c r="J321" s="51"/>
      <c r="K321" s="50">
        <v>45611</v>
      </c>
      <c r="L321" s="39" t="str">
        <f>VLOOKUP($C321,Carpetas!$C$5:$L$2060,4,FALSE)</f>
        <v>Fray Bentos</v>
      </c>
      <c r="M321" s="55">
        <f t="shared" si="22"/>
        <v>45612</v>
      </c>
      <c r="N321" s="53">
        <f t="shared" si="20"/>
        <v>8</v>
      </c>
      <c r="O321" s="51">
        <v>1936</v>
      </c>
      <c r="P321" s="51"/>
      <c r="Q321" s="51">
        <v>1936</v>
      </c>
      <c r="R321" s="51">
        <v>22</v>
      </c>
      <c r="S321" s="51">
        <v>11.9</v>
      </c>
      <c r="T321" s="65"/>
      <c r="U321" s="65"/>
      <c r="V321" s="65" t="s">
        <v>687</v>
      </c>
      <c r="W321" s="51" t="s">
        <v>460</v>
      </c>
      <c r="X321" s="66" t="s">
        <v>688</v>
      </c>
    </row>
    <row r="322" hidden="1" ht="15.75" customHeight="1" s="32" customFormat="1">
      <c r="A322" s="37"/>
      <c r="B322" s="31" t="s">
        <v>32</v>
      </c>
      <c r="C322" s="59" t="s">
        <v>689</v>
      </c>
      <c r="D322" s="57" t="s">
        <v>30</v>
      </c>
      <c r="E322" s="57">
        <v>45586</v>
      </c>
      <c r="F322" s="38" t="str">
        <f>IF(C322&lt;&gt;"",VLOOKUP($C322,Carpetas!$C$5:$L$2060,2,FALSE),"")</f>
        <v>COB016</v>
      </c>
      <c r="G322" s="38" t="s">
        <v>43</v>
      </c>
      <c r="H322" s="44">
        <f>IF(C322&lt;&gt;"",VLOOKUP($C322,Carpetas!$C$5:$L$2060,9,FALSE),"")</f>
        <v>0</v>
      </c>
      <c r="I322" s="51" t="str">
        <f>IF(C322&lt;&gt;"",VLOOKUP($C322,Carpetas!$C$5:$L$2060,5,FALSE),"")</f>
        <v>Andino</v>
      </c>
      <c r="J322" s="51"/>
      <c r="K322" s="50">
        <v>45611</v>
      </c>
      <c r="L322" s="39" t="str">
        <f>VLOOKUP($C322,Carpetas!$C$5:$L$2060,4,FALSE)</f>
        <v>Fray Bentos</v>
      </c>
      <c r="M322" s="55">
        <f t="shared" si="22"/>
        <v>45612</v>
      </c>
      <c r="N322" s="53">
        <f t="shared" si="20"/>
        <v>26</v>
      </c>
      <c r="O322" s="51">
        <v>2160</v>
      </c>
      <c r="P322" s="51"/>
      <c r="Q322" s="51">
        <v>2160</v>
      </c>
      <c r="R322" s="51">
        <v>40</v>
      </c>
      <c r="S322" s="51">
        <v>21</v>
      </c>
      <c r="T322" s="65"/>
      <c r="U322" s="65"/>
      <c r="V322" s="65" t="s">
        <v>690</v>
      </c>
      <c r="W322" s="51" t="s">
        <v>56</v>
      </c>
      <c r="X322" s="66" t="s">
        <v>691</v>
      </c>
    </row>
    <row r="323" hidden="1" ht="15.75" customHeight="1" s="32" customFormat="1">
      <c r="A323" s="37"/>
      <c r="B323" s="31" t="s">
        <v>32</v>
      </c>
      <c r="C323" s="59" t="s">
        <v>692</v>
      </c>
      <c r="D323" s="57" t="s">
        <v>656</v>
      </c>
      <c r="E323" s="57">
        <v>45571</v>
      </c>
      <c r="F323" s="38" t="str">
        <f>IF(C323&lt;&gt;"",VLOOKUP($C323,Carpetas!$C$5:$L$2060,2,FALSE),"")</f>
        <v>EGP002</v>
      </c>
      <c r="G323" s="38" t="s">
        <v>43</v>
      </c>
      <c r="H323" s="44">
        <f>IF(C323&lt;&gt;"",VLOOKUP($C323,Carpetas!$C$5:$L$2060,9,FALSE),"")</f>
        <v>0</v>
      </c>
      <c r="I323" s="51" t="str">
        <f>IF(C323&lt;&gt;"",VLOOKUP($C323,Carpetas!$C$5:$L$2060,5,FALSE),"")</f>
        <v>Ciatran</v>
      </c>
      <c r="J323" s="51"/>
      <c r="K323" s="50">
        <v>45614</v>
      </c>
      <c r="L323" s="39" t="str">
        <f>VLOOKUP($C323,Carpetas!$C$5:$L$2060,4,FALSE)</f>
        <v>Montevideo</v>
      </c>
      <c r="M323" s="55">
        <f t="shared" si="22"/>
        <v>45615</v>
      </c>
      <c r="N323" s="53">
        <f t="shared" si="20"/>
        <v>44</v>
      </c>
      <c r="O323" s="51">
        <v>1312</v>
      </c>
      <c r="P323" s="51"/>
      <c r="Q323" s="51">
        <v>1312</v>
      </c>
      <c r="R323" s="51">
        <v>21</v>
      </c>
      <c r="S323" s="51">
        <v>15</v>
      </c>
      <c r="T323" s="65"/>
      <c r="U323" s="65"/>
      <c r="V323" s="65"/>
      <c r="W323" s="51"/>
      <c r="X323" s="66" t="s">
        <v>658</v>
      </c>
    </row>
    <row r="324" hidden="1" ht="15.75" customHeight="1" s="32" customFormat="1">
      <c r="A324" s="37"/>
      <c r="B324" s="31" t="s">
        <v>32</v>
      </c>
      <c r="C324" s="59" t="s">
        <v>693</v>
      </c>
      <c r="D324" s="57" t="s">
        <v>694</v>
      </c>
      <c r="E324" s="57">
        <v>45611</v>
      </c>
      <c r="F324" s="38" t="str">
        <f>IF(C324&lt;&gt;"",VLOOKUP($C324,Carpetas!$C$5:$L$2060,2,FALSE),"")</f>
        <v>ARB001</v>
      </c>
      <c r="G324" s="38" t="s">
        <v>369</v>
      </c>
      <c r="H324" s="44">
        <f>IF(C324&lt;&gt;"",VLOOKUP($C324,Carpetas!$C$5:$L$2060,9,FALSE),"")</f>
        <v>0</v>
      </c>
      <c r="I324" s="51" t="str">
        <f>IF(C324&lt;&gt;"",VLOOKUP($C324,Carpetas!$C$5:$L$2060,5,FALSE),"")</f>
        <v>Transporte CDC</v>
      </c>
      <c r="J324" s="51"/>
      <c r="K324" s="50">
        <v>45614</v>
      </c>
      <c r="L324" s="39" t="str">
        <f>VLOOKUP($C324,Carpetas!$C$5:$L$2060,4,FALSE)</f>
        <v>Fray Bentos</v>
      </c>
      <c r="M324" s="55">
        <f t="shared" si="22"/>
        <v>45615</v>
      </c>
      <c r="N324" s="53">
        <f t="shared" si="20"/>
        <v>4</v>
      </c>
      <c r="O324" s="51">
        <v>1760</v>
      </c>
      <c r="P324" s="51"/>
      <c r="Q324" s="51"/>
      <c r="R324" s="51"/>
      <c r="S324" s="51"/>
      <c r="T324" s="65"/>
      <c r="U324" s="65"/>
      <c r="V324" s="65"/>
      <c r="W324" s="51" t="s">
        <v>695</v>
      </c>
      <c r="X324" s="66" t="s">
        <v>696</v>
      </c>
    </row>
    <row r="325" hidden="1" ht="15.75" customHeight="1" s="32" customFormat="1">
      <c r="A325" s="37"/>
      <c r="B325" s="31" t="s">
        <v>32</v>
      </c>
      <c r="C325" s="59" t="s">
        <v>697</v>
      </c>
      <c r="D325" s="57" t="s">
        <v>694</v>
      </c>
      <c r="E325" s="57">
        <v>45611</v>
      </c>
      <c r="F325" s="38" t="str">
        <f>IF(C325&lt;&gt;"",VLOOKUP($C325,Carpetas!$C$5:$L$2060,2,FALSE),"")</f>
        <v>ARB002</v>
      </c>
      <c r="G325" s="38" t="s">
        <v>369</v>
      </c>
      <c r="H325" s="44">
        <f>IF(C325&lt;&gt;"",VLOOKUP($C325,Carpetas!$C$5:$L$2060,9,FALSE),"")</f>
        <v>0</v>
      </c>
      <c r="I325" s="51" t="str">
        <f>IF(C325&lt;&gt;"",VLOOKUP($C325,Carpetas!$C$5:$L$2060,5,FALSE),"")</f>
        <v>Transporte CDC</v>
      </c>
      <c r="J325" s="51"/>
      <c r="K325" s="50">
        <v>45614</v>
      </c>
      <c r="L325" s="39" t="str">
        <f>VLOOKUP($C325,Carpetas!$C$5:$L$2060,4,FALSE)</f>
        <v>Fray Bentos</v>
      </c>
      <c r="M325" s="55">
        <f t="shared" si="22"/>
        <v>45615</v>
      </c>
      <c r="N325" s="53">
        <f t="shared" si="20"/>
        <v>4</v>
      </c>
      <c r="O325" s="51">
        <v>1760</v>
      </c>
      <c r="P325" s="51"/>
      <c r="Q325" s="51"/>
      <c r="R325" s="51"/>
      <c r="S325" s="51"/>
      <c r="T325" s="65"/>
      <c r="U325" s="65"/>
      <c r="V325" s="65"/>
      <c r="W325" s="51" t="s">
        <v>698</v>
      </c>
      <c r="X325" s="66" t="s">
        <v>696</v>
      </c>
    </row>
    <row r="326" hidden="1" ht="15.75" customHeight="1" s="32" customFormat="1">
      <c r="A326" s="37"/>
      <c r="B326" s="31" t="s">
        <v>32</v>
      </c>
      <c r="C326" s="59" t="s">
        <v>699</v>
      </c>
      <c r="D326" s="57" t="s">
        <v>656</v>
      </c>
      <c r="E326" s="57">
        <v>45578</v>
      </c>
      <c r="F326" s="38" t="str">
        <f>IF(C326&lt;&gt;"",VLOOKUP($C326,Carpetas!$C$5:$L$2060,2,FALSE),"")</f>
        <v>EGP003</v>
      </c>
      <c r="G326" s="38" t="s">
        <v>43</v>
      </c>
      <c r="H326" s="44">
        <f>IF(C326&lt;&gt;"",VLOOKUP($C326,Carpetas!$C$5:$L$2060,9,FALSE),"")</f>
        <v>0</v>
      </c>
      <c r="I326" s="51" t="str">
        <f>IF(C326&lt;&gt;"",VLOOKUP($C326,Carpetas!$C$5:$L$2060,5,FALSE),"")</f>
        <v>Ciatran</v>
      </c>
      <c r="J326" s="51"/>
      <c r="K326" s="50">
        <v>45614</v>
      </c>
      <c r="L326" s="39" t="str">
        <f>VLOOKUP($C326,Carpetas!$C$5:$L$2060,4,FALSE)</f>
        <v>Montevideo</v>
      </c>
      <c r="M326" s="55">
        <v>45616</v>
      </c>
      <c r="N326" s="53">
        <f ref="N326:N389" t="shared" si="23">IF(M326&lt;&gt;"",M326-E326,"-")</f>
        <v>38</v>
      </c>
      <c r="O326" s="51">
        <v>1347</v>
      </c>
      <c r="P326" s="51"/>
      <c r="Q326" s="51">
        <v>1347</v>
      </c>
      <c r="R326" s="51">
        <v>21</v>
      </c>
      <c r="S326" s="51">
        <v>15</v>
      </c>
      <c r="T326" s="65"/>
      <c r="U326" s="65"/>
      <c r="V326" s="65"/>
      <c r="W326" s="51" t="s">
        <v>700</v>
      </c>
      <c r="X326" s="66" t="s">
        <v>701</v>
      </c>
    </row>
    <row r="327" hidden="1" ht="15.75" customHeight="1" s="32" customFormat="1">
      <c r="A327" s="37"/>
      <c r="B327" s="31" t="s">
        <v>32</v>
      </c>
      <c r="C327" s="59" t="s">
        <v>702</v>
      </c>
      <c r="D327" s="57" t="s">
        <v>42</v>
      </c>
      <c r="E327" s="57">
        <v>45592</v>
      </c>
      <c r="F327" s="38" t="str">
        <f>IF(C327&lt;&gt;"",VLOOKUP($C327,Carpetas!$C$5:$L$2060,2,FALSE),"")</f>
        <v>ECA024</v>
      </c>
      <c r="G327" s="38" t="s">
        <v>43</v>
      </c>
      <c r="H327" s="44">
        <f>IF(C327&lt;&gt;"",VLOOKUP($C327,Carpetas!$C$5:$L$2060,9,FALSE),"")</f>
        <v>1507629</v>
      </c>
      <c r="I327" s="51" t="str">
        <f>IF(C327&lt;&gt;"",VLOOKUP($C327,Carpetas!$C$5:$L$2060,5,FALSE),"")</f>
        <v>Andino</v>
      </c>
      <c r="J327" s="51"/>
      <c r="K327" s="50">
        <v>45614</v>
      </c>
      <c r="L327" s="39" t="str">
        <f>VLOOKUP($C327,Carpetas!$C$5:$L$2060,4,FALSE)</f>
        <v>Fray Bentos</v>
      </c>
      <c r="M327" s="55">
        <v>45616</v>
      </c>
      <c r="N327" s="53">
        <f t="shared" si="23"/>
        <v>24</v>
      </c>
      <c r="O327" s="51">
        <v>1680</v>
      </c>
      <c r="P327" s="51"/>
      <c r="Q327" s="51"/>
      <c r="R327" s="51"/>
      <c r="S327" s="51"/>
      <c r="T327" s="65"/>
      <c r="U327" s="65"/>
      <c r="V327" s="65"/>
      <c r="W327" s="51" t="s">
        <v>703</v>
      </c>
      <c r="X327" s="66" t="s">
        <v>704</v>
      </c>
    </row>
    <row r="328" hidden="1" ht="30" s="32" customFormat="1">
      <c r="A328" s="37"/>
      <c r="B328" s="31" t="s">
        <v>32</v>
      </c>
      <c r="C328" s="59" t="s">
        <v>705</v>
      </c>
      <c r="D328" s="57" t="s">
        <v>48</v>
      </c>
      <c r="E328" s="57">
        <v>45611</v>
      </c>
      <c r="F328" s="38" t="str">
        <f>IF(C328&lt;&gt;"",VLOOKUP($C328,Carpetas!$C$5:$L$2060,2,FALSE),"")</f>
        <v>CLP019</v>
      </c>
      <c r="G328" s="38" t="s">
        <v>35</v>
      </c>
      <c r="H328" s="44">
        <f>IF(C328&lt;&gt;"",VLOOKUP($C328,Carpetas!$C$5:$L$2060,9,FALSE),"")</f>
        <v>0</v>
      </c>
      <c r="I328" s="51" t="str">
        <f>IF(C328&lt;&gt;"",VLOOKUP($C328,Carpetas!$C$5:$L$2060,5,FALSE),"")</f>
        <v>Nihuil</v>
      </c>
      <c r="J328" s="51"/>
      <c r="K328" s="50">
        <v>45615</v>
      </c>
      <c r="L328" s="39" t="str">
        <f>VLOOKUP($C328,Carpetas!$C$5:$L$2060,4,FALSE)</f>
        <v>Fray Bentos</v>
      </c>
      <c r="M328" s="55">
        <f ref="M328:M343" t="shared" si="24">K328+1</f>
        <v>45616</v>
      </c>
      <c r="N328" s="53">
        <f t="shared" si="23"/>
        <v>5</v>
      </c>
      <c r="O328" s="51">
        <v>2112</v>
      </c>
      <c r="P328" s="51"/>
      <c r="Q328" s="51">
        <v>2112</v>
      </c>
      <c r="R328" s="51">
        <v>24</v>
      </c>
      <c r="S328" s="51">
        <v>11</v>
      </c>
      <c r="T328" s="65"/>
      <c r="U328" s="65"/>
      <c r="V328" s="65" t="s">
        <v>706</v>
      </c>
      <c r="W328" s="51" t="s">
        <v>251</v>
      </c>
      <c r="X328" s="66" t="s">
        <v>707</v>
      </c>
    </row>
    <row r="329" hidden="1" s="32" customFormat="1">
      <c r="A329" s="37"/>
      <c r="B329" s="31" t="s">
        <v>32</v>
      </c>
      <c r="C329" s="59" t="s">
        <v>708</v>
      </c>
      <c r="D329" s="57" t="s">
        <v>694</v>
      </c>
      <c r="E329" s="57">
        <v>45615</v>
      </c>
      <c r="F329" s="38" t="str">
        <f>IF(C329&lt;&gt;"",VLOOKUP($C329,Carpetas!$C$5:$L$2060,2,FALSE),"")</f>
        <v>ARB003</v>
      </c>
      <c r="G329" s="38" t="s">
        <v>369</v>
      </c>
      <c r="H329" s="44">
        <f>IF(C329&lt;&gt;"",VLOOKUP($C329,Carpetas!$C$5:$L$2060,9,FALSE),"")</f>
        <v>0</v>
      </c>
      <c r="I329" s="51" t="str">
        <f>IF(C329&lt;&gt;"",VLOOKUP($C329,Carpetas!$C$5:$L$2060,5,FALSE),"")</f>
        <v>Transporte CDC</v>
      </c>
      <c r="J329" s="51"/>
      <c r="K329" s="50">
        <v>45616</v>
      </c>
      <c r="L329" s="39" t="str">
        <f>VLOOKUP($C329,Carpetas!$C$5:$L$2060,4,FALSE)</f>
        <v>Fray Bentos</v>
      </c>
      <c r="M329" s="55">
        <f t="shared" si="24"/>
        <v>45617</v>
      </c>
      <c r="N329" s="53">
        <f t="shared" si="23"/>
        <v>2</v>
      </c>
      <c r="O329" s="51">
        <v>1760</v>
      </c>
      <c r="P329" s="51"/>
      <c r="Q329" s="51">
        <v>1760</v>
      </c>
      <c r="R329" s="51">
        <v>22</v>
      </c>
      <c r="S329" s="51">
        <v>13</v>
      </c>
      <c r="T329" s="65"/>
      <c r="U329" s="65"/>
      <c r="V329" s="65"/>
      <c r="W329" s="51" t="s">
        <v>709</v>
      </c>
      <c r="X329" s="66" t="s">
        <v>710</v>
      </c>
    </row>
    <row r="330" hidden="1" s="32" customFormat="1">
      <c r="A330" s="37"/>
      <c r="B330" s="31" t="s">
        <v>32</v>
      </c>
      <c r="C330" s="59" t="s">
        <v>711</v>
      </c>
      <c r="D330" s="57" t="s">
        <v>694</v>
      </c>
      <c r="E330" s="57">
        <v>45615</v>
      </c>
      <c r="F330" s="38" t="str">
        <f>IF(C330&lt;&gt;"",VLOOKUP($C330,Carpetas!$C$5:$L$2060,2,FALSE),"")</f>
        <v>ARB004</v>
      </c>
      <c r="G330" s="38" t="s">
        <v>369</v>
      </c>
      <c r="H330" s="44">
        <f>IF(C330&lt;&gt;"",VLOOKUP($C330,Carpetas!$C$5:$L$2060,9,FALSE),"")</f>
        <v>0</v>
      </c>
      <c r="I330" s="51" t="str">
        <f>IF(C330&lt;&gt;"",VLOOKUP($C330,Carpetas!$C$5:$L$2060,5,FALSE),"")</f>
        <v>Transporte CDC</v>
      </c>
      <c r="J330" s="51"/>
      <c r="K330" s="50">
        <v>45616</v>
      </c>
      <c r="L330" s="39" t="str">
        <f>VLOOKUP($C330,Carpetas!$C$5:$L$2060,4,FALSE)</f>
        <v>Fray Bentos</v>
      </c>
      <c r="M330" s="55">
        <f t="shared" si="24"/>
        <v>45617</v>
      </c>
      <c r="N330" s="53">
        <f t="shared" si="23"/>
        <v>2</v>
      </c>
      <c r="O330" s="51">
        <v>1760</v>
      </c>
      <c r="P330" s="51"/>
      <c r="Q330" s="51">
        <v>1760</v>
      </c>
      <c r="R330" s="51">
        <v>22</v>
      </c>
      <c r="S330" s="51">
        <v>13</v>
      </c>
      <c r="T330" s="65"/>
      <c r="U330" s="65"/>
      <c r="V330" s="65"/>
      <c r="W330" s="51" t="s">
        <v>712</v>
      </c>
      <c r="X330" s="66" t="s">
        <v>713</v>
      </c>
    </row>
    <row r="331" hidden="1" ht="15.75" customHeight="1" s="32" customFormat="1">
      <c r="A331" s="37"/>
      <c r="B331" s="31" t="s">
        <v>32</v>
      </c>
      <c r="C331" s="59" t="s">
        <v>714</v>
      </c>
      <c r="D331" s="57" t="s">
        <v>30</v>
      </c>
      <c r="E331" s="57">
        <v>45592</v>
      </c>
      <c r="F331" s="38" t="str">
        <f>IF(C331&lt;&gt;"",VLOOKUP($C331,Carpetas!$C$5:$L$2060,2,FALSE),"")</f>
        <v>ECB059</v>
      </c>
      <c r="G331" s="38" t="s">
        <v>43</v>
      </c>
      <c r="H331" s="44">
        <f>IF(C331&lt;&gt;"",VLOOKUP($C331,Carpetas!$C$5:$L$2060,9,FALSE),"")</f>
        <v>1507672</v>
      </c>
      <c r="I331" s="51" t="str">
        <f>IF(C331&lt;&gt;"",VLOOKUP($C331,Carpetas!$C$5:$L$2060,5,FALSE),"")</f>
        <v>Andino</v>
      </c>
      <c r="J331" s="51"/>
      <c r="K331" s="50">
        <v>45617</v>
      </c>
      <c r="L331" s="39" t="str">
        <f>VLOOKUP($C331,Carpetas!$C$5:$L$2060,4,FALSE)</f>
        <v>Fray Bentos</v>
      </c>
      <c r="M331" s="55">
        <f t="shared" si="24"/>
        <v>45618</v>
      </c>
      <c r="N331" s="53">
        <f t="shared" si="23"/>
        <v>26</v>
      </c>
      <c r="O331" s="51">
        <v>2160</v>
      </c>
      <c r="P331" s="51"/>
      <c r="Q331" s="51">
        <v>2160</v>
      </c>
      <c r="R331" s="51">
        <v>20</v>
      </c>
      <c r="S331" s="51">
        <v>21</v>
      </c>
      <c r="T331" s="65"/>
      <c r="U331" s="65"/>
      <c r="V331" s="65" t="s">
        <v>715</v>
      </c>
      <c r="W331" s="51" t="s">
        <v>110</v>
      </c>
      <c r="X331" s="66" t="s">
        <v>716</v>
      </c>
    </row>
    <row r="332" hidden="1" ht="15.75" customHeight="1" s="32" customFormat="1">
      <c r="A332" s="37"/>
      <c r="B332" s="31" t="s">
        <v>32</v>
      </c>
      <c r="C332" s="59" t="s">
        <v>717</v>
      </c>
      <c r="D332" s="57" t="s">
        <v>30</v>
      </c>
      <c r="E332" s="57">
        <v>45614</v>
      </c>
      <c r="F332" s="38" t="str">
        <f>IF(C332&lt;&gt;"",VLOOKUP($C332,Carpetas!$C$5:$L$2060,2,FALSE),"")</f>
        <v>BOB003</v>
      </c>
      <c r="G332" s="38" t="s">
        <v>31</v>
      </c>
      <c r="H332" s="44">
        <f>IF(C332&lt;&gt;"",VLOOKUP($C332,Carpetas!$C$5:$L$2060,9,FALSE),"")</f>
        <v>1508203</v>
      </c>
      <c r="I332" s="51" t="str">
        <f>IF(C332&lt;&gt;"",VLOOKUP($C332,Carpetas!$C$5:$L$2060,5,FALSE),"")</f>
        <v>Chapare</v>
      </c>
      <c r="J332" s="51"/>
      <c r="K332" s="50">
        <v>45617</v>
      </c>
      <c r="L332" s="39" t="str">
        <f>VLOOKUP($C332,Carpetas!$C$5:$L$2060,4,FALSE)</f>
        <v>Salto</v>
      </c>
      <c r="M332" s="55">
        <f t="shared" si="24"/>
        <v>45618</v>
      </c>
      <c r="N332" s="53">
        <f t="shared" si="23"/>
        <v>4</v>
      </c>
      <c r="O332" s="51">
        <v>2208</v>
      </c>
      <c r="P332" s="51"/>
      <c r="Q332" s="51">
        <v>2208</v>
      </c>
      <c r="R332" s="51">
        <v>46</v>
      </c>
      <c r="S332" s="51">
        <v>21</v>
      </c>
      <c r="T332" s="65"/>
      <c r="U332" s="65"/>
      <c r="V332" s="65" t="s">
        <v>718</v>
      </c>
      <c r="W332" s="51" t="s">
        <v>719</v>
      </c>
      <c r="X332" s="66" t="s">
        <v>720</v>
      </c>
    </row>
    <row r="333" hidden="1" ht="27.75" customHeight="1" s="32" customFormat="1">
      <c r="A333" s="37"/>
      <c r="B333" s="31" t="s">
        <v>32</v>
      </c>
      <c r="C333" s="59" t="s">
        <v>721</v>
      </c>
      <c r="D333" s="57" t="s">
        <v>694</v>
      </c>
      <c r="E333" s="57">
        <v>45616</v>
      </c>
      <c r="F333" s="38" t="str">
        <f>IF(C333&lt;&gt;"",VLOOKUP($C333,Carpetas!$C$5:$L$2060,2,FALSE),"")</f>
        <v>ARB005</v>
      </c>
      <c r="G333" s="38" t="s">
        <v>369</v>
      </c>
      <c r="H333" s="44">
        <f>IF(C333&lt;&gt;"",VLOOKUP($C333,Carpetas!$C$5:$L$2060,9,FALSE),"")</f>
        <v>0</v>
      </c>
      <c r="I333" s="51" t="str">
        <f>IF(C333&lt;&gt;"",VLOOKUP($C333,Carpetas!$C$5:$L$2060,5,FALSE),"")</f>
        <v>Transporte CDC</v>
      </c>
      <c r="J333" s="51"/>
      <c r="K333" s="50">
        <v>45617</v>
      </c>
      <c r="L333" s="39" t="str">
        <f>VLOOKUP($C333,Carpetas!$C$5:$L$2060,4,FALSE)</f>
        <v>Fray Bentos</v>
      </c>
      <c r="M333" s="55">
        <f t="shared" si="24"/>
        <v>45618</v>
      </c>
      <c r="N333" s="53">
        <f t="shared" si="23"/>
        <v>2</v>
      </c>
      <c r="O333" s="51">
        <v>1760</v>
      </c>
      <c r="P333" s="51"/>
      <c r="Q333" s="51"/>
      <c r="R333" s="51"/>
      <c r="S333" s="51"/>
      <c r="T333" s="65"/>
      <c r="U333" s="65"/>
      <c r="V333" s="65"/>
      <c r="W333" s="51" t="s">
        <v>722</v>
      </c>
      <c r="X333" s="66" t="s">
        <v>723</v>
      </c>
    </row>
    <row r="334" hidden="1" ht="27.75" customHeight="1" s="32" customFormat="1">
      <c r="A334" s="37"/>
      <c r="B334" s="31" t="s">
        <v>32</v>
      </c>
      <c r="C334" s="59" t="s">
        <v>724</v>
      </c>
      <c r="D334" s="57" t="s">
        <v>694</v>
      </c>
      <c r="E334" s="57">
        <v>45616</v>
      </c>
      <c r="F334" s="38" t="str">
        <f>IF(C334&lt;&gt;"",VLOOKUP($C334,Carpetas!$C$5:$L$2060,2,FALSE),"")</f>
        <v>ARB006</v>
      </c>
      <c r="G334" s="38" t="s">
        <v>369</v>
      </c>
      <c r="H334" s="44">
        <f>IF(C334&lt;&gt;"",VLOOKUP($C334,Carpetas!$C$5:$L$2060,9,FALSE),"")</f>
        <v>0</v>
      </c>
      <c r="I334" s="51" t="str">
        <f>IF(C334&lt;&gt;"",VLOOKUP($C334,Carpetas!$C$5:$L$2060,5,FALSE),"")</f>
        <v>Transporte CDC</v>
      </c>
      <c r="J334" s="51"/>
      <c r="K334" s="50">
        <v>45617</v>
      </c>
      <c r="L334" s="39" t="str">
        <f>VLOOKUP($C334,Carpetas!$C$5:$L$2060,4,FALSE)</f>
        <v>Fray Bentos</v>
      </c>
      <c r="M334" s="55">
        <f t="shared" si="24"/>
        <v>45618</v>
      </c>
      <c r="N334" s="53">
        <f t="shared" si="23"/>
        <v>2</v>
      </c>
      <c r="O334" s="51">
        <v>1760</v>
      </c>
      <c r="P334" s="51"/>
      <c r="Q334" s="51"/>
      <c r="R334" s="51"/>
      <c r="S334" s="51"/>
      <c r="T334" s="65"/>
      <c r="U334" s="65"/>
      <c r="V334" s="65"/>
      <c r="W334" s="51" t="s">
        <v>725</v>
      </c>
      <c r="X334" s="66" t="s">
        <v>726</v>
      </c>
    </row>
    <row r="335" hidden="1" ht="27.75" customHeight="1" s="32" customFormat="1">
      <c r="A335" s="37"/>
      <c r="B335" s="31" t="s">
        <v>32</v>
      </c>
      <c r="C335" s="59" t="s">
        <v>727</v>
      </c>
      <c r="D335" s="57" t="s">
        <v>694</v>
      </c>
      <c r="E335" s="57">
        <v>45616</v>
      </c>
      <c r="F335" s="38" t="str">
        <f>IF(C335&lt;&gt;"",VLOOKUP($C335,Carpetas!$C$5:$L$2060,2,FALSE),"")</f>
        <v>ARB007</v>
      </c>
      <c r="G335" s="38" t="s">
        <v>369</v>
      </c>
      <c r="H335" s="44">
        <f>IF(C335&lt;&gt;"",VLOOKUP($C335,Carpetas!$C$5:$L$2060,9,FALSE),"")</f>
        <v>0</v>
      </c>
      <c r="I335" s="51" t="str">
        <f>IF(C335&lt;&gt;"",VLOOKUP($C335,Carpetas!$C$5:$L$2060,5,FALSE),"")</f>
        <v>Transporte CDC</v>
      </c>
      <c r="J335" s="51"/>
      <c r="K335" s="50">
        <v>45617</v>
      </c>
      <c r="L335" s="39" t="str">
        <f>VLOOKUP($C335,Carpetas!$C$5:$L$2060,4,FALSE)</f>
        <v>Fray Bentos</v>
      </c>
      <c r="M335" s="55">
        <f t="shared" si="24"/>
        <v>45618</v>
      </c>
      <c r="N335" s="53">
        <f t="shared" si="23"/>
        <v>2</v>
      </c>
      <c r="O335" s="51">
        <v>1760</v>
      </c>
      <c r="P335" s="51"/>
      <c r="Q335" s="51"/>
      <c r="R335" s="51"/>
      <c r="S335" s="51"/>
      <c r="T335" s="65"/>
      <c r="U335" s="65"/>
      <c r="V335" s="65"/>
      <c r="W335" s="51" t="s">
        <v>728</v>
      </c>
      <c r="X335" s="66" t="s">
        <v>729</v>
      </c>
    </row>
    <row r="336" hidden="1" ht="27.75" customHeight="1" s="32" customFormat="1">
      <c r="A336" s="37"/>
      <c r="B336" s="31" t="s">
        <v>32</v>
      </c>
      <c r="C336" s="59" t="s">
        <v>730</v>
      </c>
      <c r="D336" s="57" t="s">
        <v>48</v>
      </c>
      <c r="E336" s="57">
        <v>45573</v>
      </c>
      <c r="F336" s="38" t="str">
        <f>IF(C336&lt;&gt;"",VLOOKUP($C336,Carpetas!$C$5:$L$2060,2,FALSE),"")</f>
        <v>MXP017</v>
      </c>
      <c r="G336" s="38" t="s">
        <v>78</v>
      </c>
      <c r="H336" s="44">
        <f>IF(C336&lt;&gt;"",VLOOKUP($C336,Carpetas!$C$5:$L$2060,9,FALSE),"")</f>
        <v>0</v>
      </c>
      <c r="I336" s="51" t="str">
        <f>IF(C336&lt;&gt;"",VLOOKUP($C336,Carpetas!$C$5:$L$2060,5,FALSE),"")</f>
        <v>Andino</v>
      </c>
      <c r="J336" s="51"/>
      <c r="K336" s="50">
        <v>45617</v>
      </c>
      <c r="L336" s="39" t="str">
        <f>VLOOKUP($C336,Carpetas!$C$5:$L$2060,4,FALSE)</f>
        <v>Fray Bentos</v>
      </c>
      <c r="M336" s="55">
        <f t="shared" si="24"/>
        <v>45618</v>
      </c>
      <c r="N336" s="53">
        <f t="shared" si="23"/>
        <v>45</v>
      </c>
      <c r="O336" s="51">
        <v>1920</v>
      </c>
      <c r="P336" s="51"/>
      <c r="Q336" s="51">
        <v>1920</v>
      </c>
      <c r="R336" s="51">
        <v>20</v>
      </c>
      <c r="S336" s="51">
        <v>11</v>
      </c>
      <c r="T336" s="65"/>
      <c r="U336" s="65"/>
      <c r="V336" s="65" t="s">
        <v>731</v>
      </c>
      <c r="W336" s="51"/>
      <c r="X336" s="66" t="s">
        <v>732</v>
      </c>
    </row>
    <row r="337" hidden="1" ht="27.75" customHeight="1" s="32" customFormat="1">
      <c r="A337" s="37"/>
      <c r="B337" s="31" t="s">
        <v>32</v>
      </c>
      <c r="C337" s="59" t="s">
        <v>733</v>
      </c>
      <c r="D337" s="57" t="s">
        <v>30</v>
      </c>
      <c r="E337" s="57">
        <v>45599</v>
      </c>
      <c r="F337" s="38" t="str">
        <f>IF(C337&lt;&gt;"",VLOOKUP($C337,Carpetas!$C$5:$L$2060,2,FALSE),"")</f>
        <v>ECE059</v>
      </c>
      <c r="G337" s="38" t="s">
        <v>43</v>
      </c>
      <c r="H337" s="44">
        <f>IF(C337&lt;&gt;"",VLOOKUP($C337,Carpetas!$C$5:$L$2060,9,FALSE),"")</f>
        <v>1508554</v>
      </c>
      <c r="I337" s="51" t="str">
        <f>IF(C337&lt;&gt;"",VLOOKUP($C337,Carpetas!$C$5:$L$2060,5,FALSE),"")</f>
        <v>Andino</v>
      </c>
      <c r="J337" s="51"/>
      <c r="K337" s="50">
        <v>45617</v>
      </c>
      <c r="L337" s="39" t="str">
        <f>VLOOKUP($C337,Carpetas!$C$5:$L$2060,4,FALSE)</f>
        <v>Fray Bentos</v>
      </c>
      <c r="M337" s="55">
        <f t="shared" si="24"/>
        <v>45618</v>
      </c>
      <c r="N337" s="53">
        <f t="shared" si="23"/>
        <v>19</v>
      </c>
      <c r="O337" s="51">
        <v>1080</v>
      </c>
      <c r="P337" s="51"/>
      <c r="Q337" s="51">
        <v>1080</v>
      </c>
      <c r="R337" s="51">
        <v>20</v>
      </c>
      <c r="S337" s="51">
        <v>21</v>
      </c>
      <c r="T337" s="65"/>
      <c r="U337" s="65"/>
      <c r="V337" s="65" t="s">
        <v>60</v>
      </c>
      <c r="W337" s="51" t="s">
        <v>140</v>
      </c>
      <c r="X337" s="66" t="s">
        <v>734</v>
      </c>
    </row>
    <row r="338" hidden="1" ht="27.75" customHeight="1" s="32" customFormat="1">
      <c r="A338" s="37"/>
      <c r="B338" s="31" t="s">
        <v>32</v>
      </c>
      <c r="C338" s="59" t="s">
        <v>735</v>
      </c>
      <c r="D338" s="57" t="s">
        <v>30</v>
      </c>
      <c r="E338" s="57">
        <v>45599</v>
      </c>
      <c r="F338" s="38" t="str">
        <f>IF(C338&lt;&gt;"",VLOOKUP($C338,Carpetas!$C$5:$L$2060,2,FALSE),"")</f>
        <v>ECB062</v>
      </c>
      <c r="G338" s="38" t="s">
        <v>43</v>
      </c>
      <c r="H338" s="44">
        <f>IF(C338&lt;&gt;"",VLOOKUP($C338,Carpetas!$C$5:$L$2060,9,FALSE),"")</f>
        <v>1508559</v>
      </c>
      <c r="I338" s="51" t="str">
        <f>IF(C338&lt;&gt;"",VLOOKUP($C338,Carpetas!$C$5:$L$2060,5,FALSE),"")</f>
        <v>Andino</v>
      </c>
      <c r="J338" s="51"/>
      <c r="K338" s="50">
        <v>45617</v>
      </c>
      <c r="L338" s="39" t="str">
        <f>VLOOKUP($C338,Carpetas!$C$5:$L$2060,4,FALSE)</f>
        <v>Fray Bentos</v>
      </c>
      <c r="M338" s="55">
        <f t="shared" si="24"/>
        <v>45618</v>
      </c>
      <c r="N338" s="53">
        <f t="shared" si="23"/>
        <v>19</v>
      </c>
      <c r="O338" s="51">
        <v>1080</v>
      </c>
      <c r="P338" s="51"/>
      <c r="Q338" s="51">
        <v>1080</v>
      </c>
      <c r="R338" s="51">
        <v>20</v>
      </c>
      <c r="S338" s="51">
        <v>21</v>
      </c>
      <c r="T338" s="65"/>
      <c r="U338" s="65"/>
      <c r="V338" s="65" t="s">
        <v>55</v>
      </c>
      <c r="W338" s="51"/>
      <c r="X338" s="66" t="s">
        <v>736</v>
      </c>
    </row>
    <row r="339" hidden="1" ht="27.75" customHeight="1" s="32" customFormat="1">
      <c r="A339" s="37"/>
      <c r="B339" s="31" t="s">
        <v>32</v>
      </c>
      <c r="C339" s="59" t="s">
        <v>737</v>
      </c>
      <c r="D339" s="57" t="s">
        <v>30</v>
      </c>
      <c r="E339" s="57">
        <v>45599</v>
      </c>
      <c r="F339" s="38" t="str">
        <f>IF(C339&lt;&gt;"",VLOOKUP($C339,Carpetas!$C$5:$L$2060,2,FALSE),"")</f>
        <v>ECE058</v>
      </c>
      <c r="G339" s="38" t="s">
        <v>43</v>
      </c>
      <c r="H339" s="44">
        <f>IF(C339&lt;&gt;"",VLOOKUP($C339,Carpetas!$C$5:$L$2060,9,FALSE),"")</f>
        <v>1508555</v>
      </c>
      <c r="I339" s="51" t="str">
        <f>IF(C339&lt;&gt;"",VLOOKUP($C339,Carpetas!$C$5:$L$2060,5,FALSE),"")</f>
        <v>Andino</v>
      </c>
      <c r="J339" s="51"/>
      <c r="K339" s="50">
        <v>45617</v>
      </c>
      <c r="L339" s="39" t="str">
        <f>VLOOKUP($C339,Carpetas!$C$5:$L$2060,4,FALSE)</f>
        <v>Fray Bentos</v>
      </c>
      <c r="M339" s="55">
        <f t="shared" si="24"/>
        <v>45618</v>
      </c>
      <c r="N339" s="53">
        <f t="shared" si="23"/>
        <v>19</v>
      </c>
      <c r="O339" s="51">
        <v>1128</v>
      </c>
      <c r="P339" s="51"/>
      <c r="Q339" s="51">
        <v>1128</v>
      </c>
      <c r="R339" s="51">
        <v>20</v>
      </c>
      <c r="S339" s="51">
        <v>21</v>
      </c>
      <c r="T339" s="65"/>
      <c r="U339" s="65"/>
      <c r="V339" s="65" t="s">
        <v>665</v>
      </c>
      <c r="W339" s="51" t="s">
        <v>157</v>
      </c>
      <c r="X339" s="66" t="s">
        <v>738</v>
      </c>
    </row>
    <row r="340" hidden="1" ht="27.75" customHeight="1" s="32" customFormat="1">
      <c r="A340" s="37"/>
      <c r="B340" s="31" t="s">
        <v>32</v>
      </c>
      <c r="C340" s="59" t="s">
        <v>739</v>
      </c>
      <c r="D340" s="57" t="s">
        <v>48</v>
      </c>
      <c r="E340" s="57">
        <v>45566</v>
      </c>
      <c r="F340" s="38" t="str">
        <f>IF(C340&lt;&gt;"",VLOOKUP($C340,Carpetas!$C$5:$L$2060,2,FALSE),"")</f>
        <v>MXP015</v>
      </c>
      <c r="G340" s="38" t="s">
        <v>78</v>
      </c>
      <c r="H340" s="44">
        <f>IF(C340&lt;&gt;"",VLOOKUP($C340,Carpetas!$C$5:$L$2060,9,FALSE),"")</f>
        <v>0</v>
      </c>
      <c r="I340" s="51" t="str">
        <f>IF(C340&lt;&gt;"",VLOOKUP($C340,Carpetas!$C$5:$L$2060,5,FALSE),"")</f>
        <v>Andino</v>
      </c>
      <c r="J340" s="51"/>
      <c r="K340" s="50">
        <v>45618</v>
      </c>
      <c r="L340" s="39" t="str">
        <f>VLOOKUP($C340,Carpetas!$C$5:$L$2060,4,FALSE)</f>
        <v>Fray Bentos</v>
      </c>
      <c r="M340" s="55">
        <f t="shared" si="24"/>
        <v>45619</v>
      </c>
      <c r="N340" s="53">
        <f t="shared" si="23"/>
        <v>53</v>
      </c>
      <c r="O340" s="51">
        <v>1920</v>
      </c>
      <c r="P340" s="51"/>
      <c r="Q340" s="51">
        <v>1920</v>
      </c>
      <c r="R340" s="51">
        <v>20</v>
      </c>
      <c r="S340" s="51">
        <v>21</v>
      </c>
      <c r="T340" s="65"/>
      <c r="U340" s="65"/>
      <c r="V340" s="65" t="s">
        <v>740</v>
      </c>
      <c r="W340" s="51" t="s">
        <v>112</v>
      </c>
      <c r="X340" s="66" t="s">
        <v>741</v>
      </c>
    </row>
    <row r="341" hidden="1" ht="27.75" customHeight="1" s="32" customFormat="1">
      <c r="A341" s="37"/>
      <c r="B341" s="31" t="s">
        <v>32</v>
      </c>
      <c r="C341" s="59" t="s">
        <v>742</v>
      </c>
      <c r="D341" s="57" t="s">
        <v>48</v>
      </c>
      <c r="E341" s="57">
        <v>45573</v>
      </c>
      <c r="F341" s="38" t="str">
        <f>IF(C341&lt;&gt;"",VLOOKUP($C341,Carpetas!$C$5:$L$2060,2,FALSE),"")</f>
        <v>MXP016</v>
      </c>
      <c r="G341" s="38" t="s">
        <v>78</v>
      </c>
      <c r="H341" s="44">
        <f>IF(C341&lt;&gt;"",VLOOKUP($C341,Carpetas!$C$5:$L$2060,9,FALSE),"")</f>
        <v>0</v>
      </c>
      <c r="I341" s="51" t="str">
        <f>IF(C341&lt;&gt;"",VLOOKUP($C341,Carpetas!$C$5:$L$2060,5,FALSE),"")</f>
        <v>Andino</v>
      </c>
      <c r="J341" s="51"/>
      <c r="K341" s="50">
        <v>45618</v>
      </c>
      <c r="L341" s="39" t="str">
        <f>VLOOKUP($C341,Carpetas!$C$5:$L$2060,4,FALSE)</f>
        <v>Fray Bentos</v>
      </c>
      <c r="M341" s="55">
        <f t="shared" si="24"/>
        <v>45619</v>
      </c>
      <c r="N341" s="53">
        <f t="shared" si="23"/>
        <v>46</v>
      </c>
      <c r="O341" s="51">
        <v>1920</v>
      </c>
      <c r="P341" s="51"/>
      <c r="Q341" s="51">
        <v>1920</v>
      </c>
      <c r="R341" s="51"/>
      <c r="S341" s="51"/>
      <c r="T341" s="65"/>
      <c r="U341" s="65"/>
      <c r="V341" s="65" t="s">
        <v>743</v>
      </c>
      <c r="W341" s="51" t="s">
        <v>64</v>
      </c>
      <c r="X341" s="66"/>
    </row>
    <row r="342" hidden="1" ht="27.75" customHeight="1" s="32" customFormat="1">
      <c r="A342" s="37"/>
      <c r="B342" s="31" t="s">
        <v>32</v>
      </c>
      <c r="C342" s="59" t="s">
        <v>744</v>
      </c>
      <c r="D342" s="121" t="s">
        <v>745</v>
      </c>
      <c r="E342" s="57">
        <v>45614</v>
      </c>
      <c r="F342" s="38" t="str">
        <f>IF(C342&lt;&gt;"",VLOOKUP($C342,Carpetas!$C$5:$L$2060,2,FALSE),"")</f>
        <v>CLP020</v>
      </c>
      <c r="G342" s="38" t="s">
        <v>35</v>
      </c>
      <c r="H342" s="44">
        <f>IF(C342&lt;&gt;"",VLOOKUP($C342,Carpetas!$C$5:$L$2060,9,FALSE),"")</f>
        <v>0</v>
      </c>
      <c r="I342" s="51" t="str">
        <f>IF(C342&lt;&gt;"",VLOOKUP($C342,Carpetas!$C$5:$L$2060,5,FALSE),"")</f>
        <v>Sarla y Ramón</v>
      </c>
      <c r="J342" s="51"/>
      <c r="K342" s="50">
        <v>45618</v>
      </c>
      <c r="L342" s="39" t="str">
        <f>VLOOKUP($C342,Carpetas!$C$5:$L$2060,4,FALSE)</f>
        <v>Fray Bentos</v>
      </c>
      <c r="M342" s="55">
        <f t="shared" si="24"/>
        <v>45619</v>
      </c>
      <c r="N342" s="53">
        <f t="shared" si="23"/>
        <v>5</v>
      </c>
      <c r="O342" s="51">
        <v>1936</v>
      </c>
      <c r="P342" s="51"/>
      <c r="Q342" s="51">
        <v>1936</v>
      </c>
      <c r="R342" s="51">
        <v>22</v>
      </c>
      <c r="S342" s="51">
        <v>21</v>
      </c>
      <c r="T342" s="65"/>
      <c r="U342" s="65"/>
      <c r="V342" s="65" t="s">
        <v>746</v>
      </c>
      <c r="W342" s="51" t="s">
        <v>747</v>
      </c>
      <c r="X342" s="66" t="s">
        <v>748</v>
      </c>
    </row>
    <row r="343" hidden="1" ht="27.75" customHeight="1" s="32" customFormat="1">
      <c r="A343" s="37"/>
      <c r="B343" s="31" t="s">
        <v>32</v>
      </c>
      <c r="C343" s="59" t="s">
        <v>749</v>
      </c>
      <c r="D343" s="121" t="s">
        <v>750</v>
      </c>
      <c r="E343" s="57">
        <v>45614</v>
      </c>
      <c r="F343" s="38" t="str">
        <f>IF(C343&lt;&gt;"",VLOOKUP($C343,Carpetas!$C$5:$L$2060,2,FALSE),"")</f>
        <v>CLCE001</v>
      </c>
      <c r="G343" s="38" t="s">
        <v>35</v>
      </c>
      <c r="H343" s="44">
        <f>IF(C343&lt;&gt;"",VLOOKUP($C343,Carpetas!$C$5:$L$2060,9,FALSE),"")</f>
        <v>0</v>
      </c>
      <c r="I343" s="51" t="str">
        <f>IF(C343&lt;&gt;"",VLOOKUP($C343,Carpetas!$C$5:$L$2060,5,FALSE),"")</f>
        <v>Sarla y Ramón</v>
      </c>
      <c r="J343" s="51"/>
      <c r="K343" s="50">
        <v>45618</v>
      </c>
      <c r="L343" s="39" t="str">
        <f>VLOOKUP($C343,Carpetas!$C$5:$L$2060,4,FALSE)</f>
        <v>Fray Bentos</v>
      </c>
      <c r="M343" s="55">
        <f t="shared" si="24"/>
        <v>45619</v>
      </c>
      <c r="N343" s="53">
        <f t="shared" si="23"/>
        <v>5</v>
      </c>
      <c r="O343" s="51">
        <v>608</v>
      </c>
      <c r="P343" s="51"/>
      <c r="Q343" s="51">
        <v>608</v>
      </c>
      <c r="R343" s="51">
        <v>4</v>
      </c>
      <c r="S343" s="51">
        <v>5</v>
      </c>
      <c r="T343" s="65"/>
      <c r="U343" s="65"/>
      <c r="V343" s="65"/>
      <c r="W343" s="51" t="s">
        <v>747</v>
      </c>
      <c r="X343" s="66" t="s">
        <v>751</v>
      </c>
    </row>
    <row r="344" hidden="1" ht="27.75" customHeight="1" s="32" customFormat="1">
      <c r="A344" s="37"/>
      <c r="B344" s="31" t="s">
        <v>32</v>
      </c>
      <c r="C344" s="59" t="s">
        <v>752</v>
      </c>
      <c r="D344" s="57" t="s">
        <v>694</v>
      </c>
      <c r="E344" s="57">
        <v>45618</v>
      </c>
      <c r="F344" s="38" t="str">
        <f>IF(C344&lt;&gt;"",VLOOKUP($C344,Carpetas!$C$5:$L$2060,2,FALSE),"")</f>
        <v>ARB008</v>
      </c>
      <c r="G344" s="38" t="s">
        <v>369</v>
      </c>
      <c r="H344" s="44">
        <f>IF(C344&lt;&gt;"",VLOOKUP($C344,Carpetas!$C$5:$L$2060,9,FALSE),"")</f>
        <v>0</v>
      </c>
      <c r="I344" s="51" t="str">
        <f>IF(C344&lt;&gt;"",VLOOKUP($C344,Carpetas!$C$5:$L$2060,5,FALSE),"")</f>
        <v>Transporte CDC</v>
      </c>
      <c r="J344" s="51"/>
      <c r="K344" s="50">
        <v>45619</v>
      </c>
      <c r="L344" s="39" t="str">
        <f>VLOOKUP($C344,Carpetas!$C$5:$L$2060,4,FALSE)</f>
        <v>Fray Bentos</v>
      </c>
      <c r="M344" s="55">
        <v>45621</v>
      </c>
      <c r="N344" s="53">
        <f t="shared" si="23"/>
        <v>3</v>
      </c>
      <c r="O344" s="51">
        <v>1760</v>
      </c>
      <c r="P344" s="51"/>
      <c r="Q344" s="51">
        <v>1760</v>
      </c>
      <c r="R344" s="51">
        <v>22</v>
      </c>
      <c r="S344" s="51">
        <v>13</v>
      </c>
      <c r="T344" s="65"/>
      <c r="U344" s="65"/>
      <c r="V344" s="65"/>
      <c r="W344" s="51" t="s">
        <v>753</v>
      </c>
      <c r="X344" s="66" t="s">
        <v>754</v>
      </c>
    </row>
    <row r="345" hidden="1" ht="27.75" customHeight="1" s="32" customFormat="1">
      <c r="A345" s="37"/>
      <c r="B345" s="31" t="s">
        <v>32</v>
      </c>
      <c r="C345" s="59" t="s">
        <v>755</v>
      </c>
      <c r="D345" s="57" t="s">
        <v>694</v>
      </c>
      <c r="E345" s="57">
        <v>45618</v>
      </c>
      <c r="F345" s="38" t="str">
        <f>IF(C345&lt;&gt;"",VLOOKUP($C345,Carpetas!$C$5:$L$2060,2,FALSE),"")</f>
        <v>ARB009</v>
      </c>
      <c r="G345" s="38" t="s">
        <v>369</v>
      </c>
      <c r="H345" s="44">
        <f>IF(C345&lt;&gt;"",VLOOKUP($C345,Carpetas!$C$5:$L$2060,9,FALSE),"")</f>
        <v>0</v>
      </c>
      <c r="I345" s="51" t="str">
        <f>IF(C345&lt;&gt;"",VLOOKUP($C345,Carpetas!$C$5:$L$2060,5,FALSE),"")</f>
        <v>Transporte CDC</v>
      </c>
      <c r="J345" s="51"/>
      <c r="K345" s="50">
        <v>45619</v>
      </c>
      <c r="L345" s="39" t="str">
        <f>VLOOKUP($C345,Carpetas!$C$5:$L$2060,4,FALSE)</f>
        <v>Fray Bentos</v>
      </c>
      <c r="M345" s="55">
        <v>45621</v>
      </c>
      <c r="N345" s="53">
        <f t="shared" si="23"/>
        <v>3</v>
      </c>
      <c r="O345" s="51">
        <v>1760</v>
      </c>
      <c r="P345" s="51"/>
      <c r="Q345" s="51">
        <v>1760</v>
      </c>
      <c r="R345" s="51">
        <v>22</v>
      </c>
      <c r="S345" s="51">
        <v>13</v>
      </c>
      <c r="T345" s="65"/>
      <c r="U345" s="65"/>
      <c r="V345" s="65"/>
      <c r="W345" s="51" t="s">
        <v>756</v>
      </c>
      <c r="X345" s="66" t="s">
        <v>757</v>
      </c>
    </row>
    <row r="346" hidden="1" ht="27.75" customHeight="1" s="32" customFormat="1">
      <c r="A346" s="37"/>
      <c r="B346" s="31" t="s">
        <v>32</v>
      </c>
      <c r="C346" s="59" t="s">
        <v>758</v>
      </c>
      <c r="D346" s="57" t="s">
        <v>694</v>
      </c>
      <c r="E346" s="57">
        <v>45618</v>
      </c>
      <c r="F346" s="38" t="str">
        <f>IF(C346&lt;&gt;"",VLOOKUP($C346,Carpetas!$C$5:$L$2060,2,FALSE),"")</f>
        <v>ARB010</v>
      </c>
      <c r="G346" s="38" t="s">
        <v>369</v>
      </c>
      <c r="H346" s="44">
        <f>IF(C346&lt;&gt;"",VLOOKUP($C346,Carpetas!$C$5:$L$2060,9,FALSE),"")</f>
        <v>0</v>
      </c>
      <c r="I346" s="51" t="str">
        <f>IF(C346&lt;&gt;"",VLOOKUP($C346,Carpetas!$C$5:$L$2060,5,FALSE),"")</f>
        <v>Transporte CDC</v>
      </c>
      <c r="J346" s="51"/>
      <c r="K346" s="50">
        <v>45619</v>
      </c>
      <c r="L346" s="39" t="str">
        <f>VLOOKUP($C346,Carpetas!$C$5:$L$2060,4,FALSE)</f>
        <v>Fray Bentos</v>
      </c>
      <c r="M346" s="55">
        <v>45621</v>
      </c>
      <c r="N346" s="53">
        <f t="shared" si="23"/>
        <v>3</v>
      </c>
      <c r="O346" s="51">
        <v>1760</v>
      </c>
      <c r="P346" s="51"/>
      <c r="Q346" s="51">
        <v>1760</v>
      </c>
      <c r="R346" s="51">
        <v>22</v>
      </c>
      <c r="S346" s="51">
        <v>13</v>
      </c>
      <c r="T346" s="65"/>
      <c r="U346" s="65"/>
      <c r="V346" s="65"/>
      <c r="W346" s="51" t="s">
        <v>759</v>
      </c>
      <c r="X346" s="66" t="s">
        <v>757</v>
      </c>
    </row>
    <row r="347" hidden="1" ht="27.75" customHeight="1" s="32" customFormat="1">
      <c r="A347" s="37"/>
      <c r="B347" s="31" t="s">
        <v>32</v>
      </c>
      <c r="C347" s="59" t="s">
        <v>760</v>
      </c>
      <c r="D347" s="57" t="s">
        <v>30</v>
      </c>
      <c r="E347" s="57">
        <v>45599</v>
      </c>
      <c r="F347" s="38" t="str">
        <f>IF(C347&lt;&gt;"",VLOOKUP($C347,Carpetas!$C$5:$L$2060,2,FALSE),"")</f>
        <v>ECB061</v>
      </c>
      <c r="G347" s="38" t="s">
        <v>43</v>
      </c>
      <c r="H347" s="44">
        <f>IF(C347&lt;&gt;"",VLOOKUP($C347,Carpetas!$C$5:$L$2060,9,FALSE),"")</f>
        <v>1508560</v>
      </c>
      <c r="I347" s="51" t="str">
        <f>IF(C347&lt;&gt;"",VLOOKUP($C347,Carpetas!$C$5:$L$2060,5,FALSE),"")</f>
        <v>Andino</v>
      </c>
      <c r="J347" s="51"/>
      <c r="K347" s="50">
        <v>45619</v>
      </c>
      <c r="L347" s="39" t="str">
        <f>VLOOKUP($C347,Carpetas!$C$5:$L$2060,4,FALSE)</f>
        <v>Fray Bentos</v>
      </c>
      <c r="M347" s="55">
        <v>45621</v>
      </c>
      <c r="N347" s="53">
        <f t="shared" si="23"/>
        <v>22</v>
      </c>
      <c r="O347" s="51">
        <v>1080</v>
      </c>
      <c r="P347" s="51"/>
      <c r="Q347" s="51">
        <v>1080</v>
      </c>
      <c r="R347" s="51">
        <v>20</v>
      </c>
      <c r="S347" s="51">
        <v>21</v>
      </c>
      <c r="T347" s="65"/>
      <c r="U347" s="65"/>
      <c r="V347" s="65" t="s">
        <v>55</v>
      </c>
      <c r="W347" s="51" t="s">
        <v>56</v>
      </c>
      <c r="X347" s="66" t="s">
        <v>761</v>
      </c>
    </row>
    <row r="348" hidden="1" ht="27.75" customHeight="1" s="32" customFormat="1">
      <c r="A348" s="37"/>
      <c r="B348" s="31" t="s">
        <v>32</v>
      </c>
      <c r="C348" s="59" t="s">
        <v>760</v>
      </c>
      <c r="D348" s="57" t="s">
        <v>30</v>
      </c>
      <c r="E348" s="57">
        <v>45599</v>
      </c>
      <c r="F348" s="38" t="str">
        <f>IF(C348&lt;&gt;"",VLOOKUP($C348,Carpetas!$C$5:$L$2060,2,FALSE),"")</f>
        <v>ECB061</v>
      </c>
      <c r="G348" s="38" t="s">
        <v>43</v>
      </c>
      <c r="H348" s="44">
        <f>IF(C348&lt;&gt;"",VLOOKUP($C348,Carpetas!$C$5:$L$2060,9,FALSE),"")</f>
        <v>1508560</v>
      </c>
      <c r="I348" s="51" t="str">
        <f>IF(C348&lt;&gt;"",VLOOKUP($C348,Carpetas!$C$5:$L$2060,5,FALSE),"")</f>
        <v>Andino</v>
      </c>
      <c r="J348" s="51"/>
      <c r="K348" s="50">
        <v>45619</v>
      </c>
      <c r="L348" s="39" t="str">
        <f>VLOOKUP($C348,Carpetas!$C$5:$L$2060,4,FALSE)</f>
        <v>Fray Bentos</v>
      </c>
      <c r="M348" s="55">
        <v>45621</v>
      </c>
      <c r="N348" s="53">
        <f t="shared" si="23"/>
        <v>22</v>
      </c>
      <c r="O348" s="51">
        <v>1080</v>
      </c>
      <c r="P348" s="51"/>
      <c r="Q348" s="51">
        <v>1080</v>
      </c>
      <c r="R348" s="51">
        <v>20</v>
      </c>
      <c r="S348" s="51">
        <v>21</v>
      </c>
      <c r="T348" s="65"/>
      <c r="U348" s="65"/>
      <c r="V348" s="65" t="s">
        <v>89</v>
      </c>
      <c r="W348" s="51" t="s">
        <v>233</v>
      </c>
      <c r="X348" s="66" t="s">
        <v>762</v>
      </c>
    </row>
    <row r="349" hidden="1" ht="27.75" customHeight="1" s="32" customFormat="1">
      <c r="A349" s="37"/>
      <c r="B349" s="31" t="s">
        <v>32</v>
      </c>
      <c r="C349" s="59" t="s">
        <v>763</v>
      </c>
      <c r="D349" s="57" t="s">
        <v>30</v>
      </c>
      <c r="E349" s="57">
        <v>45593</v>
      </c>
      <c r="F349" s="38" t="str">
        <f>IF(C349&lt;&gt;"",VLOOKUP($C349,Carpetas!$C$5:$L$2060,2,FALSE),"")</f>
        <v>COB017</v>
      </c>
      <c r="G349" s="38" t="s">
        <v>267</v>
      </c>
      <c r="H349" s="44">
        <f>IF(C349&lt;&gt;"",VLOOKUP($C349,Carpetas!$C$5:$L$2060,9,FALSE),"")</f>
        <v>0</v>
      </c>
      <c r="I349" s="51" t="str">
        <f>IF(C349&lt;&gt;"",VLOOKUP($C349,Carpetas!$C$5:$L$2060,5,FALSE),"")</f>
        <v>Andino</v>
      </c>
      <c r="J349" s="51"/>
      <c r="K349" s="50">
        <v>45621</v>
      </c>
      <c r="L349" s="39" t="str">
        <f>VLOOKUP($C349,Carpetas!$C$5:$L$2060,4,FALSE)</f>
        <v>Fray Bentos</v>
      </c>
      <c r="M349" s="55">
        <v>45621</v>
      </c>
      <c r="N349" s="53">
        <f t="shared" si="23"/>
        <v>28</v>
      </c>
      <c r="O349" s="51">
        <v>2160</v>
      </c>
      <c r="P349" s="51"/>
      <c r="Q349" s="51">
        <v>1080</v>
      </c>
      <c r="R349" s="51">
        <v>20</v>
      </c>
      <c r="S349" s="51">
        <v>19.5</v>
      </c>
      <c r="T349" s="65"/>
      <c r="U349" s="65"/>
      <c r="V349" s="65" t="s">
        <v>268</v>
      </c>
      <c r="W349" s="51" t="s">
        <v>318</v>
      </c>
      <c r="X349" s="66">
        <v>45621</v>
      </c>
    </row>
    <row r="350" hidden="1" ht="27.75" customHeight="1" s="32" customFormat="1">
      <c r="A350" s="37"/>
      <c r="B350" s="31" t="s">
        <v>32</v>
      </c>
      <c r="C350" s="59" t="s">
        <v>764</v>
      </c>
      <c r="D350" s="57" t="s">
        <v>765</v>
      </c>
      <c r="E350" s="57">
        <v>45615</v>
      </c>
      <c r="F350" s="38" t="str">
        <f>IF(C350&lt;&gt;"",VLOOKUP($C350,Carpetas!$C$5:$L$2060,2,FALSE),"")</f>
        <v>CLL001</v>
      </c>
      <c r="G350" s="38" t="s">
        <v>35</v>
      </c>
      <c r="H350" s="44">
        <f>IF(C350&lt;&gt;"",VLOOKUP($C350,Carpetas!$C$5:$L$2060,9,FALSE),"")</f>
        <v>1504858</v>
      </c>
      <c r="I350" s="51" t="str">
        <f>IF(C350&lt;&gt;"",VLOOKUP($C350,Carpetas!$C$5:$L$2060,5,FALSE),"")</f>
        <v>Nihuil</v>
      </c>
      <c r="J350" s="51"/>
      <c r="K350" s="50">
        <v>45621</v>
      </c>
      <c r="L350" s="39" t="str">
        <f>VLOOKUP($C350,Carpetas!$C$5:$L$2060,4,FALSE)</f>
        <v>Fray Bentos</v>
      </c>
      <c r="M350" s="55">
        <f ref="M350:M357" t="shared" si="25">K350+1</f>
        <v>45622</v>
      </c>
      <c r="N350" s="53">
        <f t="shared" si="23"/>
        <v>7</v>
      </c>
      <c r="O350" s="51">
        <v>1540</v>
      </c>
      <c r="P350" s="51"/>
      <c r="Q350" s="51"/>
      <c r="R350" s="51"/>
      <c r="S350" s="51"/>
      <c r="T350" s="65"/>
      <c r="U350" s="65"/>
      <c r="V350" s="65"/>
      <c r="W350" s="51" t="s">
        <v>766</v>
      </c>
      <c r="X350" s="66" t="s">
        <v>767</v>
      </c>
    </row>
    <row r="351" hidden="1" ht="27.75" customHeight="1" s="32" customFormat="1">
      <c r="A351" s="37"/>
      <c r="B351" s="31" t="s">
        <v>32</v>
      </c>
      <c r="C351" s="59" t="s">
        <v>768</v>
      </c>
      <c r="D351" s="57" t="s">
        <v>745</v>
      </c>
      <c r="E351" s="57">
        <v>45587</v>
      </c>
      <c r="F351" s="38" t="str">
        <f>IF(C351&lt;&gt;"",VLOOKUP($C351,Carpetas!$C$5:$L$2060,2,FALSE),"")</f>
        <v>MXP018</v>
      </c>
      <c r="G351" s="38" t="s">
        <v>78</v>
      </c>
      <c r="H351" s="44">
        <f>IF(C351&lt;&gt;"",VLOOKUP($C351,Carpetas!$C$5:$L$2060,9,FALSE),"")</f>
        <v>0</v>
      </c>
      <c r="I351" s="51" t="str">
        <f>IF(C351&lt;&gt;"",VLOOKUP($C351,Carpetas!$C$5:$L$2060,5,FALSE),"")</f>
        <v>Andino</v>
      </c>
      <c r="J351" s="51"/>
      <c r="K351" s="50">
        <v>45622</v>
      </c>
      <c r="L351" s="39" t="str">
        <f>VLOOKUP($C351,Carpetas!$C$5:$L$2060,4,FALSE)</f>
        <v>Fray Bentos</v>
      </c>
      <c r="M351" s="55">
        <f t="shared" si="25"/>
        <v>45623</v>
      </c>
      <c r="N351" s="53">
        <f t="shared" si="23"/>
        <v>36</v>
      </c>
      <c r="O351" s="51">
        <v>1920</v>
      </c>
      <c r="P351" s="51"/>
      <c r="Q351" s="51">
        <v>1920</v>
      </c>
      <c r="R351" s="51">
        <v>20</v>
      </c>
      <c r="S351" s="51">
        <v>11</v>
      </c>
      <c r="T351" s="65"/>
      <c r="U351" s="65"/>
      <c r="V351" s="65" t="s">
        <v>769</v>
      </c>
      <c r="W351" s="51" t="s">
        <v>146</v>
      </c>
      <c r="X351" s="66" t="s">
        <v>770</v>
      </c>
    </row>
    <row r="352" hidden="1" ht="27.75" customHeight="1" s="32" customFormat="1">
      <c r="A352" s="37"/>
      <c r="B352" s="31" t="s">
        <v>32</v>
      </c>
      <c r="C352" s="59" t="s">
        <v>771</v>
      </c>
      <c r="D352" s="57" t="s">
        <v>30</v>
      </c>
      <c r="E352" s="57">
        <v>45618</v>
      </c>
      <c r="F352" s="38" t="str">
        <f>IF(C352&lt;&gt;"",VLOOKUP($C352,Carpetas!$C$5:$L$2060,2,FALSE),"")</f>
        <v>BOB004</v>
      </c>
      <c r="G352" s="38" t="s">
        <v>31</v>
      </c>
      <c r="H352" s="44">
        <f>IF(C352&lt;&gt;"",VLOOKUP($C352,Carpetas!$C$5:$L$2060,9,FALSE),"")</f>
        <v>1510754</v>
      </c>
      <c r="I352" s="51" t="str">
        <f>IF(C352&lt;&gt;"",VLOOKUP($C352,Carpetas!$C$5:$L$2060,5,FALSE),"")</f>
        <v>Chapare</v>
      </c>
      <c r="J352" s="51"/>
      <c r="K352" s="50">
        <v>45623</v>
      </c>
      <c r="L352" s="39" t="str">
        <f>VLOOKUP($C352,Carpetas!$C$5:$L$2060,4,FALSE)</f>
        <v>Salto</v>
      </c>
      <c r="M352" s="55">
        <f t="shared" si="25"/>
        <v>45624</v>
      </c>
      <c r="N352" s="53">
        <f t="shared" si="23"/>
        <v>6</v>
      </c>
      <c r="O352" s="51">
        <v>2228</v>
      </c>
      <c r="P352" s="51"/>
      <c r="Q352" s="51">
        <v>2207</v>
      </c>
      <c r="R352" s="51">
        <v>46</v>
      </c>
      <c r="S352" s="51">
        <v>21</v>
      </c>
      <c r="T352" s="65"/>
      <c r="U352" s="65"/>
      <c r="V352" s="65" t="s">
        <v>772</v>
      </c>
      <c r="W352" s="51" t="s">
        <v>773</v>
      </c>
      <c r="X352" s="66" t="s">
        <v>774</v>
      </c>
    </row>
    <row r="353" hidden="1" ht="27.75" customHeight="1" s="32" customFormat="1">
      <c r="A353" s="37"/>
      <c r="B353" s="31" t="s">
        <v>32</v>
      </c>
      <c r="C353" s="59" t="s">
        <v>775</v>
      </c>
      <c r="D353" s="57" t="s">
        <v>30</v>
      </c>
      <c r="E353" s="57">
        <v>45600</v>
      </c>
      <c r="F353" s="38" t="str">
        <f>IF(C353&lt;&gt;"",VLOOKUP($C353,Carpetas!$C$5:$L$2060,2,FALSE),"")</f>
        <v>COB018</v>
      </c>
      <c r="G353" s="38" t="s">
        <v>267</v>
      </c>
      <c r="H353" s="44">
        <f>IF(C353&lt;&gt;"",VLOOKUP($C353,Carpetas!$C$5:$L$2060,9,FALSE),"")</f>
        <v>0</v>
      </c>
      <c r="I353" s="51" t="str">
        <f>IF(C353&lt;&gt;"",VLOOKUP($C353,Carpetas!$C$5:$L$2060,5,FALSE),"")</f>
        <v>Andino</v>
      </c>
      <c r="J353" s="51"/>
      <c r="K353" s="50">
        <v>45624</v>
      </c>
      <c r="L353" s="39" t="str">
        <f>VLOOKUP($C353,Carpetas!$C$5:$L$2060,4,FALSE)</f>
        <v>Fray Bentos</v>
      </c>
      <c r="M353" s="55">
        <f t="shared" si="25"/>
        <v>45625</v>
      </c>
      <c r="N353" s="53">
        <f t="shared" si="23"/>
        <v>25</v>
      </c>
      <c r="O353" s="51">
        <v>2160</v>
      </c>
      <c r="P353" s="51"/>
      <c r="Q353" s="51">
        <v>2160</v>
      </c>
      <c r="R353" s="51">
        <v>40</v>
      </c>
      <c r="S353" s="51">
        <v>20</v>
      </c>
      <c r="T353" s="65"/>
      <c r="U353" s="65"/>
      <c r="V353" s="65" t="s">
        <v>268</v>
      </c>
      <c r="W353" s="51" t="s">
        <v>776</v>
      </c>
      <c r="X353" s="66" t="s">
        <v>777</v>
      </c>
    </row>
    <row r="354" hidden="1" ht="27.75" customHeight="1" s="32" customFormat="1">
      <c r="A354" s="37"/>
      <c r="B354" s="31" t="s">
        <v>32</v>
      </c>
      <c r="C354" s="59" t="s">
        <v>778</v>
      </c>
      <c r="D354" s="57" t="s">
        <v>30</v>
      </c>
      <c r="E354" s="57">
        <v>45606</v>
      </c>
      <c r="F354" s="38" t="str">
        <f>IF(C354&lt;&gt;"",VLOOKUP($C354,Carpetas!$C$5:$L$2060,2,FALSE),"")</f>
        <v>ECE060</v>
      </c>
      <c r="G354" s="38" t="s">
        <v>43</v>
      </c>
      <c r="H354" s="44">
        <f>IF(C354&lt;&gt;"",VLOOKUP($C354,Carpetas!$C$5:$L$2060,9,FALSE),"")</f>
        <v>1509233</v>
      </c>
      <c r="I354" s="51" t="str">
        <f>IF(C354&lt;&gt;"",VLOOKUP($C354,Carpetas!$C$5:$L$2060,5,FALSE),"")</f>
        <v>Andino</v>
      </c>
      <c r="J354" s="51"/>
      <c r="K354" s="50">
        <v>45624</v>
      </c>
      <c r="L354" s="39" t="str">
        <f>VLOOKUP($C354,Carpetas!$C$5:$L$2060,4,FALSE)</f>
        <v>Fray Bentos</v>
      </c>
      <c r="M354" s="55">
        <f t="shared" si="25"/>
        <v>45625</v>
      </c>
      <c r="N354" s="53">
        <f t="shared" si="23"/>
        <v>19</v>
      </c>
      <c r="O354" s="51">
        <v>1080</v>
      </c>
      <c r="P354" s="51"/>
      <c r="Q354" s="51">
        <v>1080</v>
      </c>
      <c r="R354" s="51">
        <v>20</v>
      </c>
      <c r="S354" s="51">
        <v>21</v>
      </c>
      <c r="T354" s="65"/>
      <c r="U354" s="65"/>
      <c r="V354" s="65" t="s">
        <v>779</v>
      </c>
      <c r="W354" s="51" t="s">
        <v>94</v>
      </c>
      <c r="X354" s="66" t="s">
        <v>780</v>
      </c>
    </row>
    <row r="355" hidden="1" ht="27.75" customHeight="1" s="32" customFormat="1">
      <c r="A355" s="37"/>
      <c r="B355" s="31" t="s">
        <v>32</v>
      </c>
      <c r="C355" s="59" t="s">
        <v>781</v>
      </c>
      <c r="D355" s="57" t="s">
        <v>30</v>
      </c>
      <c r="E355" s="57">
        <v>45606</v>
      </c>
      <c r="F355" s="38" t="str">
        <f>IF(C355&lt;&gt;"",VLOOKUP($C355,Carpetas!$C$5:$L$2060,2,FALSE),"")</f>
        <v>ECB063</v>
      </c>
      <c r="G355" s="38" t="s">
        <v>43</v>
      </c>
      <c r="H355" s="44">
        <f>IF(C355&lt;&gt;"",VLOOKUP($C355,Carpetas!$C$5:$L$2060,9,FALSE),"")</f>
        <v>1509236</v>
      </c>
      <c r="I355" s="51" t="str">
        <f>IF(C355&lt;&gt;"",VLOOKUP($C355,Carpetas!$C$5:$L$2060,5,FALSE),"")</f>
        <v>Andino</v>
      </c>
      <c r="J355" s="51"/>
      <c r="K355" s="50">
        <v>45624</v>
      </c>
      <c r="L355" s="39" t="str">
        <f>VLOOKUP($C355,Carpetas!$C$5:$L$2060,4,FALSE)</f>
        <v>Fray Bentos</v>
      </c>
      <c r="M355" s="55">
        <f t="shared" si="25"/>
        <v>45625</v>
      </c>
      <c r="N355" s="53">
        <f t="shared" si="23"/>
        <v>19</v>
      </c>
      <c r="O355" s="51">
        <v>2160</v>
      </c>
      <c r="P355" s="51"/>
      <c r="Q355" s="51">
        <v>2160</v>
      </c>
      <c r="R355" s="51">
        <v>40</v>
      </c>
      <c r="S355" s="51">
        <v>21</v>
      </c>
      <c r="T355" s="65"/>
      <c r="U355" s="65"/>
      <c r="V355" s="65" t="s">
        <v>55</v>
      </c>
      <c r="W355" s="51" t="s">
        <v>782</v>
      </c>
      <c r="X355" s="66" t="s">
        <v>783</v>
      </c>
    </row>
    <row r="356" hidden="1" ht="27.75" customHeight="1" s="32" customFormat="1">
      <c r="A356" s="37"/>
      <c r="B356" s="31" t="s">
        <v>32</v>
      </c>
      <c r="C356" s="59" t="s">
        <v>784</v>
      </c>
      <c r="D356" s="57" t="s">
        <v>42</v>
      </c>
      <c r="E356" s="57">
        <v>45606</v>
      </c>
      <c r="F356" s="38" t="str">
        <f>IF(C356&lt;&gt;"",VLOOKUP($C356,Carpetas!$C$5:$L$2060,2,FALSE),"")</f>
        <v>ECA025</v>
      </c>
      <c r="G356" s="38" t="s">
        <v>43</v>
      </c>
      <c r="H356" s="44">
        <f>IF(C356&lt;&gt;"",VLOOKUP($C356,Carpetas!$C$5:$L$2060,9,FALSE),"")</f>
        <v>1508539</v>
      </c>
      <c r="I356" s="51" t="str">
        <f>IF(C356&lt;&gt;"",VLOOKUP($C356,Carpetas!$C$5:$L$2060,5,FALSE),"")</f>
        <v>Andino</v>
      </c>
      <c r="J356" s="51"/>
      <c r="K356" s="50">
        <v>45624</v>
      </c>
      <c r="L356" s="39" t="str">
        <f>VLOOKUP($C356,Carpetas!$C$5:$L$2060,4,FALSE)</f>
        <v>Fray Bentos</v>
      </c>
      <c r="M356" s="55">
        <f t="shared" si="25"/>
        <v>45625</v>
      </c>
      <c r="N356" s="53">
        <f t="shared" si="23"/>
        <v>19</v>
      </c>
      <c r="O356" s="51">
        <v>1680</v>
      </c>
      <c r="P356" s="51"/>
      <c r="Q356" s="51">
        <v>1680</v>
      </c>
      <c r="R356" s="51">
        <v>21</v>
      </c>
      <c r="S356" s="51">
        <v>12</v>
      </c>
      <c r="T356" s="65"/>
      <c r="U356" s="65"/>
      <c r="V356" s="65" t="s">
        <v>785</v>
      </c>
      <c r="W356" s="51" t="s">
        <v>786</v>
      </c>
      <c r="X356" s="66" t="s">
        <v>787</v>
      </c>
    </row>
    <row r="357" hidden="1" ht="27.75" customHeight="1" s="32" customFormat="1">
      <c r="A357" s="37"/>
      <c r="B357" s="31" t="s">
        <v>32</v>
      </c>
      <c r="C357" s="59" t="s">
        <v>788</v>
      </c>
      <c r="D357" s="57" t="s">
        <v>30</v>
      </c>
      <c r="E357" s="57">
        <v>45606</v>
      </c>
      <c r="F357" s="38" t="str">
        <f>IF(C357&lt;&gt;"",VLOOKUP($C357,Carpetas!$C$5:$L$2060,2,FALSE),"")</f>
        <v>ECE061</v>
      </c>
      <c r="G357" s="38" t="s">
        <v>43</v>
      </c>
      <c r="H357" s="44">
        <f>IF(C357&lt;&gt;"",VLOOKUP($C357,Carpetas!$C$5:$L$2060,9,FALSE),"")</f>
        <v>1509234</v>
      </c>
      <c r="I357" s="51" t="str">
        <f>IF(C357&lt;&gt;"",VLOOKUP($C357,Carpetas!$C$5:$L$2060,5,FALSE),"")</f>
        <v>Andino</v>
      </c>
      <c r="J357" s="51"/>
      <c r="K357" s="50">
        <v>45625</v>
      </c>
      <c r="L357" s="39" t="str">
        <f>VLOOKUP($C357,Carpetas!$C$5:$L$2060,4,FALSE)</f>
        <v>Fray Bentos</v>
      </c>
      <c r="M357" s="55">
        <f t="shared" si="25"/>
        <v>45626</v>
      </c>
      <c r="N357" s="53">
        <f t="shared" si="23"/>
        <v>20</v>
      </c>
      <c r="O357" s="51">
        <v>1128</v>
      </c>
      <c r="P357" s="51"/>
      <c r="Q357" s="51">
        <v>1128</v>
      </c>
      <c r="R357" s="51">
        <v>20</v>
      </c>
      <c r="S357" s="51">
        <v>21</v>
      </c>
      <c r="T357" s="65"/>
      <c r="U357" s="65"/>
      <c r="V357" s="65" t="s">
        <v>60</v>
      </c>
      <c r="W357" s="51" t="s">
        <v>789</v>
      </c>
      <c r="X357" s="66" t="s">
        <v>790</v>
      </c>
    </row>
    <row r="358" hidden="1" ht="27.75" customHeight="1" s="32" customFormat="1">
      <c r="A358" s="37"/>
      <c r="B358" s="31" t="s">
        <v>32</v>
      </c>
      <c r="C358" s="59" t="s">
        <v>791</v>
      </c>
      <c r="D358" s="57" t="s">
        <v>792</v>
      </c>
      <c r="E358" s="57">
        <v>45623</v>
      </c>
      <c r="F358" s="38" t="str">
        <f>IF(C358&lt;&gt;"",VLOOKUP($C358,Carpetas!$C$5:$L$2060,2,FALSE),"")</f>
        <v>CLCE002</v>
      </c>
      <c r="G358" s="38" t="s">
        <v>35</v>
      </c>
      <c r="H358" s="44">
        <f>IF(C358&lt;&gt;"",VLOOKUP($C358,Carpetas!$C$5:$L$2060,9,FALSE),"")</f>
        <v>0</v>
      </c>
      <c r="I358" s="51" t="str">
        <f>IF(C358&lt;&gt;"",VLOOKUP($C358,Carpetas!$C$5:$L$2060,5,FALSE),"")</f>
        <v>Sarla y Ramón</v>
      </c>
      <c r="J358" s="51"/>
      <c r="K358" s="50">
        <v>45628</v>
      </c>
      <c r="L358" s="39" t="str">
        <f>VLOOKUP($C358,Carpetas!$C$5:$L$2060,4,FALSE)</f>
        <v>Fray Bentos</v>
      </c>
      <c r="M358" s="55">
        <v>45630</v>
      </c>
      <c r="N358" s="53">
        <f t="shared" si="23"/>
        <v>7</v>
      </c>
      <c r="O358" s="51">
        <v>816</v>
      </c>
      <c r="P358" s="51"/>
      <c r="Q358" s="51">
        <v>816</v>
      </c>
      <c r="R358" s="51">
        <v>6</v>
      </c>
      <c r="S358" s="51">
        <v>5</v>
      </c>
      <c r="T358" s="65"/>
      <c r="U358" s="65"/>
      <c r="V358" s="65" t="s">
        <v>93</v>
      </c>
      <c r="W358" s="51" t="s">
        <v>793</v>
      </c>
      <c r="X358" s="66" t="s">
        <v>794</v>
      </c>
    </row>
    <row r="359" hidden="1" ht="27.75" customHeight="1" s="32" customFormat="1">
      <c r="A359" s="37"/>
      <c r="B359" s="31" t="s">
        <v>32</v>
      </c>
      <c r="C359" s="59" t="s">
        <v>795</v>
      </c>
      <c r="D359" s="57" t="s">
        <v>765</v>
      </c>
      <c r="E359" s="57">
        <v>45624</v>
      </c>
      <c r="F359" s="38" t="str">
        <f>IF(C359&lt;&gt;"",VLOOKUP($C359,Carpetas!$C$5:$L$2060,2,FALSE),"")</f>
        <v>CLL002</v>
      </c>
      <c r="G359" s="38" t="s">
        <v>35</v>
      </c>
      <c r="H359" s="44">
        <f>IF(C359&lt;&gt;"",VLOOKUP($C359,Carpetas!$C$5:$L$2060,9,FALSE),"")</f>
        <v>0</v>
      </c>
      <c r="I359" s="51" t="str">
        <f>IF(C359&lt;&gt;"",VLOOKUP($C359,Carpetas!$C$5:$L$2060,5,FALSE),"")</f>
        <v>Sarla y Ramón</v>
      </c>
      <c r="J359" s="51"/>
      <c r="K359" s="50">
        <v>45628</v>
      </c>
      <c r="L359" s="39" t="str">
        <f>VLOOKUP($C359,Carpetas!$C$5:$L$2060,4,FALSE)</f>
        <v>Fray Bentos</v>
      </c>
      <c r="M359" s="55">
        <v>45630</v>
      </c>
      <c r="N359" s="53">
        <f t="shared" si="23"/>
        <v>6</v>
      </c>
      <c r="O359" s="51">
        <v>1260</v>
      </c>
      <c r="P359" s="51"/>
      <c r="Q359" s="51">
        <v>1260</v>
      </c>
      <c r="R359" s="51">
        <v>18</v>
      </c>
      <c r="S359" s="51">
        <v>15</v>
      </c>
      <c r="T359" s="65"/>
      <c r="U359" s="65"/>
      <c r="V359" s="65" t="s">
        <v>93</v>
      </c>
      <c r="W359" s="51" t="s">
        <v>793</v>
      </c>
      <c r="X359" s="66" t="s">
        <v>796</v>
      </c>
    </row>
    <row r="360" hidden="1" ht="27.75" customHeight="1" s="32" customFormat="1">
      <c r="A360" s="37"/>
      <c r="B360" s="31" t="s">
        <v>32</v>
      </c>
      <c r="C360" s="59" t="s">
        <v>797</v>
      </c>
      <c r="D360" s="57" t="s">
        <v>42</v>
      </c>
      <c r="E360" s="57">
        <v>45623</v>
      </c>
      <c r="F360" s="38" t="str">
        <f>IF(C360&lt;&gt;"",VLOOKUP($C360,Carpetas!$C$5:$L$2060,2,FALSE),"")</f>
        <v>ECA026</v>
      </c>
      <c r="G360" s="38" t="s">
        <v>43</v>
      </c>
      <c r="H360" s="44">
        <f>IF(C360&lt;&gt;"",VLOOKUP($C360,Carpetas!$C$5:$L$2060,9,FALSE),"")</f>
        <v>1509709</v>
      </c>
      <c r="I360" s="51" t="str">
        <f>IF(C360&lt;&gt;"",VLOOKUP($C360,Carpetas!$C$5:$L$2060,5,FALSE),"")</f>
        <v>Andino</v>
      </c>
      <c r="J360" s="51"/>
      <c r="K360" s="50">
        <v>45629</v>
      </c>
      <c r="L360" s="39" t="str">
        <f>VLOOKUP($C360,Carpetas!$C$5:$L$2060,4,FALSE)</f>
        <v>Fray Bentos</v>
      </c>
      <c r="M360" s="55">
        <f>K360+1</f>
        <v>45630</v>
      </c>
      <c r="N360" s="53">
        <f t="shared" si="23"/>
        <v>7</v>
      </c>
      <c r="O360" s="51">
        <v>1680</v>
      </c>
      <c r="P360" s="51"/>
      <c r="Q360" s="51">
        <v>1680</v>
      </c>
      <c r="R360" s="51">
        <v>21</v>
      </c>
      <c r="S360" s="51">
        <v>12</v>
      </c>
      <c r="T360" s="65"/>
      <c r="U360" s="65"/>
      <c r="V360" s="65" t="s">
        <v>93</v>
      </c>
      <c r="W360" s="51" t="s">
        <v>64</v>
      </c>
      <c r="X360" s="66" t="s">
        <v>798</v>
      </c>
    </row>
    <row r="361" hidden="1" ht="27.75" customHeight="1" s="32" customFormat="1">
      <c r="A361" s="37"/>
      <c r="B361" s="31" t="s">
        <v>32</v>
      </c>
      <c r="C361" s="59" t="s">
        <v>799</v>
      </c>
      <c r="D361" s="57" t="s">
        <v>30</v>
      </c>
      <c r="E361" s="57">
        <v>45623</v>
      </c>
      <c r="F361" s="38" t="str">
        <f>IF(C361&lt;&gt;"",VLOOKUP($C361,Carpetas!$C$5:$L$2060,2,FALSE),"")</f>
        <v>ECE062</v>
      </c>
      <c r="G361" s="38" t="s">
        <v>43</v>
      </c>
      <c r="H361" s="44">
        <f>IF(C361&lt;&gt;"",VLOOKUP($C361,Carpetas!$C$5:$L$2060,9,FALSE),"")</f>
        <v>1509722</v>
      </c>
      <c r="I361" s="51" t="str">
        <f>IF(C361&lt;&gt;"",VLOOKUP($C361,Carpetas!$C$5:$L$2060,5,FALSE),"")</f>
        <v>Andino</v>
      </c>
      <c r="J361" s="51"/>
      <c r="K361" s="50">
        <v>45629</v>
      </c>
      <c r="L361" s="39" t="str">
        <f>VLOOKUP($C361,Carpetas!$C$5:$L$2060,4,FALSE)</f>
        <v>Fray Bentos</v>
      </c>
      <c r="M361" s="55">
        <f>K361+1</f>
        <v>45630</v>
      </c>
      <c r="N361" s="53">
        <f t="shared" si="23"/>
        <v>7</v>
      </c>
      <c r="O361" s="51">
        <v>1080</v>
      </c>
      <c r="P361" s="51"/>
      <c r="Q361" s="51">
        <v>1080</v>
      </c>
      <c r="R361" s="51">
        <v>20</v>
      </c>
      <c r="S361" s="51">
        <v>21</v>
      </c>
      <c r="T361" s="65"/>
      <c r="U361" s="65"/>
      <c r="V361" s="65" t="s">
        <v>60</v>
      </c>
      <c r="W361" s="51" t="s">
        <v>56</v>
      </c>
      <c r="X361" s="66" t="s">
        <v>800</v>
      </c>
    </row>
    <row r="362" hidden="1" ht="27.75" customHeight="1" s="32" customFormat="1">
      <c r="A362" s="37"/>
      <c r="B362" s="31" t="s">
        <v>32</v>
      </c>
      <c r="C362" s="59" t="s">
        <v>801</v>
      </c>
      <c r="D362" s="57" t="s">
        <v>30</v>
      </c>
      <c r="E362" s="57">
        <v>45623</v>
      </c>
      <c r="F362" s="38" t="str">
        <f>IF(C362&lt;&gt;"",VLOOKUP($C362,Carpetas!$C$5:$L$2060,2,FALSE),"")</f>
        <v>ECB066</v>
      </c>
      <c r="G362" s="38" t="s">
        <v>43</v>
      </c>
      <c r="H362" s="44">
        <f>IF(C362&lt;&gt;"",VLOOKUP($C362,Carpetas!$C$5:$L$2060,9,FALSE),"")</f>
        <v>1509721</v>
      </c>
      <c r="I362" s="51" t="str">
        <f>IF(C362&lt;&gt;"",VLOOKUP($C362,Carpetas!$C$5:$L$2060,5,FALSE),"")</f>
        <v>Andino</v>
      </c>
      <c r="J362" s="51"/>
      <c r="K362" s="50">
        <v>45629</v>
      </c>
      <c r="L362" s="39" t="str">
        <f>VLOOKUP($C362,Carpetas!$C$5:$L$2060,4,FALSE)</f>
        <v>Fray Bentos</v>
      </c>
      <c r="M362" s="55">
        <f>K362+1</f>
        <v>45630</v>
      </c>
      <c r="N362" s="53">
        <f t="shared" si="23"/>
        <v>7</v>
      </c>
      <c r="O362" s="51">
        <v>1080</v>
      </c>
      <c r="P362" s="51"/>
      <c r="Q362" s="51">
        <v>1080</v>
      </c>
      <c r="R362" s="51">
        <v>20</v>
      </c>
      <c r="S362" s="51">
        <v>21</v>
      </c>
      <c r="T362" s="65"/>
      <c r="U362" s="65"/>
      <c r="V362" s="65" t="s">
        <v>55</v>
      </c>
      <c r="W362" s="51" t="s">
        <v>536</v>
      </c>
      <c r="X362" s="66" t="s">
        <v>802</v>
      </c>
    </row>
    <row r="363" hidden="1" ht="27.75" customHeight="1" s="32" customFormat="1">
      <c r="A363" s="37"/>
      <c r="B363" s="31" t="s">
        <v>32</v>
      </c>
      <c r="C363" s="59" t="s">
        <v>803</v>
      </c>
      <c r="D363" s="57" t="s">
        <v>30</v>
      </c>
      <c r="E363" s="57">
        <v>45607</v>
      </c>
      <c r="F363" s="38" t="str">
        <f>IF(C363&lt;&gt;"",VLOOKUP($C363,Carpetas!$C$5:$L$2060,2,FALSE),"")</f>
        <v>COB019</v>
      </c>
      <c r="G363" s="38" t="s">
        <v>267</v>
      </c>
      <c r="H363" s="44">
        <f>IF(C363&lt;&gt;"",VLOOKUP($C363,Carpetas!$C$5:$L$2060,9,FALSE),"")</f>
        <v>0</v>
      </c>
      <c r="I363" s="51" t="str">
        <f>IF(C363&lt;&gt;"",VLOOKUP($C363,Carpetas!$C$5:$L$2060,5,FALSE),"")</f>
        <v>Andino</v>
      </c>
      <c r="J363" s="51"/>
      <c r="K363" s="50">
        <v>45629</v>
      </c>
      <c r="L363" s="39" t="str">
        <f>VLOOKUP($C363,Carpetas!$C$5:$L$2060,4,FALSE)</f>
        <v>Fray Bentos</v>
      </c>
      <c r="M363" s="55">
        <f>K363+1+1</f>
        <v>45631</v>
      </c>
      <c r="N363" s="53">
        <f t="shared" si="23"/>
        <v>24</v>
      </c>
      <c r="O363" s="51">
        <v>1080</v>
      </c>
      <c r="P363" s="51"/>
      <c r="Q363" s="51">
        <v>1080</v>
      </c>
      <c r="R363" s="51">
        <v>20</v>
      </c>
      <c r="S363" s="51">
        <v>21</v>
      </c>
      <c r="T363" s="65"/>
      <c r="U363" s="65"/>
      <c r="V363" s="65" t="s">
        <v>804</v>
      </c>
      <c r="W363" s="51" t="s">
        <v>318</v>
      </c>
      <c r="X363" s="66" t="s">
        <v>805</v>
      </c>
    </row>
    <row r="364" hidden="1" ht="27.75" customHeight="1" s="32" customFormat="1">
      <c r="A364" s="37"/>
      <c r="B364" s="31" t="s">
        <v>32</v>
      </c>
      <c r="C364" s="59" t="s">
        <v>806</v>
      </c>
      <c r="D364" s="57" t="s">
        <v>30</v>
      </c>
      <c r="E364" s="57">
        <v>45625</v>
      </c>
      <c r="F364" s="38" t="str">
        <f>IF(C364&lt;&gt;"",VLOOKUP($C364,Carpetas!$C$5:$L$2060,2,FALSE),"")</f>
        <v>BOB005</v>
      </c>
      <c r="G364" s="38" t="s">
        <v>31</v>
      </c>
      <c r="H364" s="44">
        <f>IF(C364&lt;&gt;"",VLOOKUP($C364,Carpetas!$C$5:$L$2060,9,FALSE),"")</f>
        <v>1511179</v>
      </c>
      <c r="I364" s="51" t="str">
        <f>IF(C364&lt;&gt;"",VLOOKUP($C364,Carpetas!$C$5:$L$2060,5,FALSE),"")</f>
        <v>xx</v>
      </c>
      <c r="J364" s="51"/>
      <c r="K364" s="50">
        <v>45630</v>
      </c>
      <c r="L364" s="39" t="str">
        <f>VLOOKUP($C364,Carpetas!$C$5:$L$2060,4,FALSE)</f>
        <v>Salto</v>
      </c>
      <c r="M364" s="55">
        <f ref="M364:M380" t="shared" si="26">K364+1</f>
        <v>45631</v>
      </c>
      <c r="N364" s="53">
        <f t="shared" si="23"/>
        <v>6</v>
      </c>
      <c r="O364" s="51">
        <v>1050</v>
      </c>
      <c r="P364" s="51"/>
      <c r="Q364" s="51">
        <v>1050</v>
      </c>
      <c r="R364" s="51" t="s">
        <v>807</v>
      </c>
      <c r="S364" s="51">
        <v>21</v>
      </c>
      <c r="T364" s="65"/>
      <c r="U364" s="65"/>
      <c r="V364" s="65"/>
      <c r="W364" s="51" t="s">
        <v>808</v>
      </c>
      <c r="X364" s="66" t="s">
        <v>809</v>
      </c>
    </row>
    <row r="365" hidden="1" ht="27.75" customHeight="1" s="32" customFormat="1">
      <c r="A365" s="37"/>
      <c r="B365" s="31" t="s">
        <v>32</v>
      </c>
      <c r="C365" s="59" t="s">
        <v>810</v>
      </c>
      <c r="D365" s="57" t="s">
        <v>30</v>
      </c>
      <c r="E365" s="57">
        <v>45623</v>
      </c>
      <c r="F365" s="38" t="str">
        <f>IF(C365&lt;&gt;"",VLOOKUP($C365,Carpetas!$C$5:$L$2060,2,FALSE),"")</f>
        <v>BOB008</v>
      </c>
      <c r="G365" s="38" t="s">
        <v>31</v>
      </c>
      <c r="H365" s="44">
        <f>IF(C365&lt;&gt;"",VLOOKUP($C365,Carpetas!$C$5:$L$2060,9,FALSE),"")</f>
        <v>0</v>
      </c>
      <c r="I365" s="51" t="str">
        <f>IF(C365&lt;&gt;"",VLOOKUP($C365,Carpetas!$C$5:$L$2060,5,FALSE),"")</f>
        <v>Chapare</v>
      </c>
      <c r="J365" s="51"/>
      <c r="K365" s="50">
        <v>45630</v>
      </c>
      <c r="L365" s="39" t="str">
        <f>VLOOKUP($C365,Carpetas!$C$5:$L$2060,4,FALSE)</f>
        <v>Salto</v>
      </c>
      <c r="M365" s="55">
        <f t="shared" si="26"/>
        <v>45631</v>
      </c>
      <c r="N365" s="53">
        <f t="shared" si="23"/>
        <v>8</v>
      </c>
      <c r="O365" s="51">
        <v>2208</v>
      </c>
      <c r="P365" s="51"/>
      <c r="Q365" s="51">
        <v>2208</v>
      </c>
      <c r="R365" s="51">
        <v>46</v>
      </c>
      <c r="S365" s="51">
        <v>21</v>
      </c>
      <c r="T365" s="65"/>
      <c r="U365" s="65"/>
      <c r="V365" s="65" t="s">
        <v>605</v>
      </c>
      <c r="W365" s="51" t="s">
        <v>811</v>
      </c>
      <c r="X365" s="66" t="s">
        <v>812</v>
      </c>
    </row>
    <row r="366" hidden="1" ht="27.75" customHeight="1" s="32" customFormat="1">
      <c r="A366" s="37"/>
      <c r="B366" s="31" t="s">
        <v>32</v>
      </c>
      <c r="C366" s="59" t="s">
        <v>813</v>
      </c>
      <c r="D366" s="57" t="s">
        <v>30</v>
      </c>
      <c r="E366" s="57">
        <v>45623</v>
      </c>
      <c r="F366" s="38" t="str">
        <f>IF(C366&lt;&gt;"",VLOOKUP($C366,Carpetas!$C$5:$L$2060,2,FALSE),"")</f>
        <v>ECB065</v>
      </c>
      <c r="G366" s="38" t="s">
        <v>43</v>
      </c>
      <c r="H366" s="44">
        <f>IF(C366&lt;&gt;"",VLOOKUP($C366,Carpetas!$C$5:$L$2060,9,FALSE),"")</f>
        <v>1509720</v>
      </c>
      <c r="I366" s="51" t="str">
        <f>IF(C366&lt;&gt;"",VLOOKUP($C366,Carpetas!$C$5:$L$2060,5,FALSE),"")</f>
        <v>Andino</v>
      </c>
      <c r="J366" s="51"/>
      <c r="K366" s="50">
        <v>45631</v>
      </c>
      <c r="L366" s="39" t="str">
        <f>VLOOKUP($C366,Carpetas!$C$5:$L$2060,4,FALSE)</f>
        <v>Fray Bentos</v>
      </c>
      <c r="M366" s="55">
        <f t="shared" si="26"/>
        <v>45632</v>
      </c>
      <c r="N366" s="53">
        <f t="shared" si="23"/>
        <v>9</v>
      </c>
      <c r="O366" s="51">
        <v>2160</v>
      </c>
      <c r="P366" s="51"/>
      <c r="Q366" s="51">
        <v>2160</v>
      </c>
      <c r="R366" s="51">
        <v>40</v>
      </c>
      <c r="S366" s="51">
        <v>21</v>
      </c>
      <c r="T366" s="65"/>
      <c r="U366" s="65"/>
      <c r="V366" s="65"/>
      <c r="W366" s="51" t="s">
        <v>814</v>
      </c>
      <c r="X366" s="66" t="s">
        <v>815</v>
      </c>
    </row>
    <row r="367" hidden="1" ht="27.75" customHeight="1" s="32" customFormat="1">
      <c r="A367" s="37"/>
      <c r="B367" s="31" t="s">
        <v>32</v>
      </c>
      <c r="C367" s="59" t="s">
        <v>799</v>
      </c>
      <c r="D367" s="57" t="s">
        <v>30</v>
      </c>
      <c r="E367" s="57">
        <v>45623</v>
      </c>
      <c r="F367" s="38" t="str">
        <f>IF(C367&lt;&gt;"",VLOOKUP($C367,Carpetas!$C$5:$L$2060,2,FALSE),"")</f>
        <v>ECE062</v>
      </c>
      <c r="G367" s="38" t="s">
        <v>43</v>
      </c>
      <c r="H367" s="44">
        <f>IF(C367&lt;&gt;"",VLOOKUP($C367,Carpetas!$C$5:$L$2060,9,FALSE),"")</f>
        <v>1509722</v>
      </c>
      <c r="I367" s="51" t="str">
        <f>IF(C367&lt;&gt;"",VLOOKUP($C367,Carpetas!$C$5:$L$2060,5,FALSE),"")</f>
        <v>Andino</v>
      </c>
      <c r="J367" s="51"/>
      <c r="K367" s="50">
        <v>45631</v>
      </c>
      <c r="L367" s="39" t="str">
        <f>VLOOKUP($C367,Carpetas!$C$5:$L$2060,4,FALSE)</f>
        <v>Fray Bentos</v>
      </c>
      <c r="M367" s="55">
        <f t="shared" si="26"/>
        <v>45632</v>
      </c>
      <c r="N367" s="53">
        <f t="shared" si="23"/>
        <v>9</v>
      </c>
      <c r="O367" s="51">
        <v>2160</v>
      </c>
      <c r="P367" s="51"/>
      <c r="Q367" s="51">
        <v>2160</v>
      </c>
      <c r="R367" s="51">
        <v>40</v>
      </c>
      <c r="S367" s="51">
        <v>21</v>
      </c>
      <c r="T367" s="65"/>
      <c r="U367" s="65"/>
      <c r="V367" s="65" t="s">
        <v>816</v>
      </c>
      <c r="W367" s="51" t="s">
        <v>817</v>
      </c>
      <c r="X367" s="66" t="s">
        <v>818</v>
      </c>
    </row>
    <row r="368" hidden="1" ht="27.75" customHeight="1" s="32" customFormat="1">
      <c r="A368" s="37"/>
      <c r="B368" s="31" t="s">
        <v>32</v>
      </c>
      <c r="C368" s="59" t="s">
        <v>819</v>
      </c>
      <c r="D368" s="57" t="s">
        <v>30</v>
      </c>
      <c r="E368" s="57">
        <v>45623</v>
      </c>
      <c r="F368" s="38" t="str">
        <f>IF(C368&lt;&gt;"",VLOOKUP($C368,Carpetas!$C$5:$L$2060,2,FALSE),"")</f>
        <v>ECE063</v>
      </c>
      <c r="G368" s="38" t="s">
        <v>43</v>
      </c>
      <c r="H368" s="44">
        <f>IF(C368&lt;&gt;"",VLOOKUP($C368,Carpetas!$C$5:$L$2060,9,FALSE),"")</f>
        <v>1509723</v>
      </c>
      <c r="I368" s="51" t="str">
        <f>IF(C368&lt;&gt;"",VLOOKUP($C368,Carpetas!$C$5:$L$2060,5,FALSE),"")</f>
        <v>Andino</v>
      </c>
      <c r="J368" s="51"/>
      <c r="K368" s="50">
        <v>45631</v>
      </c>
      <c r="L368" s="39" t="str">
        <f>VLOOKUP($C368,Carpetas!$C$5:$L$2060,4,FALSE)</f>
        <v>Fray Bentos</v>
      </c>
      <c r="M368" s="55">
        <f t="shared" si="26"/>
        <v>45632</v>
      </c>
      <c r="N368" s="53">
        <f t="shared" si="23"/>
        <v>9</v>
      </c>
      <c r="O368" s="51">
        <v>1128</v>
      </c>
      <c r="P368" s="51"/>
      <c r="Q368" s="51">
        <v>1128</v>
      </c>
      <c r="R368" s="51">
        <v>20</v>
      </c>
      <c r="S368" s="51">
        <v>21</v>
      </c>
      <c r="T368" s="65"/>
      <c r="U368" s="65"/>
      <c r="V368" s="65" t="s">
        <v>187</v>
      </c>
      <c r="W368" s="51" t="s">
        <v>820</v>
      </c>
      <c r="X368" s="66" t="s">
        <v>821</v>
      </c>
    </row>
    <row r="369" hidden="1" ht="27.75" customHeight="1" s="32" customFormat="1">
      <c r="A369" s="37"/>
      <c r="B369" s="31" t="s">
        <v>32</v>
      </c>
      <c r="C369" s="59" t="s">
        <v>822</v>
      </c>
      <c r="D369" s="57" t="s">
        <v>48</v>
      </c>
      <c r="E369" s="57">
        <v>45629</v>
      </c>
      <c r="F369" s="38" t="str">
        <f>IF(C369&lt;&gt;"",VLOOKUP($C369,Carpetas!$C$5:$L$2060,2,FALSE),"")</f>
        <v>CLP021</v>
      </c>
      <c r="G369" s="38" t="s">
        <v>35</v>
      </c>
      <c r="H369" s="44">
        <f>IF(C369&lt;&gt;"",VLOOKUP($C369,Carpetas!$C$5:$L$2060,9,FALSE),"")</f>
        <v>0</v>
      </c>
      <c r="I369" s="51" t="str">
        <f>IF(C369&lt;&gt;"",VLOOKUP($C369,Carpetas!$C$5:$L$2060,5,FALSE),"")</f>
        <v>Sarla y Ramón</v>
      </c>
      <c r="J369" s="51"/>
      <c r="K369" s="50">
        <v>45632</v>
      </c>
      <c r="L369" s="39" t="str">
        <f>VLOOKUP($C369,Carpetas!$C$5:$L$2060,4,FALSE)</f>
        <v>Fray Bentos</v>
      </c>
      <c r="M369" s="55">
        <f t="shared" si="26"/>
        <v>45633</v>
      </c>
      <c r="N369" s="53">
        <f t="shared" si="23"/>
        <v>4</v>
      </c>
      <c r="O369" s="51">
        <v>1936</v>
      </c>
      <c r="P369" s="51"/>
      <c r="Q369" s="51">
        <v>1936</v>
      </c>
      <c r="R369" s="51">
        <v>20</v>
      </c>
      <c r="S369" s="51"/>
      <c r="T369" s="65"/>
      <c r="U369" s="65"/>
      <c r="V369" s="65"/>
      <c r="W369" s="51"/>
      <c r="X369" s="66" t="s">
        <v>823</v>
      </c>
    </row>
    <row r="370" hidden="1" ht="27.75" customHeight="1" s="32" customFormat="1">
      <c r="A370" s="37"/>
      <c r="B370" s="31" t="s">
        <v>32</v>
      </c>
      <c r="C370" s="59" t="s">
        <v>824</v>
      </c>
      <c r="D370" s="57" t="s">
        <v>30</v>
      </c>
      <c r="E370" s="57">
        <v>45629</v>
      </c>
      <c r="F370" s="38" t="str">
        <f>IF(C370&lt;&gt;"",VLOOKUP($C370,Carpetas!$C$5:$L$2060,2,FALSE),"")</f>
        <v>BOB006</v>
      </c>
      <c r="G370" s="38" t="s">
        <v>31</v>
      </c>
      <c r="H370" s="44">
        <f>IF(C370&lt;&gt;"",VLOOKUP($C370,Carpetas!$C$5:$L$2060,9,FALSE),"")</f>
        <v>0</v>
      </c>
      <c r="I370" s="51" t="str">
        <f>IF(C370&lt;&gt;"",VLOOKUP($C370,Carpetas!$C$5:$L$2060,5,FALSE),"")</f>
        <v>xx</v>
      </c>
      <c r="J370" s="51"/>
      <c r="K370" s="50">
        <v>45635</v>
      </c>
      <c r="L370" s="39" t="str">
        <f>VLOOKUP($C370,Carpetas!$C$5:$L$2060,4,FALSE)</f>
        <v>Salto</v>
      </c>
      <c r="M370" s="55">
        <f t="shared" si="26"/>
        <v>45636</v>
      </c>
      <c r="N370" s="53">
        <f t="shared" si="23"/>
        <v>7</v>
      </c>
      <c r="O370" s="51">
        <v>1000</v>
      </c>
      <c r="P370" s="51"/>
      <c r="Q370" s="51">
        <v>1000</v>
      </c>
      <c r="R370" s="51">
        <v>22</v>
      </c>
      <c r="S370" s="51">
        <v>21.5</v>
      </c>
      <c r="T370" s="65"/>
      <c r="U370" s="65"/>
      <c r="V370" s="65" t="s">
        <v>825</v>
      </c>
      <c r="W370" s="51" t="s">
        <v>826</v>
      </c>
      <c r="X370" s="66" t="s">
        <v>827</v>
      </c>
    </row>
    <row r="371" hidden="1" ht="27.75" customHeight="1" s="32" customFormat="1">
      <c r="A371" s="37"/>
      <c r="B371" s="31" t="s">
        <v>32</v>
      </c>
      <c r="C371" s="59" t="s">
        <v>828</v>
      </c>
      <c r="D371" s="57" t="s">
        <v>30</v>
      </c>
      <c r="E371" s="57">
        <v>45626</v>
      </c>
      <c r="F371" s="38" t="str">
        <f>IF(C371&lt;&gt;"",VLOOKUP($C371,Carpetas!$C$5:$L$2060,2,FALSE),"")</f>
        <v>BOB007</v>
      </c>
      <c r="G371" s="38" t="s">
        <v>31</v>
      </c>
      <c r="H371" s="44">
        <f>IF(C371&lt;&gt;"",VLOOKUP($C371,Carpetas!$C$5:$L$2060,9,FALSE),"")</f>
        <v>0</v>
      </c>
      <c r="I371" s="51" t="str">
        <f>IF(C371&lt;&gt;"",VLOOKUP($C371,Carpetas!$C$5:$L$2060,5,FALSE),"")</f>
        <v>xx</v>
      </c>
      <c r="J371" s="51"/>
      <c r="K371" s="50">
        <v>45635</v>
      </c>
      <c r="L371" s="39" t="str">
        <f>VLOOKUP($C371,Carpetas!$C$5:$L$2060,4,FALSE)</f>
        <v>Salto</v>
      </c>
      <c r="M371" s="55">
        <f t="shared" si="26"/>
        <v>45636</v>
      </c>
      <c r="N371" s="53">
        <f t="shared" si="23"/>
        <v>10</v>
      </c>
      <c r="O371" s="51">
        <v>1000</v>
      </c>
      <c r="P371" s="51"/>
      <c r="Q371" s="51">
        <v>1000</v>
      </c>
      <c r="R371" s="51">
        <v>22</v>
      </c>
      <c r="S371" s="51">
        <v>21.5</v>
      </c>
      <c r="T371" s="65"/>
      <c r="U371" s="65"/>
      <c r="V371" s="65" t="s">
        <v>829</v>
      </c>
      <c r="W371" s="51" t="s">
        <v>830</v>
      </c>
      <c r="X371" s="66" t="s">
        <v>831</v>
      </c>
    </row>
    <row r="372" hidden="1" ht="27.75" customHeight="1" s="32" customFormat="1">
      <c r="A372" s="37"/>
      <c r="B372" s="31" t="s">
        <v>32</v>
      </c>
      <c r="C372" s="59" t="s">
        <v>832</v>
      </c>
      <c r="D372" s="57" t="s">
        <v>656</v>
      </c>
      <c r="E372" s="57">
        <v>45605</v>
      </c>
      <c r="F372" s="38" t="str">
        <f>IF(C372&lt;&gt;"",VLOOKUP($C372,Carpetas!$C$5:$L$2060,2,FALSE),"")</f>
        <v>EGP004</v>
      </c>
      <c r="G372" s="38" t="s">
        <v>833</v>
      </c>
      <c r="H372" s="44">
        <f>IF(C372&lt;&gt;"",VLOOKUP($C372,Carpetas!$C$5:$L$2060,9,FALSE),"")</f>
        <v>0</v>
      </c>
      <c r="I372" s="51" t="str">
        <f>IF(C372&lt;&gt;"",VLOOKUP($C372,Carpetas!$C$5:$L$2060,5,FALSE),"")</f>
        <v>Ciatran</v>
      </c>
      <c r="J372" s="51"/>
      <c r="K372" s="50">
        <v>45635</v>
      </c>
      <c r="L372" s="39" t="str">
        <f>VLOOKUP($C372,Carpetas!$C$5:$L$2060,4,FALSE)</f>
        <v>Montevideo</v>
      </c>
      <c r="M372" s="55">
        <f t="shared" si="26"/>
        <v>45636</v>
      </c>
      <c r="N372" s="53">
        <f t="shared" si="23"/>
        <v>31</v>
      </c>
      <c r="O372" s="51">
        <v>1316</v>
      </c>
      <c r="P372" s="51"/>
      <c r="Q372" s="51">
        <v>1238</v>
      </c>
      <c r="R372" s="51">
        <v>21</v>
      </c>
      <c r="S372" s="51">
        <v>15</v>
      </c>
      <c r="T372" s="65"/>
      <c r="U372" s="65"/>
      <c r="V372" s="65"/>
      <c r="W372" s="51" t="s">
        <v>834</v>
      </c>
      <c r="X372" s="66" t="s">
        <v>835</v>
      </c>
    </row>
    <row r="373" hidden="1" ht="27.75" customHeight="1" s="32" customFormat="1">
      <c r="A373" s="37"/>
      <c r="B373" s="31" t="s">
        <v>32</v>
      </c>
      <c r="C373" s="59" t="s">
        <v>836</v>
      </c>
      <c r="D373" s="57" t="s">
        <v>30</v>
      </c>
      <c r="E373" s="57">
        <v>45633</v>
      </c>
      <c r="F373" s="38" t="str">
        <f>IF(C373&lt;&gt;"",VLOOKUP($C373,Carpetas!$C$5:$L$2060,2,FALSE),"")</f>
        <v>BOB009</v>
      </c>
      <c r="G373" s="38" t="s">
        <v>31</v>
      </c>
      <c r="H373" s="44">
        <f>IF(C373&lt;&gt;"",VLOOKUP($C373,Carpetas!$C$5:$L$2060,9,FALSE),"")</f>
        <v>0</v>
      </c>
      <c r="I373" s="51" t="str">
        <f>IF(C373&lt;&gt;"",VLOOKUP($C373,Carpetas!$C$5:$L$2060,5,FALSE),"")</f>
        <v>Chapare</v>
      </c>
      <c r="J373" s="51"/>
      <c r="K373" s="50">
        <v>45637</v>
      </c>
      <c r="L373" s="39" t="str">
        <f>VLOOKUP($C373,Carpetas!$C$5:$L$2060,4,FALSE)</f>
        <v>Salto</v>
      </c>
      <c r="M373" s="55">
        <f t="shared" si="26"/>
        <v>45638</v>
      </c>
      <c r="N373" s="53">
        <f t="shared" si="23"/>
        <v>5</v>
      </c>
      <c r="O373" s="51">
        <v>2208</v>
      </c>
      <c r="P373" s="51"/>
      <c r="Q373" s="51">
        <v>2208</v>
      </c>
      <c r="R373" s="51">
        <v>46</v>
      </c>
      <c r="S373" s="51">
        <v>20</v>
      </c>
      <c r="T373" s="65"/>
      <c r="U373" s="65"/>
      <c r="V373" s="65" t="s">
        <v>605</v>
      </c>
      <c r="W373" s="51"/>
      <c r="X373" s="66" t="s">
        <v>837</v>
      </c>
    </row>
    <row r="374" hidden="1" ht="27.75" customHeight="1" s="32" customFormat="1">
      <c r="A374" s="37"/>
      <c r="B374" s="31" t="s">
        <v>32</v>
      </c>
      <c r="C374" s="59" t="s">
        <v>838</v>
      </c>
      <c r="D374" s="57" t="s">
        <v>30</v>
      </c>
      <c r="E374" s="57">
        <v>45605</v>
      </c>
      <c r="F374" s="38" t="str">
        <f>IF(C374&lt;&gt;"",VLOOKUP($C374,Carpetas!$C$5:$L$2060,2,FALSE),"")</f>
        <v>COB020</v>
      </c>
      <c r="G374" s="38" t="s">
        <v>267</v>
      </c>
      <c r="H374" s="44">
        <f>IF(C374&lt;&gt;"",VLOOKUP($C374,Carpetas!$C$5:$L$2060,9,FALSE),"")</f>
        <v>0</v>
      </c>
      <c r="I374" s="51" t="str">
        <f>IF(C374&lt;&gt;"",VLOOKUP($C374,Carpetas!$C$5:$L$2060,5,FALSE),"")</f>
        <v>Andino</v>
      </c>
      <c r="J374" s="51"/>
      <c r="K374" s="50">
        <v>45637</v>
      </c>
      <c r="L374" s="39" t="str">
        <f>VLOOKUP($C374,Carpetas!$C$5:$L$2060,4,FALSE)</f>
        <v>Fray Bentos</v>
      </c>
      <c r="M374" s="55">
        <f t="shared" si="26"/>
        <v>45638</v>
      </c>
      <c r="N374" s="53">
        <f t="shared" si="23"/>
        <v>33</v>
      </c>
      <c r="O374" s="51">
        <v>1080</v>
      </c>
      <c r="P374" s="51"/>
      <c r="Q374" s="51">
        <v>1080</v>
      </c>
      <c r="R374" s="51">
        <v>20</v>
      </c>
      <c r="S374" s="51">
        <v>20</v>
      </c>
      <c r="T374" s="65"/>
      <c r="U374" s="65"/>
      <c r="V374" s="65" t="s">
        <v>839</v>
      </c>
      <c r="W374" s="51" t="s">
        <v>106</v>
      </c>
      <c r="X374" s="66" t="s">
        <v>840</v>
      </c>
    </row>
    <row r="375" hidden="1" ht="27.75" customHeight="1" s="32" customFormat="1">
      <c r="A375" s="37"/>
      <c r="B375" s="31" t="s">
        <v>32</v>
      </c>
      <c r="C375" s="59" t="s">
        <v>841</v>
      </c>
      <c r="D375" s="57" t="s">
        <v>792</v>
      </c>
      <c r="E375" s="57">
        <v>45633</v>
      </c>
      <c r="F375" s="38" t="str">
        <f>IF(C375&lt;&gt;"",VLOOKUP($C375,Carpetas!$C$5:$L$2060,2,FALSE),"")</f>
        <v>CLCE003</v>
      </c>
      <c r="G375" s="38" t="s">
        <v>35</v>
      </c>
      <c r="H375" s="44">
        <f>IF(C375&lt;&gt;"",VLOOKUP($C375,Carpetas!$C$5:$L$2060,9,FALSE),"")</f>
        <v>0</v>
      </c>
      <c r="I375" s="51" t="str">
        <f>IF(C375&lt;&gt;"",VLOOKUP($C375,Carpetas!$C$5:$L$2060,5,FALSE),"")</f>
        <v>RCT</v>
      </c>
      <c r="J375" s="51"/>
      <c r="K375" s="50">
        <v>45637</v>
      </c>
      <c r="L375" s="39" t="str">
        <f>VLOOKUP($C375,Carpetas!$C$5:$L$2060,4,FALSE)</f>
        <v>Fray Bentos</v>
      </c>
      <c r="M375" s="55">
        <f t="shared" si="26"/>
        <v>45638</v>
      </c>
      <c r="N375" s="53">
        <f t="shared" si="23"/>
        <v>5</v>
      </c>
      <c r="O375" s="51">
        <v>2752</v>
      </c>
      <c r="P375" s="51"/>
      <c r="Q375" s="51">
        <v>2752</v>
      </c>
      <c r="R375" s="51">
        <v>16</v>
      </c>
      <c r="S375" s="51">
        <v>5</v>
      </c>
      <c r="T375" s="65"/>
      <c r="U375" s="65"/>
      <c r="V375" s="65" t="s">
        <v>93</v>
      </c>
      <c r="W375" s="51" t="s">
        <v>842</v>
      </c>
      <c r="X375" s="66" t="s">
        <v>843</v>
      </c>
    </row>
    <row r="376" hidden="1" ht="27.75" customHeight="1" s="32" customFormat="1">
      <c r="A376" s="37"/>
      <c r="B376" s="31" t="s">
        <v>32</v>
      </c>
      <c r="C376" s="59" t="s">
        <v>838</v>
      </c>
      <c r="D376" s="57" t="s">
        <v>30</v>
      </c>
      <c r="E376" s="57">
        <v>45605</v>
      </c>
      <c r="F376" s="38" t="str">
        <f>IF(C376&lt;&gt;"",VLOOKUP($C376,Carpetas!$C$5:$L$2060,2,FALSE),"")</f>
        <v>COB020</v>
      </c>
      <c r="G376" s="38" t="s">
        <v>267</v>
      </c>
      <c r="H376" s="44">
        <f>IF(C376&lt;&gt;"",VLOOKUP($C376,Carpetas!$C$5:$L$2060,9,FALSE),"")</f>
        <v>0</v>
      </c>
      <c r="I376" s="51" t="str">
        <f>IF(C376&lt;&gt;"",VLOOKUP($C376,Carpetas!$C$5:$L$2060,5,FALSE),"")</f>
        <v>Andino</v>
      </c>
      <c r="J376" s="51"/>
      <c r="K376" s="50">
        <v>45638</v>
      </c>
      <c r="L376" s="39" t="str">
        <f>VLOOKUP($C376,Carpetas!$C$5:$L$2060,4,FALSE)</f>
        <v>Fray Bentos</v>
      </c>
      <c r="M376" s="55">
        <f t="shared" si="26"/>
        <v>45639</v>
      </c>
      <c r="N376" s="53">
        <f t="shared" si="23"/>
        <v>34</v>
      </c>
      <c r="O376" s="51">
        <v>3240</v>
      </c>
      <c r="P376" s="51"/>
      <c r="Q376" s="51">
        <v>3240</v>
      </c>
      <c r="R376" s="51">
        <v>60</v>
      </c>
      <c r="S376" s="51">
        <v>20.5</v>
      </c>
      <c r="T376" s="65"/>
      <c r="U376" s="65"/>
      <c r="V376" s="65" t="s">
        <v>804</v>
      </c>
      <c r="W376" s="51" t="s">
        <v>844</v>
      </c>
      <c r="X376" s="66" t="s">
        <v>845</v>
      </c>
    </row>
    <row r="377" hidden="1" ht="27.75" customHeight="1" s="32" customFormat="1">
      <c r="A377" s="37"/>
      <c r="B377" s="31" t="s">
        <v>32</v>
      </c>
      <c r="C377" s="59" t="s">
        <v>846</v>
      </c>
      <c r="D377" s="57" t="s">
        <v>30</v>
      </c>
      <c r="E377" s="57">
        <v>45622</v>
      </c>
      <c r="F377" s="38" t="str">
        <f>IF(C377&lt;&gt;"",VLOOKUP($C377,Carpetas!$C$5:$L$2060,2,FALSE),"")</f>
        <v>ECE064</v>
      </c>
      <c r="G377" s="38" t="s">
        <v>43</v>
      </c>
      <c r="H377" s="44">
        <f>IF(C377&lt;&gt;"",VLOOKUP($C377,Carpetas!$C$5:$L$2060,9,FALSE),"")</f>
        <v>1510484</v>
      </c>
      <c r="I377" s="51" t="str">
        <f>IF(C377&lt;&gt;"",VLOOKUP($C377,Carpetas!$C$5:$L$2060,5,FALSE),"")</f>
        <v>Andino</v>
      </c>
      <c r="J377" s="51"/>
      <c r="K377" s="50">
        <v>45638</v>
      </c>
      <c r="L377" s="39" t="str">
        <f>VLOOKUP($C377,Carpetas!$C$5:$L$2060,4,FALSE)</f>
        <v>Fray Bentos</v>
      </c>
      <c r="M377" s="55">
        <f t="shared" si="26"/>
        <v>45639</v>
      </c>
      <c r="N377" s="53">
        <f t="shared" si="23"/>
        <v>17</v>
      </c>
      <c r="O377" s="51">
        <v>3240</v>
      </c>
      <c r="P377" s="51"/>
      <c r="Q377" s="51">
        <v>3240</v>
      </c>
      <c r="R377" s="51">
        <v>60</v>
      </c>
      <c r="S377" s="51">
        <v>21</v>
      </c>
      <c r="T377" s="65"/>
      <c r="U377" s="65"/>
      <c r="V377" s="65" t="s">
        <v>60</v>
      </c>
      <c r="W377" s="51" t="s">
        <v>847</v>
      </c>
      <c r="X377" s="66" t="s">
        <v>848</v>
      </c>
    </row>
    <row r="378" hidden="1" ht="27.75" customHeight="1" s="32" customFormat="1">
      <c r="A378" s="37"/>
      <c r="B378" s="31" t="s">
        <v>32</v>
      </c>
      <c r="C378" s="59" t="s">
        <v>849</v>
      </c>
      <c r="D378" s="57" t="s">
        <v>30</v>
      </c>
      <c r="E378" s="57">
        <v>45633</v>
      </c>
      <c r="F378" s="38" t="str">
        <f>IF(C378&lt;&gt;"",VLOOKUP($C378,Carpetas!$C$5:$L$2060,2,FALSE),"")</f>
        <v>BOB010</v>
      </c>
      <c r="G378" s="38" t="s">
        <v>31</v>
      </c>
      <c r="H378" s="44">
        <f>IF(C378&lt;&gt;"",VLOOKUP($C378,Carpetas!$C$5:$L$2060,9,FALSE),"")</f>
        <v>1512325</v>
      </c>
      <c r="I378" s="51" t="str">
        <f>IF(C378&lt;&gt;"",VLOOKUP($C378,Carpetas!$C$5:$L$2060,5,FALSE),"")</f>
        <v>xx</v>
      </c>
      <c r="J378" s="51"/>
      <c r="K378" s="50">
        <v>45638</v>
      </c>
      <c r="L378" s="39" t="str">
        <f>VLOOKUP($C378,Carpetas!$C$5:$L$2060,4,FALSE)</f>
        <v>Salto</v>
      </c>
      <c r="M378" s="55">
        <f t="shared" si="26"/>
        <v>45639</v>
      </c>
      <c r="N378" s="53">
        <f t="shared" si="23"/>
        <v>6</v>
      </c>
      <c r="O378" s="51">
        <v>1050</v>
      </c>
      <c r="P378" s="51"/>
      <c r="Q378" s="51">
        <v>1050</v>
      </c>
      <c r="R378" s="51" t="s">
        <v>850</v>
      </c>
      <c r="S378" s="51">
        <v>20</v>
      </c>
      <c r="T378" s="65"/>
      <c r="U378" s="65"/>
      <c r="V378" s="65" t="s">
        <v>851</v>
      </c>
      <c r="W378" s="51" t="s">
        <v>852</v>
      </c>
      <c r="X378" s="66" t="s">
        <v>853</v>
      </c>
    </row>
    <row r="379" hidden="1" ht="27.75" customHeight="1" s="32" customFormat="1">
      <c r="A379" s="37"/>
      <c r="B379" s="31" t="s">
        <v>32</v>
      </c>
      <c r="C379" s="59" t="s">
        <v>854</v>
      </c>
      <c r="D379" s="57" t="s">
        <v>30</v>
      </c>
      <c r="E379" s="57">
        <v>45622</v>
      </c>
      <c r="F379" s="38" t="str">
        <f>IF(C379&lt;&gt;"",VLOOKUP($C379,Carpetas!$C$5:$L$2060,2,FALSE),"")</f>
        <v>ECE065</v>
      </c>
      <c r="G379" s="38" t="s">
        <v>43</v>
      </c>
      <c r="H379" s="44">
        <f>IF(C379&lt;&gt;"",VLOOKUP($C379,Carpetas!$C$5:$L$2060,9,FALSE),"")</f>
        <v>1510483</v>
      </c>
      <c r="I379" s="51" t="str">
        <f>IF(C379&lt;&gt;"",VLOOKUP($C379,Carpetas!$C$5:$L$2060,5,FALSE),"")</f>
        <v>Andino</v>
      </c>
      <c r="J379" s="51"/>
      <c r="K379" s="50">
        <v>45638</v>
      </c>
      <c r="L379" s="39" t="str">
        <f>VLOOKUP($C379,Carpetas!$C$5:$L$2060,4,FALSE)</f>
        <v>Fray Bentos</v>
      </c>
      <c r="M379" s="55">
        <f t="shared" si="26"/>
        <v>45639</v>
      </c>
      <c r="N379" s="53">
        <f t="shared" si="23"/>
        <v>17</v>
      </c>
      <c r="O379" s="51">
        <v>1128</v>
      </c>
      <c r="P379" s="51"/>
      <c r="Q379" s="51">
        <v>1128</v>
      </c>
      <c r="R379" s="51">
        <v>20</v>
      </c>
      <c r="S379" s="51">
        <v>20</v>
      </c>
      <c r="T379" s="65"/>
      <c r="U379" s="65"/>
      <c r="V379" s="65" t="s">
        <v>855</v>
      </c>
      <c r="W379" s="51" t="s">
        <v>140</v>
      </c>
      <c r="X379" s="66" t="s">
        <v>856</v>
      </c>
    </row>
    <row r="380" hidden="1" ht="27.75" customHeight="1" s="32" customFormat="1">
      <c r="A380" s="37"/>
      <c r="B380" s="31" t="s">
        <v>32</v>
      </c>
      <c r="C380" s="59" t="s">
        <v>857</v>
      </c>
      <c r="D380" s="57" t="s">
        <v>42</v>
      </c>
      <c r="E380" s="57">
        <v>45622</v>
      </c>
      <c r="F380" s="38" t="str">
        <f>IF(C380&lt;&gt;"",VLOOKUP($C380,Carpetas!$C$5:$L$2060,2,FALSE),"")</f>
        <v>ECA027</v>
      </c>
      <c r="G380" s="38" t="s">
        <v>43</v>
      </c>
      <c r="H380" s="44">
        <f>IF(C380&lt;&gt;"",VLOOKUP($C380,Carpetas!$C$5:$L$2060,9,FALSE),"")</f>
        <v>1510496</v>
      </c>
      <c r="I380" s="51" t="str">
        <f>IF(C380&lt;&gt;"",VLOOKUP($C380,Carpetas!$C$5:$L$2060,5,FALSE),"")</f>
        <v>Andino</v>
      </c>
      <c r="J380" s="51"/>
      <c r="K380" s="50">
        <v>45639</v>
      </c>
      <c r="L380" s="39" t="str">
        <f>VLOOKUP($C380,Carpetas!$C$5:$L$2060,4,FALSE)</f>
        <v>Fray Bentos</v>
      </c>
      <c r="M380" s="55">
        <f t="shared" si="26"/>
        <v>45640</v>
      </c>
      <c r="N380" s="53">
        <f t="shared" si="23"/>
        <v>18</v>
      </c>
      <c r="O380" s="51">
        <v>1680</v>
      </c>
      <c r="P380" s="51"/>
      <c r="Q380" s="51">
        <v>1680</v>
      </c>
      <c r="R380" s="51">
        <v>21</v>
      </c>
      <c r="S380" s="51" t="s">
        <v>858</v>
      </c>
      <c r="T380" s="65"/>
      <c r="U380" s="65"/>
      <c r="V380" s="65" t="s">
        <v>93</v>
      </c>
      <c r="W380" s="51" t="s">
        <v>112</v>
      </c>
      <c r="X380" s="66" t="s">
        <v>859</v>
      </c>
    </row>
    <row r="381" hidden="1" ht="27.75" customHeight="1" s="32" customFormat="1">
      <c r="A381" s="37"/>
      <c r="B381" s="31" t="s">
        <v>32</v>
      </c>
      <c r="C381" s="59" t="s">
        <v>860</v>
      </c>
      <c r="D381" s="57" t="s">
        <v>37</v>
      </c>
      <c r="E381" s="57">
        <v>45602</v>
      </c>
      <c r="F381" s="38" t="str">
        <f>IF(C381&lt;&gt;"",VLOOKUP($C381,Carpetas!$C$5:$L$2060,2,FALSE),"")</f>
        <v>GRK003</v>
      </c>
      <c r="G381" s="38" t="s">
        <v>833</v>
      </c>
      <c r="H381" s="44">
        <f>IF(C381&lt;&gt;"",VLOOKUP($C381,Carpetas!$C$5:$L$2060,9,FALSE),"")</f>
        <v>0</v>
      </c>
      <c r="I381" s="51" t="str">
        <f>IF(C381&lt;&gt;"",VLOOKUP($C381,Carpetas!$C$5:$L$2060,5,FALSE),"")</f>
        <v>Ciatran</v>
      </c>
      <c r="J381" s="51"/>
      <c r="K381" s="50">
        <v>45640</v>
      </c>
      <c r="L381" s="39" t="str">
        <f>VLOOKUP($C381,Carpetas!$C$5:$L$2060,4,FALSE)</f>
        <v>Montevideo</v>
      </c>
      <c r="M381" s="55">
        <v>45642</v>
      </c>
      <c r="N381" s="53">
        <f t="shared" si="23"/>
        <v>40</v>
      </c>
      <c r="O381" s="51">
        <v>2130</v>
      </c>
      <c r="P381" s="51"/>
      <c r="Q381" s="51">
        <v>2030</v>
      </c>
      <c r="R381" s="51">
        <v>21</v>
      </c>
      <c r="S381" s="51">
        <v>10</v>
      </c>
      <c r="T381" s="65"/>
      <c r="U381" s="65"/>
      <c r="V381" s="65" t="s">
        <v>785</v>
      </c>
      <c r="W381" s="51"/>
      <c r="X381" s="66" t="s">
        <v>861</v>
      </c>
    </row>
    <row r="382" hidden="1" ht="27.75" customHeight="1" s="32" customFormat="1">
      <c r="A382" s="37"/>
      <c r="B382" s="31" t="s">
        <v>32</v>
      </c>
      <c r="C382" s="59" t="s">
        <v>862</v>
      </c>
      <c r="D382" s="57" t="s">
        <v>30</v>
      </c>
      <c r="E382" s="57">
        <v>45622</v>
      </c>
      <c r="F382" s="38" t="str">
        <f>IF(C382&lt;&gt;"",VLOOKUP($C382,Carpetas!$C$5:$L$2060,2,FALSE),"")</f>
        <v>ECB067</v>
      </c>
      <c r="G382" s="38" t="s">
        <v>43</v>
      </c>
      <c r="H382" s="44">
        <f>IF(C382&lt;&gt;"",VLOOKUP($C382,Carpetas!$C$5:$L$2060,9,FALSE),"")</f>
        <v>1510481</v>
      </c>
      <c r="I382" s="51" t="str">
        <f>IF(C382&lt;&gt;"",VLOOKUP($C382,Carpetas!$C$5:$L$2060,5,FALSE),"")</f>
        <v>Andino</v>
      </c>
      <c r="J382" s="51"/>
      <c r="K382" s="50">
        <v>45642</v>
      </c>
      <c r="L382" s="39" t="str">
        <f>VLOOKUP($C382,Carpetas!$C$5:$L$2060,4,FALSE)</f>
        <v>Fray Bentos</v>
      </c>
      <c r="M382" s="55">
        <v>45642</v>
      </c>
      <c r="N382" s="53">
        <f t="shared" si="23"/>
        <v>20</v>
      </c>
      <c r="O382" s="51">
        <v>1080</v>
      </c>
      <c r="P382" s="51"/>
      <c r="Q382" s="51">
        <v>1080</v>
      </c>
      <c r="R382" s="51">
        <v>20</v>
      </c>
      <c r="S382" s="51">
        <v>21</v>
      </c>
      <c r="T382" s="65"/>
      <c r="U382" s="65"/>
      <c r="V382" s="65" t="s">
        <v>863</v>
      </c>
      <c r="W382" s="51" t="s">
        <v>114</v>
      </c>
      <c r="X382" s="66" t="s">
        <v>864</v>
      </c>
    </row>
    <row r="383" hidden="1" ht="27.75" customHeight="1" s="32" customFormat="1">
      <c r="A383" s="37"/>
      <c r="B383" s="31" t="s">
        <v>28</v>
      </c>
      <c r="C383" s="59" t="s">
        <v>29</v>
      </c>
      <c r="D383" s="57" t="s">
        <v>30</v>
      </c>
      <c r="E383" s="57">
        <v>45639</v>
      </c>
      <c r="F383" s="38" t="str">
        <f>IF(C383&lt;&gt;"",VLOOKUP($C383,Carpetas!$C$5:$L$2060,2,FALSE),"")</f>
        <v>xx</v>
      </c>
      <c r="G383" s="38" t="s">
        <v>31</v>
      </c>
      <c r="H383" s="44" t="str">
        <f>IF(C383&lt;&gt;"",VLOOKUP($C383,Carpetas!$C$5:$L$2060,9,FALSE),"")</f>
        <v>xx</v>
      </c>
      <c r="I383" s="51" t="str">
        <f>IF(C383&lt;&gt;"",VLOOKUP($C383,Carpetas!$C$5:$L$2060,5,FALSE),"")</f>
        <v>xx</v>
      </c>
      <c r="J383" s="51"/>
      <c r="K383" s="50">
        <v>45642</v>
      </c>
      <c r="L383" s="39" t="str">
        <f>VLOOKUP($C383,Carpetas!$C$5:$L$2060,4,FALSE)</f>
        <v>xx</v>
      </c>
      <c r="M383" s="55">
        <f ref="M383:M393" t="shared" si="27">K383+1</f>
        <v>45643</v>
      </c>
      <c r="N383" s="53">
        <f t="shared" si="23"/>
        <v>4</v>
      </c>
      <c r="O383" s="51">
        <v>1000</v>
      </c>
      <c r="P383" s="51"/>
      <c r="Q383" s="51"/>
      <c r="R383" s="51"/>
      <c r="S383" s="51"/>
      <c r="T383" s="65"/>
      <c r="U383" s="65"/>
      <c r="V383" s="65"/>
      <c r="W383" s="51"/>
      <c r="X383" s="66" t="s">
        <v>865</v>
      </c>
    </row>
    <row r="384" hidden="1" ht="27.75" customHeight="1" s="32" customFormat="1">
      <c r="A384" s="37"/>
      <c r="B384" s="31" t="s">
        <v>32</v>
      </c>
      <c r="C384" s="59" t="s">
        <v>866</v>
      </c>
      <c r="D384" s="57" t="s">
        <v>42</v>
      </c>
      <c r="E384" s="57">
        <v>45629</v>
      </c>
      <c r="F384" s="38" t="str">
        <f>IF(C384&lt;&gt;"",VLOOKUP($C384,Carpetas!$C$5:$L$2060,2,FALSE),"")</f>
        <v>ECA028</v>
      </c>
      <c r="G384" s="38" t="s">
        <v>43</v>
      </c>
      <c r="H384" s="44">
        <f>IF(C384&lt;&gt;"",VLOOKUP($C384,Carpetas!$C$5:$L$2060,9,FALSE),"")</f>
        <v>1511069</v>
      </c>
      <c r="I384" s="51" t="str">
        <f>IF(C384&lt;&gt;"",VLOOKUP($C384,Carpetas!$C$5:$L$2060,5,FALSE),"")</f>
        <v>Andino</v>
      </c>
      <c r="J384" s="51"/>
      <c r="K384" s="50">
        <v>45645</v>
      </c>
      <c r="L384" s="39" t="str">
        <f>VLOOKUP($C384,Carpetas!$C$5:$L$2060,4,FALSE)</f>
        <v>Fray Bentos</v>
      </c>
      <c r="M384" s="55">
        <f t="shared" si="27"/>
        <v>45646</v>
      </c>
      <c r="N384" s="53">
        <f t="shared" si="23"/>
        <v>17</v>
      </c>
      <c r="O384" s="51">
        <v>1680</v>
      </c>
      <c r="P384" s="51"/>
      <c r="Q384" s="51">
        <v>1680</v>
      </c>
      <c r="R384" s="51">
        <v>21</v>
      </c>
      <c r="S384" s="51" t="s">
        <v>858</v>
      </c>
      <c r="T384" s="65"/>
      <c r="U384" s="65"/>
      <c r="V384" s="65" t="s">
        <v>785</v>
      </c>
      <c r="W384" s="51" t="s">
        <v>867</v>
      </c>
      <c r="X384" s="66" t="s">
        <v>859</v>
      </c>
    </row>
    <row r="385" hidden="1" ht="27.75" customHeight="1" s="32" customFormat="1">
      <c r="A385" s="37"/>
      <c r="B385" s="31" t="s">
        <v>32</v>
      </c>
      <c r="C385" s="59" t="s">
        <v>868</v>
      </c>
      <c r="D385" s="57" t="s">
        <v>30</v>
      </c>
      <c r="E385" s="57">
        <v>45640</v>
      </c>
      <c r="F385" s="38" t="str">
        <f>IF(C385&lt;&gt;"",VLOOKUP($C385,Carpetas!$C$5:$L$2060,2,FALSE),"")</f>
        <v>BOB011</v>
      </c>
      <c r="G385" s="38" t="s">
        <v>31</v>
      </c>
      <c r="H385" s="44">
        <f>IF(C385&lt;&gt;"",VLOOKUP($C385,Carpetas!$C$5:$L$2060,9,FALSE),"")</f>
        <v>0</v>
      </c>
      <c r="I385" s="51" t="str">
        <f>IF(C385&lt;&gt;"",VLOOKUP($C385,Carpetas!$C$5:$L$2060,5,FALSE),"")</f>
        <v>xx</v>
      </c>
      <c r="J385" s="51"/>
      <c r="K385" s="50">
        <v>45645</v>
      </c>
      <c r="L385" s="39" t="str">
        <f>VLOOKUP($C385,Carpetas!$C$5:$L$2060,4,FALSE)</f>
        <v>Salto</v>
      </c>
      <c r="M385" s="55">
        <f t="shared" si="27"/>
        <v>45646</v>
      </c>
      <c r="N385" s="53">
        <f t="shared" si="23"/>
        <v>6</v>
      </c>
      <c r="O385" s="51">
        <v>1100</v>
      </c>
      <c r="P385" s="51"/>
      <c r="Q385" s="51"/>
      <c r="R385" s="51"/>
      <c r="S385" s="51"/>
      <c r="T385" s="65"/>
      <c r="U385" s="65"/>
      <c r="V385" s="65"/>
      <c r="W385" s="51"/>
      <c r="X385" s="66" t="s">
        <v>869</v>
      </c>
    </row>
    <row r="386" hidden="1" ht="27.75" customHeight="1" s="32" customFormat="1">
      <c r="A386" s="37"/>
      <c r="B386" s="31" t="s">
        <v>32</v>
      </c>
      <c r="C386" s="59" t="s">
        <v>870</v>
      </c>
      <c r="D386" s="57" t="s">
        <v>30</v>
      </c>
      <c r="E386" s="57">
        <v>45641</v>
      </c>
      <c r="F386" s="38" t="str">
        <f>IF(C386&lt;&gt;"",VLOOKUP($C386,Carpetas!$C$5:$L$2060,2,FALSE),"")</f>
        <v>BOB012</v>
      </c>
      <c r="G386" s="38" t="s">
        <v>31</v>
      </c>
      <c r="H386" s="44">
        <f>IF(C386&lt;&gt;"",VLOOKUP($C386,Carpetas!$C$5:$L$2060,9,FALSE),"")</f>
        <v>0</v>
      </c>
      <c r="I386" s="51" t="str">
        <f>IF(C386&lt;&gt;"",VLOOKUP($C386,Carpetas!$C$5:$L$2060,5,FALSE),"")</f>
        <v>xx</v>
      </c>
      <c r="J386" s="51"/>
      <c r="K386" s="50">
        <v>45645</v>
      </c>
      <c r="L386" s="39" t="str">
        <f>VLOOKUP($C386,Carpetas!$C$5:$L$2060,4,FALSE)</f>
        <v>Salto</v>
      </c>
      <c r="M386" s="55">
        <f t="shared" si="27"/>
        <v>45646</v>
      </c>
      <c r="N386" s="53">
        <f t="shared" si="23"/>
        <v>5</v>
      </c>
      <c r="O386" s="51">
        <v>1100</v>
      </c>
      <c r="P386" s="51"/>
      <c r="Q386" s="51"/>
      <c r="R386" s="51"/>
      <c r="S386" s="51"/>
      <c r="T386" s="65"/>
      <c r="U386" s="65"/>
      <c r="V386" s="65"/>
      <c r="W386" s="51"/>
      <c r="X386" s="66" t="s">
        <v>869</v>
      </c>
    </row>
    <row r="387" hidden="1" ht="27.75" customHeight="1" s="32" customFormat="1">
      <c r="A387" s="37"/>
      <c r="B387" s="31" t="s">
        <v>32</v>
      </c>
      <c r="C387" s="59" t="s">
        <v>871</v>
      </c>
      <c r="D387" s="57" t="s">
        <v>30</v>
      </c>
      <c r="E387" s="57">
        <v>45629</v>
      </c>
      <c r="F387" s="38" t="str">
        <f>IF(C387&lt;&gt;"",VLOOKUP($C387,Carpetas!$C$5:$L$2060,2,FALSE),"")</f>
        <v>ECE066</v>
      </c>
      <c r="G387" s="38" t="s">
        <v>43</v>
      </c>
      <c r="H387" s="44">
        <f>IF(C387&lt;&gt;"",VLOOKUP($C387,Carpetas!$C$5:$L$2060,9,FALSE),"")</f>
        <v>1511063</v>
      </c>
      <c r="I387" s="51" t="str">
        <f>IF(C387&lt;&gt;"",VLOOKUP($C387,Carpetas!$C$5:$L$2060,5,FALSE),"")</f>
        <v>Andino</v>
      </c>
      <c r="J387" s="51"/>
      <c r="K387" s="50">
        <v>45645</v>
      </c>
      <c r="L387" s="39" t="str">
        <f>VLOOKUP($C387,Carpetas!$C$5:$L$2060,4,FALSE)</f>
        <v>Fray Bentos</v>
      </c>
      <c r="M387" s="55">
        <f t="shared" si="27"/>
        <v>45646</v>
      </c>
      <c r="N387" s="53">
        <f t="shared" si="23"/>
        <v>17</v>
      </c>
      <c r="O387" s="51">
        <v>4320</v>
      </c>
      <c r="P387" s="51"/>
      <c r="Q387" s="51">
        <v>4368</v>
      </c>
      <c r="R387" s="51">
        <v>20</v>
      </c>
      <c r="S387" s="51">
        <v>21</v>
      </c>
      <c r="T387" s="65"/>
      <c r="U387" s="65"/>
      <c r="V387" s="65"/>
      <c r="W387" s="51" t="s">
        <v>872</v>
      </c>
      <c r="X387" s="66" t="s">
        <v>873</v>
      </c>
    </row>
    <row r="388" hidden="1" ht="27.75" customHeight="1" s="32" customFormat="1">
      <c r="A388" s="37"/>
      <c r="B388" s="31" t="s">
        <v>32</v>
      </c>
      <c r="C388" s="59" t="s">
        <v>874</v>
      </c>
      <c r="D388" s="57" t="s">
        <v>30</v>
      </c>
      <c r="E388" s="57">
        <v>45640</v>
      </c>
      <c r="F388" s="38" t="str">
        <f>IF(C388&lt;&gt;"",VLOOKUP($C388,Carpetas!$C$5:$L$2060,2,FALSE),"")</f>
        <v>BOB013</v>
      </c>
      <c r="G388" s="38" t="s">
        <v>31</v>
      </c>
      <c r="H388" s="44">
        <f>IF(C388&lt;&gt;"",VLOOKUP($C388,Carpetas!$C$5:$L$2060,9,FALSE),"")</f>
        <v>1512833</v>
      </c>
      <c r="I388" s="51" t="str">
        <f>IF(C388&lt;&gt;"",VLOOKUP($C388,Carpetas!$C$5:$L$2060,5,FALSE),"")</f>
        <v>xx</v>
      </c>
      <c r="J388" s="51"/>
      <c r="K388" s="50">
        <f>E388+5</f>
        <v>45645</v>
      </c>
      <c r="L388" s="39" t="str">
        <f>VLOOKUP($C388,Carpetas!$C$5:$L$2060,4,FALSE)</f>
        <v>Salto</v>
      </c>
      <c r="M388" s="55">
        <f t="shared" si="27"/>
        <v>45646</v>
      </c>
      <c r="N388" s="53">
        <f t="shared" si="23"/>
        <v>6</v>
      </c>
      <c r="O388" s="51">
        <v>2228</v>
      </c>
      <c r="P388" s="51"/>
      <c r="Q388" s="51"/>
      <c r="R388" s="51"/>
      <c r="S388" s="51"/>
      <c r="T388" s="65"/>
      <c r="U388" s="65"/>
      <c r="V388" s="65"/>
      <c r="W388" s="51"/>
      <c r="X388" s="66" t="s">
        <v>875</v>
      </c>
    </row>
    <row r="389" hidden="1" ht="27.75" customHeight="1" s="32" customFormat="1">
      <c r="A389" s="37"/>
      <c r="B389" s="31" t="s">
        <v>32</v>
      </c>
      <c r="C389" s="59" t="s">
        <v>876</v>
      </c>
      <c r="D389" s="57" t="s">
        <v>30</v>
      </c>
      <c r="E389" s="57">
        <v>45621</v>
      </c>
      <c r="F389" s="38" t="str">
        <f>IF(C389&lt;&gt;"",VLOOKUP($C389,Carpetas!$C$5:$L$2060,2,FALSE),"")</f>
        <v>COB021</v>
      </c>
      <c r="G389" s="38" t="s">
        <v>267</v>
      </c>
      <c r="H389" s="44">
        <f>IF(C389&lt;&gt;"",VLOOKUP($C389,Carpetas!$C$5:$L$2060,9,FALSE),"")</f>
        <v>0</v>
      </c>
      <c r="I389" s="51" t="str">
        <f>IF(C389&lt;&gt;"",VLOOKUP($C389,Carpetas!$C$5:$L$2060,5,FALSE),"")</f>
        <v>Andino</v>
      </c>
      <c r="J389" s="51"/>
      <c r="K389" s="50">
        <v>45645</v>
      </c>
      <c r="L389" s="39" t="str">
        <f>VLOOKUP($C389,Carpetas!$C$5:$L$2060,4,FALSE)</f>
        <v>Fray Bentos</v>
      </c>
      <c r="M389" s="55">
        <f t="shared" si="27"/>
        <v>45646</v>
      </c>
      <c r="N389" s="53">
        <f t="shared" si="23"/>
        <v>25</v>
      </c>
      <c r="O389" s="51">
        <v>1080</v>
      </c>
      <c r="P389" s="51"/>
      <c r="Q389" s="51"/>
      <c r="R389" s="51"/>
      <c r="S389" s="51"/>
      <c r="T389" s="65"/>
      <c r="U389" s="65"/>
      <c r="V389" s="65"/>
      <c r="W389" s="51"/>
      <c r="X389" s="66"/>
    </row>
    <row r="390" hidden="1" ht="27.75" customHeight="1" s="32" customFormat="1">
      <c r="A390" s="37"/>
      <c r="B390" s="31" t="s">
        <v>32</v>
      </c>
      <c r="C390" s="59" t="s">
        <v>877</v>
      </c>
      <c r="D390" s="57" t="s">
        <v>30</v>
      </c>
      <c r="E390" s="57">
        <v>45629</v>
      </c>
      <c r="F390" s="38" t="str">
        <f>IF(C390&lt;&gt;"",VLOOKUP($C390,Carpetas!$C$5:$L$2060,2,FALSE),"")</f>
        <v>ECE067</v>
      </c>
      <c r="G390" s="38" t="s">
        <v>43</v>
      </c>
      <c r="H390" s="44">
        <f>IF(C390&lt;&gt;"",VLOOKUP($C390,Carpetas!$C$5:$L$2060,9,FALSE),"")</f>
        <v>1511064</v>
      </c>
      <c r="I390" s="51" t="str">
        <f>IF(C390&lt;&gt;"",VLOOKUP($C390,Carpetas!$C$5:$L$2060,5,FALSE),"")</f>
        <v>Andino</v>
      </c>
      <c r="J390" s="51"/>
      <c r="K390" s="50">
        <v>45645</v>
      </c>
      <c r="L390" s="39" t="str">
        <f>VLOOKUP($C390,Carpetas!$C$5:$L$2060,4,FALSE)</f>
        <v>Fray Bentos</v>
      </c>
      <c r="M390" s="55">
        <f t="shared" si="27"/>
        <v>45646</v>
      </c>
      <c r="N390" s="53">
        <f ref="N390:N403" t="shared" si="28">IF(M390&lt;&gt;"",M390-E390,"-")</f>
        <v>17</v>
      </c>
      <c r="O390" s="51">
        <v>1128</v>
      </c>
      <c r="P390" s="51"/>
      <c r="Q390" s="51"/>
      <c r="R390" s="51"/>
      <c r="S390" s="51"/>
      <c r="T390" s="65"/>
      <c r="U390" s="65"/>
      <c r="V390" s="65"/>
      <c r="W390" s="51"/>
      <c r="X390" s="66"/>
    </row>
    <row r="391" hidden="1" ht="27.75" customHeight="1" s="32" customFormat="1">
      <c r="A391" s="37"/>
      <c r="B391" s="31" t="s">
        <v>32</v>
      </c>
      <c r="C391" s="59" t="s">
        <v>876</v>
      </c>
      <c r="D391" s="57" t="s">
        <v>30</v>
      </c>
      <c r="E391" s="57">
        <v>45621</v>
      </c>
      <c r="F391" s="38" t="str">
        <f>IF(C391&lt;&gt;"",VLOOKUP($C391,Carpetas!$C$5:$L$2060,2,FALSE),"")</f>
        <v>COB021</v>
      </c>
      <c r="G391" s="38" t="s">
        <v>267</v>
      </c>
      <c r="H391" s="44">
        <f>IF(C391&lt;&gt;"",VLOOKUP($C391,Carpetas!$C$5:$L$2060,9,FALSE),"")</f>
        <v>0</v>
      </c>
      <c r="I391" s="51" t="str">
        <f>IF(C391&lt;&gt;"",VLOOKUP($C391,Carpetas!$C$5:$L$2060,5,FALSE),"")</f>
        <v>Andino</v>
      </c>
      <c r="J391" s="51"/>
      <c r="K391" s="50">
        <v>45646</v>
      </c>
      <c r="L391" s="39" t="str">
        <f>VLOOKUP($C391,Carpetas!$C$5:$L$2060,4,FALSE)</f>
        <v>Fray Bentos</v>
      </c>
      <c r="M391" s="55">
        <f t="shared" si="27"/>
        <v>45647</v>
      </c>
      <c r="N391" s="53">
        <f t="shared" si="28"/>
        <v>26</v>
      </c>
      <c r="O391" s="51">
        <v>1080</v>
      </c>
      <c r="P391" s="51"/>
      <c r="Q391" s="51">
        <v>1080</v>
      </c>
      <c r="R391" s="51">
        <v>20</v>
      </c>
      <c r="S391" s="51">
        <v>21</v>
      </c>
      <c r="T391" s="65"/>
      <c r="U391" s="65"/>
      <c r="V391" s="65" t="s">
        <v>878</v>
      </c>
      <c r="W391" s="51" t="s">
        <v>112</v>
      </c>
      <c r="X391" s="66" t="s">
        <v>879</v>
      </c>
    </row>
    <row r="392" hidden="1" ht="27.75" customHeight="1" s="32" customFormat="1">
      <c r="A392" s="37"/>
      <c r="B392" s="31" t="s">
        <v>32</v>
      </c>
      <c r="C392" s="59" t="s">
        <v>880</v>
      </c>
      <c r="D392" s="57" t="s">
        <v>30</v>
      </c>
      <c r="E392" s="57">
        <v>45629</v>
      </c>
      <c r="F392" s="38" t="str">
        <f>IF(C392&lt;&gt;"",VLOOKUP($C392,Carpetas!$C$5:$L$2060,2,FALSE),"")</f>
        <v>ECB068</v>
      </c>
      <c r="G392" s="38" t="s">
        <v>43</v>
      </c>
      <c r="H392" s="44">
        <f>IF(C392&lt;&gt;"",VLOOKUP($C392,Carpetas!$C$5:$L$2060,9,FALSE),"")</f>
        <v>1511071</v>
      </c>
      <c r="I392" s="51" t="str">
        <f>IF(C392&lt;&gt;"",VLOOKUP($C392,Carpetas!$C$5:$L$2060,5,FALSE),"")</f>
        <v>Andino</v>
      </c>
      <c r="J392" s="51"/>
      <c r="K392" s="50">
        <v>45646</v>
      </c>
      <c r="L392" s="39" t="str">
        <f>VLOOKUP($C392,Carpetas!$C$5:$L$2060,4,FALSE)</f>
        <v>Fray Bentos</v>
      </c>
      <c r="M392" s="55">
        <f t="shared" si="27"/>
        <v>45647</v>
      </c>
      <c r="N392" s="53">
        <f t="shared" si="28"/>
        <v>18</v>
      </c>
      <c r="O392" s="51">
        <v>2160</v>
      </c>
      <c r="P392" s="51"/>
      <c r="Q392" s="51">
        <v>2160</v>
      </c>
      <c r="R392" s="51">
        <v>20</v>
      </c>
      <c r="S392" s="51">
        <v>21</v>
      </c>
      <c r="T392" s="65"/>
      <c r="U392" s="65"/>
      <c r="V392" s="65" t="s">
        <v>55</v>
      </c>
      <c r="W392" s="51" t="s">
        <v>881</v>
      </c>
      <c r="X392" s="66">
        <v>1</v>
      </c>
    </row>
    <row r="393" hidden="1" ht="27.75" customHeight="1" s="32" customFormat="1">
      <c r="A393" s="37"/>
      <c r="B393" s="31" t="s">
        <v>32</v>
      </c>
      <c r="C393" s="59" t="s">
        <v>882</v>
      </c>
      <c r="D393" s="57" t="s">
        <v>432</v>
      </c>
      <c r="E393" s="57">
        <v>45588</v>
      </c>
      <c r="F393" s="38" t="str">
        <f>IF(C393&lt;&gt;"",VLOOKUP($C393,Carpetas!$C$5:$L$2060,2,FALSE),"")</f>
        <v>GRK002</v>
      </c>
      <c r="G393" s="38" t="s">
        <v>833</v>
      </c>
      <c r="H393" s="44">
        <f>IF(C393&lt;&gt;"",VLOOKUP($C393,Carpetas!$C$5:$L$2060,9,FALSE),"")</f>
        <v>0</v>
      </c>
      <c r="I393" s="51" t="str">
        <f>IF(C393&lt;&gt;"",VLOOKUP($C393,Carpetas!$C$5:$L$2060,5,FALSE),"")</f>
        <v>Ciatran</v>
      </c>
      <c r="J393" s="51"/>
      <c r="K393" s="50">
        <v>45648</v>
      </c>
      <c r="L393" s="39" t="str">
        <f>VLOOKUP($C393,Carpetas!$C$5:$L$2060,4,FALSE)</f>
        <v>Montevideo</v>
      </c>
      <c r="M393" s="55">
        <f t="shared" si="27"/>
        <v>45649</v>
      </c>
      <c r="N393" s="53">
        <f t="shared" si="28"/>
        <v>61</v>
      </c>
      <c r="O393" s="51">
        <v>2130</v>
      </c>
      <c r="P393" s="51"/>
      <c r="Q393" s="51">
        <v>2130</v>
      </c>
      <c r="R393" s="51">
        <v>21</v>
      </c>
      <c r="S393" s="51">
        <v>10</v>
      </c>
      <c r="T393" s="65"/>
      <c r="U393" s="65"/>
      <c r="V393" s="65"/>
      <c r="W393" s="51" t="s">
        <v>883</v>
      </c>
      <c r="X393" s="66" t="s">
        <v>884</v>
      </c>
    </row>
    <row r="394" hidden="1" ht="27.75" customHeight="1" s="32" customFormat="1">
      <c r="A394" s="37"/>
      <c r="B394" s="31" t="s">
        <v>32</v>
      </c>
      <c r="C394" s="59" t="s">
        <v>885</v>
      </c>
      <c r="D394" s="57" t="s">
        <v>37</v>
      </c>
      <c r="E394" s="57">
        <v>45588</v>
      </c>
      <c r="F394" s="38" t="str">
        <f>IF(C394&lt;&gt;"",VLOOKUP($C394,Carpetas!$C$5:$L$2060,2,FALSE),"")</f>
        <v>GRK001</v>
      </c>
      <c r="G394" s="38" t="s">
        <v>833</v>
      </c>
      <c r="H394" s="44">
        <f>IF(C394&lt;&gt;"",VLOOKUP($C394,Carpetas!$C$5:$L$2060,9,FALSE),"")</f>
        <v>0</v>
      </c>
      <c r="I394" s="51" t="str">
        <f>IF(C394&lt;&gt;"",VLOOKUP($C394,Carpetas!$C$5:$L$2060,5,FALSE),"")</f>
        <v>Ciatran</v>
      </c>
      <c r="J394" s="51"/>
      <c r="K394" s="50">
        <v>45648</v>
      </c>
      <c r="L394" s="39" t="str">
        <f>VLOOKUP($C394,Carpetas!$C$5:$L$2060,4,FALSE)</f>
        <v>Montevideo</v>
      </c>
      <c r="M394" s="55">
        <v>45650</v>
      </c>
      <c r="N394" s="53">
        <f t="shared" si="28"/>
        <v>62</v>
      </c>
      <c r="O394" s="51">
        <v>2310</v>
      </c>
      <c r="P394" s="51"/>
      <c r="Q394" s="51">
        <v>2310</v>
      </c>
      <c r="R394" s="51">
        <v>21</v>
      </c>
      <c r="S394" s="51">
        <v>10</v>
      </c>
      <c r="T394" s="65"/>
      <c r="U394" s="65"/>
      <c r="V394" s="65"/>
      <c r="W394" s="51"/>
      <c r="X394" s="66" t="s">
        <v>886</v>
      </c>
    </row>
    <row r="395" hidden="1" ht="27.75" customHeight="1" s="32" customFormat="1">
      <c r="A395" s="37"/>
      <c r="B395" s="31" t="s">
        <v>32</v>
      </c>
      <c r="C395" s="59" t="s">
        <v>887</v>
      </c>
      <c r="D395" s="57" t="s">
        <v>48</v>
      </c>
      <c r="E395" s="57">
        <v>45644</v>
      </c>
      <c r="F395" s="38" t="str">
        <f>IF(C395&lt;&gt;"",VLOOKUP($C395,Carpetas!$C$5:$L$2060,2,FALSE),"")</f>
        <v>CLP022</v>
      </c>
      <c r="G395" s="38" t="s">
        <v>35</v>
      </c>
      <c r="H395" s="44">
        <f>IF(C395&lt;&gt;"",VLOOKUP($C395,Carpetas!$C$5:$L$2060,9,FALSE),"")</f>
        <v>0</v>
      </c>
      <c r="I395" s="51" t="str">
        <f>IF(C395&lt;&gt;"",VLOOKUP($C395,Carpetas!$C$5:$L$2060,5,FALSE),"")</f>
        <v>Nihuil</v>
      </c>
      <c r="J395" s="51"/>
      <c r="K395" s="50">
        <v>45650</v>
      </c>
      <c r="L395" s="39" t="str">
        <f>VLOOKUP($C395,Carpetas!$C$5:$L$2060,4,FALSE)</f>
        <v>Fray Bentos</v>
      </c>
      <c r="M395" s="55">
        <f ref="M395:M401" t="shared" si="29">K395+1</f>
        <v>45651</v>
      </c>
      <c r="N395" s="53">
        <f t="shared" si="28"/>
        <v>7</v>
      </c>
      <c r="O395" s="51">
        <v>1936</v>
      </c>
      <c r="P395" s="51"/>
      <c r="Q395" s="51">
        <v>1936</v>
      </c>
      <c r="R395" s="51">
        <v>22</v>
      </c>
      <c r="S395" s="51">
        <v>11</v>
      </c>
      <c r="T395" s="65"/>
      <c r="U395" s="65"/>
      <c r="V395" s="65" t="s">
        <v>93</v>
      </c>
      <c r="W395" s="51" t="s">
        <v>888</v>
      </c>
      <c r="X395" s="66" t="s">
        <v>889</v>
      </c>
    </row>
    <row r="396" hidden="1" ht="27.75" customHeight="1" s="32" customFormat="1">
      <c r="A396" s="37"/>
      <c r="B396" s="31" t="s">
        <v>32</v>
      </c>
      <c r="C396" s="59" t="s">
        <v>890</v>
      </c>
      <c r="D396" s="57" t="s">
        <v>30</v>
      </c>
      <c r="E396" s="57">
        <v>45646</v>
      </c>
      <c r="F396" s="38" t="str">
        <f>IF(C396&lt;&gt;"",VLOOKUP($C396,Carpetas!$C$5:$L$2060,2,FALSE),"")</f>
        <v>BOB014</v>
      </c>
      <c r="G396" s="38" t="s">
        <v>31</v>
      </c>
      <c r="H396" s="44">
        <f>IF(C396&lt;&gt;"",VLOOKUP($C396,Carpetas!$C$5:$L$2060,9,FALSE),"")</f>
        <v>1513130</v>
      </c>
      <c r="I396" s="51" t="str">
        <f>IF(C396&lt;&gt;"",VLOOKUP($C396,Carpetas!$C$5:$L$2060,5,FALSE),"")</f>
        <v>Sur Central</v>
      </c>
      <c r="J396" s="51"/>
      <c r="K396" s="50">
        <v>45652</v>
      </c>
      <c r="L396" s="39" t="str">
        <f>VLOOKUP($C396,Carpetas!$C$5:$L$2060,4,FALSE)</f>
        <v>Salto</v>
      </c>
      <c r="M396" s="55">
        <f t="shared" si="29"/>
        <v>45653</v>
      </c>
      <c r="N396" s="53">
        <f t="shared" si="28"/>
        <v>7</v>
      </c>
      <c r="O396" s="51">
        <v>1100</v>
      </c>
      <c r="P396" s="51"/>
      <c r="Q396" s="51">
        <v>1098</v>
      </c>
      <c r="R396" s="51">
        <v>23</v>
      </c>
      <c r="S396" s="51">
        <v>20</v>
      </c>
      <c r="T396" s="65"/>
      <c r="U396" s="65"/>
      <c r="V396" s="65" t="s">
        <v>891</v>
      </c>
      <c r="W396" s="51" t="s">
        <v>892</v>
      </c>
      <c r="X396" s="66" t="s">
        <v>893</v>
      </c>
    </row>
    <row r="397" hidden="1" ht="27.75" customHeight="1" s="32" customFormat="1">
      <c r="A397" s="37"/>
      <c r="B397" s="31" t="s">
        <v>32</v>
      </c>
      <c r="C397" s="59" t="s">
        <v>894</v>
      </c>
      <c r="D397" s="57" t="s">
        <v>30</v>
      </c>
      <c r="E397" s="57">
        <v>45647</v>
      </c>
      <c r="F397" s="38" t="str">
        <f>IF(C397&lt;&gt;"",VLOOKUP($C397,Carpetas!$C$5:$L$2060,2,FALSE),"")</f>
        <v>BOB015</v>
      </c>
      <c r="G397" s="38" t="s">
        <v>31</v>
      </c>
      <c r="H397" s="44">
        <f>IF(C397&lt;&gt;"",VLOOKUP($C397,Carpetas!$C$5:$L$2060,9,FALSE),"")</f>
        <v>1513131</v>
      </c>
      <c r="I397" s="51" t="str">
        <f>IF(C397&lt;&gt;"",VLOOKUP($C397,Carpetas!$C$5:$L$2060,5,FALSE),"")</f>
        <v>Sur Central</v>
      </c>
      <c r="J397" s="51"/>
      <c r="K397" s="50">
        <v>45652</v>
      </c>
      <c r="L397" s="39" t="str">
        <f>VLOOKUP($C397,Carpetas!$C$5:$L$2060,4,FALSE)</f>
        <v>Salto</v>
      </c>
      <c r="M397" s="55">
        <f t="shared" si="29"/>
        <v>45653</v>
      </c>
      <c r="N397" s="53">
        <f t="shared" si="28"/>
        <v>6</v>
      </c>
      <c r="O397" s="51">
        <v>1100</v>
      </c>
      <c r="P397" s="51"/>
      <c r="Q397" s="51">
        <v>1099</v>
      </c>
      <c r="R397" s="51">
        <v>23</v>
      </c>
      <c r="S397" s="51">
        <v>20</v>
      </c>
      <c r="T397" s="65"/>
      <c r="U397" s="65"/>
      <c r="V397" s="65" t="s">
        <v>895</v>
      </c>
      <c r="W397" s="51" t="s">
        <v>896</v>
      </c>
      <c r="X397" s="66" t="s">
        <v>897</v>
      </c>
    </row>
    <row r="398" hidden="1" ht="27.75" customHeight="1" s="32" customFormat="1">
      <c r="A398" s="37"/>
      <c r="B398" s="31" t="s">
        <v>32</v>
      </c>
      <c r="C398" s="59" t="s">
        <v>898</v>
      </c>
      <c r="D398" s="57" t="s">
        <v>30</v>
      </c>
      <c r="E398" s="57">
        <v>45649</v>
      </c>
      <c r="F398" s="38" t="str">
        <f>IF(C398&lt;&gt;"",VLOOKUP($C398,Carpetas!$C$5:$L$2060,2,FALSE),"")</f>
        <v>BOB016</v>
      </c>
      <c r="G398" s="38" t="s">
        <v>31</v>
      </c>
      <c r="H398" s="44">
        <f>IF(C398&lt;&gt;"",VLOOKUP($C398,Carpetas!$C$5:$L$2060,9,FALSE),"")</f>
        <v>1513131</v>
      </c>
      <c r="I398" s="51" t="str">
        <f>IF(C398&lt;&gt;"",VLOOKUP($C398,Carpetas!$C$5:$L$2060,5,FALSE),"")</f>
        <v>Chapare</v>
      </c>
      <c r="J398" s="51"/>
      <c r="K398" s="50">
        <v>45652</v>
      </c>
      <c r="L398" s="39" t="str">
        <f>VLOOKUP($C398,Carpetas!$C$5:$L$2060,4,FALSE)</f>
        <v>Salto</v>
      </c>
      <c r="M398" s="55">
        <f t="shared" si="29"/>
        <v>45653</v>
      </c>
      <c r="N398" s="53">
        <f t="shared" si="28"/>
        <v>4</v>
      </c>
      <c r="O398" s="51">
        <v>2208</v>
      </c>
      <c r="P398" s="51"/>
      <c r="Q398" s="51">
        <v>2206</v>
      </c>
      <c r="R398" s="51">
        <v>46</v>
      </c>
      <c r="S398" s="51">
        <v>20</v>
      </c>
      <c r="T398" s="65"/>
      <c r="U398" s="65"/>
      <c r="V398" s="65" t="s">
        <v>605</v>
      </c>
      <c r="W398" s="51" t="s">
        <v>899</v>
      </c>
      <c r="X398" s="66" t="s">
        <v>900</v>
      </c>
    </row>
    <row r="399" hidden="1" ht="27.75" customHeight="1" s="32" customFormat="1">
      <c r="A399" s="37"/>
      <c r="B399" s="31" t="s">
        <v>32</v>
      </c>
      <c r="C399" s="59" t="s">
        <v>901</v>
      </c>
      <c r="D399" s="57" t="s">
        <v>30</v>
      </c>
      <c r="E399" s="57">
        <v>45628</v>
      </c>
      <c r="F399" s="38" t="str">
        <f>IF(C399&lt;&gt;"",VLOOKUP($C399,Carpetas!$C$5:$L$2060,2,FALSE),"")</f>
        <v>COB022</v>
      </c>
      <c r="G399" s="38" t="s">
        <v>267</v>
      </c>
      <c r="H399" s="44">
        <f>IF(C399&lt;&gt;"",VLOOKUP($C399,Carpetas!$C$5:$L$2060,9,FALSE),"")</f>
        <v>0</v>
      </c>
      <c r="I399" s="51" t="str">
        <f>IF(C399&lt;&gt;"",VLOOKUP($C399,Carpetas!$C$5:$L$2060,5,FALSE),"")</f>
        <v>Andino</v>
      </c>
      <c r="J399" s="51"/>
      <c r="K399" s="50">
        <v>45653</v>
      </c>
      <c r="L399" s="39" t="str">
        <f>VLOOKUP($C399,Carpetas!$C$5:$L$2060,4,FALSE)</f>
        <v>Fray Bentos</v>
      </c>
      <c r="M399" s="55">
        <f t="shared" si="29"/>
        <v>45654</v>
      </c>
      <c r="N399" s="53">
        <f t="shared" si="28"/>
        <v>26</v>
      </c>
      <c r="O399" s="51">
        <v>2160</v>
      </c>
      <c r="P399" s="51"/>
      <c r="Q399" s="51">
        <v>1080</v>
      </c>
      <c r="R399" s="51">
        <v>20</v>
      </c>
      <c r="S399" s="51">
        <v>19.5</v>
      </c>
      <c r="T399" s="65"/>
      <c r="U399" s="65"/>
      <c r="V399" s="65" t="s">
        <v>902</v>
      </c>
      <c r="W399" s="51"/>
      <c r="X399" s="66"/>
    </row>
    <row r="400" hidden="1" ht="27.75" customHeight="1" s="32" customFormat="1">
      <c r="A400" s="37"/>
      <c r="B400" s="31" t="s">
        <v>32</v>
      </c>
      <c r="C400" s="59" t="s">
        <v>903</v>
      </c>
      <c r="D400" s="57" t="s">
        <v>30</v>
      </c>
      <c r="E400" s="57">
        <v>45652</v>
      </c>
      <c r="F400" s="38" t="str">
        <f>IF(C400&lt;&gt;"",VLOOKUP($C400,Carpetas!$C$5:$L$2060,2,FALSE),"")</f>
        <v>BOB017</v>
      </c>
      <c r="G400" s="38" t="s">
        <v>31</v>
      </c>
      <c r="H400" s="44">
        <f>IF(C400&lt;&gt;"",VLOOKUP($C400,Carpetas!$C$5:$L$2060,9,FALSE),"")</f>
        <v>0</v>
      </c>
      <c r="I400" s="51" t="str">
        <f>IF(C400&lt;&gt;"",VLOOKUP($C400,Carpetas!$C$5:$L$2060,5,FALSE),"")</f>
        <v>Chapare</v>
      </c>
      <c r="J400" s="51"/>
      <c r="K400" s="50">
        <v>45656</v>
      </c>
      <c r="L400" s="39" t="str">
        <f>VLOOKUP($C400,Carpetas!$C$5:$L$2060,4,FALSE)</f>
        <v>Salto</v>
      </c>
      <c r="M400" s="55">
        <f t="shared" si="29"/>
        <v>45657</v>
      </c>
      <c r="N400" s="53">
        <f t="shared" si="28"/>
        <v>5</v>
      </c>
      <c r="O400" s="51">
        <v>2208</v>
      </c>
      <c r="P400" s="51"/>
      <c r="Q400" s="51">
        <v>2208</v>
      </c>
      <c r="R400" s="51">
        <v>46</v>
      </c>
      <c r="S400" s="51">
        <v>21</v>
      </c>
      <c r="T400" s="65"/>
      <c r="U400" s="65"/>
      <c r="V400" s="65" t="s">
        <v>904</v>
      </c>
      <c r="W400" s="51" t="s">
        <v>905</v>
      </c>
      <c r="X400" s="66" t="s">
        <v>906</v>
      </c>
    </row>
    <row r="401" hidden="1" ht="27.75" customHeight="1" s="32" customFormat="1">
      <c r="A401" s="37"/>
      <c r="B401" s="31" t="s">
        <v>32</v>
      </c>
      <c r="C401" s="59" t="s">
        <v>907</v>
      </c>
      <c r="D401" s="57" t="s">
        <v>48</v>
      </c>
      <c r="E401" s="57">
        <v>45652</v>
      </c>
      <c r="F401" s="38" t="str">
        <f>IF(C401&lt;&gt;"",VLOOKUP($C401,Carpetas!$C$5:$L$2060,2,FALSE),"")</f>
        <v>CLP023</v>
      </c>
      <c r="G401" s="38" t="s">
        <v>35</v>
      </c>
      <c r="H401" s="44">
        <f>IF(C401&lt;&gt;"",VLOOKUP($C401,Carpetas!$C$5:$L$2060,9,FALSE),"")</f>
        <v>0</v>
      </c>
      <c r="I401" s="51" t="str">
        <f>IF(C401&lt;&gt;"",VLOOKUP($C401,Carpetas!$C$5:$L$2060,5,FALSE),"")</f>
        <v>Sarla y Ramón</v>
      </c>
      <c r="J401" s="51"/>
      <c r="K401" s="50">
        <v>45656</v>
      </c>
      <c r="L401" s="39" t="str">
        <f>VLOOKUP($C401,Carpetas!$C$5:$L$2060,4,FALSE)</f>
        <v>Fray Bentos</v>
      </c>
      <c r="M401" s="55">
        <f t="shared" si="29"/>
        <v>45657</v>
      </c>
      <c r="N401" s="53">
        <f t="shared" si="28"/>
        <v>5</v>
      </c>
      <c r="O401" s="51">
        <v>2024</v>
      </c>
      <c r="P401" s="51"/>
      <c r="Q401" s="51">
        <v>2024</v>
      </c>
      <c r="R401" s="51">
        <v>23</v>
      </c>
      <c r="S401" s="51" t="s">
        <v>908</v>
      </c>
      <c r="T401" s="65"/>
      <c r="U401" s="65"/>
      <c r="V401" s="65" t="s">
        <v>785</v>
      </c>
      <c r="W401" s="51" t="s">
        <v>909</v>
      </c>
      <c r="X401" s="66" t="s">
        <v>910</v>
      </c>
    </row>
    <row r="402" hidden="1" ht="27.75" customHeight="1" s="32" customFormat="1">
      <c r="A402" s="37"/>
      <c r="B402" s="31" t="s">
        <v>32</v>
      </c>
      <c r="C402" s="59" t="s">
        <v>911</v>
      </c>
      <c r="D402" s="57" t="s">
        <v>765</v>
      </c>
      <c r="E402" s="57">
        <v>45626</v>
      </c>
      <c r="F402" s="38" t="str">
        <f>IF(C402&lt;&gt;"",VLOOKUP($C402,Carpetas!$C$5:$L$2060,2,FALSE),"")</f>
        <v>EGL001</v>
      </c>
      <c r="G402" s="38" t="s">
        <v>35</v>
      </c>
      <c r="H402" s="44">
        <f>IF(C402&lt;&gt;"",VLOOKUP($C402,Carpetas!$C$5:$L$2060,9,FALSE),"")</f>
        <v>0</v>
      </c>
      <c r="I402" s="51" t="str">
        <f>IF(C402&lt;&gt;"",VLOOKUP($C402,Carpetas!$C$5:$L$2060,5,FALSE),"")</f>
        <v>Ciatran</v>
      </c>
      <c r="J402" s="51"/>
      <c r="K402" s="50">
        <v>45656</v>
      </c>
      <c r="L402" s="39" t="str">
        <f>VLOOKUP($C402,Carpetas!$C$5:$L$2060,4,FALSE)</f>
        <v>Montevideo</v>
      </c>
      <c r="M402" s="55">
        <v>45660</v>
      </c>
      <c r="N402" s="53">
        <f t="shared" si="28"/>
        <v>34</v>
      </c>
      <c r="O402" s="51">
        <v>1664</v>
      </c>
      <c r="P402" s="51"/>
      <c r="Q402" s="51">
        <v>1664</v>
      </c>
      <c r="R402" s="51">
        <v>21</v>
      </c>
      <c r="S402" s="51">
        <v>15</v>
      </c>
      <c r="T402" s="65"/>
      <c r="U402" s="65" t="s">
        <v>912</v>
      </c>
      <c r="V402" s="65" t="s">
        <v>93</v>
      </c>
      <c r="W402" s="51"/>
      <c r="X402" s="66" t="s">
        <v>913</v>
      </c>
    </row>
    <row r="403" hidden="1" ht="27.75" customHeight="1" s="32" customFormat="1">
      <c r="A403" s="37"/>
      <c r="B403" s="31" t="s">
        <v>32</v>
      </c>
      <c r="C403" s="59" t="s">
        <v>914</v>
      </c>
      <c r="D403" s="57" t="s">
        <v>30</v>
      </c>
      <c r="E403" s="57">
        <v>45654</v>
      </c>
      <c r="F403" s="38" t="str">
        <f>IF(C403&lt;&gt;"",VLOOKUP($C403,Carpetas!$C$5:$L$2060,2,FALSE),"")</f>
        <v>BOB018</v>
      </c>
      <c r="G403" s="38" t="s">
        <v>31</v>
      </c>
      <c r="H403" s="44">
        <f>IF(C403&lt;&gt;"",VLOOKUP($C403,Carpetas!$C$5:$L$2060,9,FALSE),"")</f>
        <v>0</v>
      </c>
      <c r="I403" s="51" t="str">
        <f>IF(C403&lt;&gt;"",VLOOKUP($C403,Carpetas!$C$5:$L$2060,5,FALSE),"")</f>
        <v>Sur Central</v>
      </c>
      <c r="J403" s="51"/>
      <c r="K403" s="50">
        <v>45659</v>
      </c>
      <c r="L403" s="39" t="str">
        <f>VLOOKUP($C403,Carpetas!$C$5:$L$2060,4,FALSE)</f>
        <v>Salto</v>
      </c>
      <c r="M403" s="55">
        <f>K403+1</f>
        <v>45660</v>
      </c>
      <c r="N403" s="53">
        <f t="shared" si="28"/>
        <v>6</v>
      </c>
      <c r="O403" s="51">
        <v>1000</v>
      </c>
      <c r="P403" s="51"/>
      <c r="Q403" s="51">
        <v>1100</v>
      </c>
      <c r="R403" s="51">
        <v>23</v>
      </c>
      <c r="S403" s="51">
        <v>20.5</v>
      </c>
      <c r="T403" s="65"/>
      <c r="U403" s="65" t="s">
        <v>826</v>
      </c>
      <c r="V403" s="65" t="s">
        <v>915</v>
      </c>
      <c r="W403" s="51"/>
      <c r="X403" s="66" t="s">
        <v>916</v>
      </c>
    </row>
    <row r="404" hidden="1" ht="27.75" customHeight="1" s="32" customFormat="1">
      <c r="A404" s="37"/>
      <c r="B404" s="31" t="s">
        <v>32</v>
      </c>
      <c r="C404" s="59" t="s">
        <v>917</v>
      </c>
      <c r="D404" s="57" t="s">
        <v>30</v>
      </c>
      <c r="E404" s="57">
        <v>45643</v>
      </c>
      <c r="F404" s="38" t="str">
        <f>IF(C404&lt;&gt;"",VLOOKUP($C404,Carpetas!$C$5:$L$2060,2,FALSE),"")</f>
        <v>ECE068</v>
      </c>
      <c r="G404" s="38" t="s">
        <v>43</v>
      </c>
      <c r="H404" s="44">
        <f>IF(C404&lt;&gt;"",VLOOKUP($C404,Carpetas!$C$5:$L$2060,9,FALSE),"")</f>
        <v>1511872</v>
      </c>
      <c r="I404" s="51" t="str">
        <f>IF(C404&lt;&gt;"",VLOOKUP($C404,Carpetas!$C$5:$L$2060,5,FALSE),"")</f>
        <v>Andino</v>
      </c>
      <c r="J404" s="51"/>
      <c r="K404" s="50">
        <v>45660</v>
      </c>
      <c r="L404" s="39" t="str">
        <f>VLOOKUP($C404,Carpetas!$C$5:$L$2060,4,FALSE)</f>
        <v>Fray Bentos</v>
      </c>
      <c r="M404" s="55">
        <f>K404+1</f>
        <v>45661</v>
      </c>
      <c r="N404" s="53">
        <v>6</v>
      </c>
      <c r="O404" s="51">
        <v>1080</v>
      </c>
      <c r="P404" s="51"/>
      <c r="Q404" s="51">
        <v>108</v>
      </c>
      <c r="R404" s="51">
        <v>20</v>
      </c>
      <c r="S404" s="51">
        <v>21</v>
      </c>
      <c r="T404" s="65"/>
      <c r="U404" s="65"/>
      <c r="V404" s="65" t="s">
        <v>918</v>
      </c>
      <c r="W404" s="51" t="s">
        <v>140</v>
      </c>
      <c r="X404" s="66" t="s">
        <v>919</v>
      </c>
    </row>
    <row r="405" hidden="1" ht="27.75" customHeight="1" s="32" customFormat="1">
      <c r="A405" s="37"/>
      <c r="B405" s="31" t="s">
        <v>32</v>
      </c>
      <c r="C405" s="59" t="s">
        <v>920</v>
      </c>
      <c r="D405" s="57" t="s">
        <v>42</v>
      </c>
      <c r="E405" s="57">
        <v>45643</v>
      </c>
      <c r="F405" s="38" t="str">
        <f>IF(C405&lt;&gt;"",VLOOKUP($C405,Carpetas!$C$5:$L$2060,2,FALSE),"")</f>
        <v>ECA029</v>
      </c>
      <c r="G405" s="38" t="s">
        <v>43</v>
      </c>
      <c r="H405" s="44">
        <f>IF(C405&lt;&gt;"",VLOOKUP($C405,Carpetas!$C$5:$L$2060,9,FALSE),"")</f>
        <v>1511896</v>
      </c>
      <c r="I405" s="51" t="str">
        <f>IF(C405&lt;&gt;"",VLOOKUP($C405,Carpetas!$C$5:$L$2060,5,FALSE),"")</f>
        <v>Andino</v>
      </c>
      <c r="J405" s="51"/>
      <c r="K405" s="50">
        <v>45660</v>
      </c>
      <c r="L405" s="39" t="str">
        <f>VLOOKUP($C405,Carpetas!$C$5:$L$2060,4,FALSE)</f>
        <v>Fray Bentos</v>
      </c>
      <c r="M405" s="55">
        <f>K405+1</f>
        <v>45661</v>
      </c>
      <c r="N405" s="53">
        <v>6</v>
      </c>
      <c r="O405" s="51">
        <v>1680</v>
      </c>
      <c r="P405" s="51"/>
      <c r="Q405" s="51">
        <v>1680</v>
      </c>
      <c r="R405" s="51">
        <v>21</v>
      </c>
      <c r="S405" s="51">
        <v>12</v>
      </c>
      <c r="T405" s="65"/>
      <c r="U405" s="117" t="s">
        <v>921</v>
      </c>
      <c r="V405" s="65" t="s">
        <v>93</v>
      </c>
      <c r="W405" s="51"/>
      <c r="X405" s="66" t="s">
        <v>922</v>
      </c>
    </row>
    <row r="406" hidden="1" ht="27.75" customHeight="1" s="32" customFormat="1">
      <c r="A406" s="37"/>
      <c r="B406" s="31" t="s">
        <v>32</v>
      </c>
      <c r="C406" s="59" t="s">
        <v>923</v>
      </c>
      <c r="D406" s="57" t="s">
        <v>30</v>
      </c>
      <c r="E406" s="57">
        <v>45635</v>
      </c>
      <c r="F406" s="38" t="str">
        <f>IF(C406&lt;&gt;"",VLOOKUP($C406,Carpetas!$C$5:$L$2060,2,FALSE),"")</f>
        <v>COB023</v>
      </c>
      <c r="G406" s="38" t="s">
        <v>267</v>
      </c>
      <c r="H406" s="44">
        <f>IF(C406&lt;&gt;"",VLOOKUP($C406,Carpetas!$C$5:$L$2060,9,FALSE),"")</f>
        <v>0</v>
      </c>
      <c r="I406" s="51" t="str">
        <f>IF(C406&lt;&gt;"",VLOOKUP($C406,Carpetas!$C$5:$L$2060,5,FALSE),"")</f>
        <v>Andino</v>
      </c>
      <c r="J406" s="51"/>
      <c r="K406" s="50">
        <v>45660</v>
      </c>
      <c r="L406" s="39" t="str">
        <f>VLOOKUP($C406,Carpetas!$C$5:$L$2060,4,FALSE)</f>
        <v>Fray Bentos</v>
      </c>
      <c r="M406" s="55">
        <f>K406+1</f>
        <v>45661</v>
      </c>
      <c r="N406" s="53">
        <f>IF(M406&lt;&gt;"",M406-E406,"-")</f>
        <v>26</v>
      </c>
      <c r="O406" s="51">
        <v>2160</v>
      </c>
      <c r="P406" s="51"/>
      <c r="Q406" s="51">
        <v>2160</v>
      </c>
      <c r="R406" s="51">
        <v>20</v>
      </c>
      <c r="S406" s="51">
        <v>20</v>
      </c>
      <c r="T406" s="65"/>
      <c r="U406" s="65"/>
      <c r="V406" s="65" t="s">
        <v>924</v>
      </c>
      <c r="W406" s="51" t="s">
        <v>925</v>
      </c>
      <c r="X406" s="66" t="s">
        <v>926</v>
      </c>
    </row>
    <row r="407" hidden="1" ht="27.75" customHeight="1" s="32" customFormat="1">
      <c r="A407" s="37"/>
      <c r="B407" s="31" t="s">
        <v>32</v>
      </c>
      <c r="C407" s="59" t="s">
        <v>917</v>
      </c>
      <c r="D407" s="57" t="s">
        <v>30</v>
      </c>
      <c r="E407" s="57">
        <v>45643</v>
      </c>
      <c r="F407" s="38" t="str">
        <f>IF(C407&lt;&gt;"",VLOOKUP($C407,Carpetas!$C$5:$L$2060,2,FALSE),"")</f>
        <v>ECE068</v>
      </c>
      <c r="G407" s="38" t="s">
        <v>43</v>
      </c>
      <c r="H407" s="44">
        <f>IF(C407&lt;&gt;"",VLOOKUP($C407,Carpetas!$C$5:$L$2060,9,FALSE),"")</f>
        <v>1511872</v>
      </c>
      <c r="I407" s="51" t="str">
        <f>IF(C407&lt;&gt;"",VLOOKUP($C407,Carpetas!$C$5:$L$2060,5,FALSE),"")</f>
        <v>Andino</v>
      </c>
      <c r="J407" s="51"/>
      <c r="K407" s="50">
        <v>45660</v>
      </c>
      <c r="L407" s="39" t="str">
        <f>VLOOKUP($C407,Carpetas!$C$5:$L$2060,4,FALSE)</f>
        <v>Fray Bentos</v>
      </c>
      <c r="M407" s="55">
        <f>K407+1</f>
        <v>45661</v>
      </c>
      <c r="N407" s="53">
        <v>6</v>
      </c>
      <c r="O407" s="51">
        <v>1128</v>
      </c>
      <c r="P407" s="51"/>
      <c r="Q407" s="51">
        <v>1128</v>
      </c>
      <c r="R407" s="51">
        <v>20</v>
      </c>
      <c r="S407" s="51">
        <v>21</v>
      </c>
      <c r="T407" s="65"/>
      <c r="U407" s="65"/>
      <c r="V407" s="65" t="s">
        <v>918</v>
      </c>
      <c r="W407" s="51" t="s">
        <v>927</v>
      </c>
      <c r="X407" s="66" t="s">
        <v>928</v>
      </c>
    </row>
    <row r="408" hidden="1" ht="27.75" customHeight="1" s="32" customFormat="1">
      <c r="A408" s="37"/>
      <c r="B408" s="31" t="s">
        <v>32</v>
      </c>
      <c r="C408" s="59" t="s">
        <v>923</v>
      </c>
      <c r="D408" s="57" t="s">
        <v>30</v>
      </c>
      <c r="E408" s="57">
        <v>45635</v>
      </c>
      <c r="F408" s="38" t="str">
        <f>IF(C408&lt;&gt;"",VLOOKUP($C408,Carpetas!$C$5:$L$2060,2,FALSE),"")</f>
        <v>COB023</v>
      </c>
      <c r="G408" s="38" t="s">
        <v>267</v>
      </c>
      <c r="H408" s="44">
        <f>IF(C408&lt;&gt;"",VLOOKUP($C408,Carpetas!$C$5:$L$2060,9,FALSE),"")</f>
        <v>0</v>
      </c>
      <c r="I408" s="51" t="str">
        <f>IF(C408&lt;&gt;"",VLOOKUP($C408,Carpetas!$C$5:$L$2060,5,FALSE),"")</f>
        <v>Andino</v>
      </c>
      <c r="J408" s="51"/>
      <c r="K408" s="50">
        <v>45660</v>
      </c>
      <c r="L408" s="39" t="str">
        <f>VLOOKUP($C408,Carpetas!$C$5:$L$2060,4,FALSE)</f>
        <v>Fray Bentos</v>
      </c>
      <c r="M408" s="55">
        <v>45663</v>
      </c>
      <c r="N408" s="53">
        <f>IF(M408&lt;&gt;"",M408-E408,"-")</f>
        <v>28</v>
      </c>
      <c r="O408" s="51">
        <v>1080</v>
      </c>
      <c r="P408" s="51"/>
      <c r="Q408" s="51">
        <v>1080</v>
      </c>
      <c r="R408" s="51">
        <v>20</v>
      </c>
      <c r="S408" s="51">
        <v>20</v>
      </c>
      <c r="T408" s="65"/>
      <c r="U408" s="65"/>
      <c r="V408" s="65" t="s">
        <v>924</v>
      </c>
      <c r="W408" s="51" t="s">
        <v>67</v>
      </c>
      <c r="X408" s="66" t="s">
        <v>929</v>
      </c>
    </row>
    <row r="409" hidden="1" ht="27.75" customHeight="1" s="32" customFormat="1">
      <c r="A409" s="37"/>
      <c r="B409" s="31" t="s">
        <v>32</v>
      </c>
      <c r="C409" s="59" t="s">
        <v>930</v>
      </c>
      <c r="D409" s="57" t="s">
        <v>30</v>
      </c>
      <c r="E409" s="57">
        <v>45659</v>
      </c>
      <c r="F409" s="38" t="str">
        <f>IF(C409&lt;&gt;"",VLOOKUP($C409,Carpetas!$C$5:$L$2060,2,FALSE),"")</f>
        <v>BOB019</v>
      </c>
      <c r="G409" s="38" t="s">
        <v>31</v>
      </c>
      <c r="H409" s="44">
        <f>IF(C409&lt;&gt;"",VLOOKUP($C409,Carpetas!$C$5:$L$2060,9,FALSE),"")</f>
        <v>0</v>
      </c>
      <c r="I409" s="51" t="str">
        <f>IF(C409&lt;&gt;"",VLOOKUP($C409,Carpetas!$C$5:$L$2060,5,FALSE),"")</f>
        <v>Chapere</v>
      </c>
      <c r="J409" s="51"/>
      <c r="K409" s="50">
        <v>45661</v>
      </c>
      <c r="L409" s="39" t="str">
        <f>VLOOKUP($C409,Carpetas!$C$5:$L$2060,4,FALSE)</f>
        <v>Salto</v>
      </c>
      <c r="M409" s="55">
        <v>45663</v>
      </c>
      <c r="N409" s="53">
        <f>IF(M409&lt;&gt;"",M409-E409,"-")</f>
        <v>4</v>
      </c>
      <c r="O409" s="51">
        <v>1104</v>
      </c>
      <c r="P409" s="51"/>
      <c r="Q409" s="51">
        <v>1104</v>
      </c>
      <c r="R409" s="51">
        <v>23</v>
      </c>
      <c r="S409" s="51">
        <v>21</v>
      </c>
      <c r="T409" s="65"/>
      <c r="U409" s="65"/>
      <c r="V409" s="65" t="s">
        <v>931</v>
      </c>
      <c r="W409" s="51" t="s">
        <v>932</v>
      </c>
      <c r="X409" s="66" t="s">
        <v>933</v>
      </c>
    </row>
    <row r="410" hidden="1" ht="27.75" customHeight="1" s="32" customFormat="1">
      <c r="A410" s="37"/>
      <c r="B410" s="31" t="s">
        <v>32</v>
      </c>
      <c r="C410" s="59" t="s">
        <v>934</v>
      </c>
      <c r="D410" s="57" t="s">
        <v>48</v>
      </c>
      <c r="E410" s="57">
        <v>45657</v>
      </c>
      <c r="F410" s="38" t="str">
        <f>IF(C410&lt;&gt;"",VLOOKUP($C410,Carpetas!$C$5:$L$2060,2,FALSE),"")</f>
        <v>CLP024</v>
      </c>
      <c r="G410" s="38" t="s">
        <v>35</v>
      </c>
      <c r="H410" s="44">
        <f>IF(C410&lt;&gt;"",VLOOKUP($C410,Carpetas!$C$5:$L$2060,9,FALSE),"")</f>
        <v>0</v>
      </c>
      <c r="I410" s="51" t="str">
        <f>IF(C410&lt;&gt;"",VLOOKUP($C410,Carpetas!$C$5:$L$2060,5,FALSE),"")</f>
        <v>Falero</v>
      </c>
      <c r="J410" s="51"/>
      <c r="K410" s="50">
        <v>45661</v>
      </c>
      <c r="L410" s="39" t="str">
        <f>VLOOKUP($C410,Carpetas!$C$5:$L$2060,4,FALSE)</f>
        <v>Fray Bentos</v>
      </c>
      <c r="M410" s="55">
        <v>45663</v>
      </c>
      <c r="N410" s="53">
        <v>6</v>
      </c>
      <c r="O410" s="51">
        <v>1936</v>
      </c>
      <c r="P410" s="51"/>
      <c r="Q410" s="51">
        <v>1930</v>
      </c>
      <c r="R410" s="51">
        <v>22</v>
      </c>
      <c r="S410" s="51" t="s">
        <v>908</v>
      </c>
      <c r="T410" s="65"/>
      <c r="U410" s="65" t="s">
        <v>935</v>
      </c>
      <c r="V410" s="65" t="s">
        <v>93</v>
      </c>
      <c r="W410" s="51" t="s">
        <v>936</v>
      </c>
      <c r="X410" s="66" t="s">
        <v>937</v>
      </c>
    </row>
    <row r="411" hidden="1" ht="27.75" customHeight="1" s="32" customFormat="1">
      <c r="A411" s="37"/>
      <c r="B411" s="31" t="s">
        <v>32</v>
      </c>
      <c r="C411" s="59" t="s">
        <v>938</v>
      </c>
      <c r="D411" s="57" t="s">
        <v>30</v>
      </c>
      <c r="E411" s="57">
        <v>45643</v>
      </c>
      <c r="F411" s="38" t="str">
        <f>IF(C411&lt;&gt;"",VLOOKUP($C411,Carpetas!$C$5:$L$2060,2,FALSE),"")</f>
        <v>ECB069</v>
      </c>
      <c r="G411" s="38" t="s">
        <v>43</v>
      </c>
      <c r="H411" s="44">
        <f>IF(C411&lt;&gt;"",VLOOKUP($C411,Carpetas!$C$5:$L$2060,9,FALSE),"")</f>
        <v>1512499</v>
      </c>
      <c r="I411" s="51" t="str">
        <f>IF(C411&lt;&gt;"",VLOOKUP($C411,Carpetas!$C$5:$L$2060,5,FALSE),"")</f>
        <v>Andino</v>
      </c>
      <c r="J411" s="51"/>
      <c r="K411" s="50">
        <v>45664</v>
      </c>
      <c r="L411" s="39" t="str">
        <f>VLOOKUP($C411,Carpetas!$C$5:$L$2060,4,FALSE)</f>
        <v>Fray Bentos</v>
      </c>
      <c r="M411" s="55">
        <v>45663</v>
      </c>
      <c r="N411" s="53">
        <v>6</v>
      </c>
      <c r="O411" s="51">
        <v>2160</v>
      </c>
      <c r="P411" s="51"/>
      <c r="Q411" s="51">
        <v>2160</v>
      </c>
      <c r="R411" s="51">
        <v>20</v>
      </c>
      <c r="S411" s="51">
        <v>21</v>
      </c>
      <c r="T411" s="65"/>
      <c r="U411" s="65"/>
      <c r="V411" s="65" t="s">
        <v>55</v>
      </c>
      <c r="W411" s="51" t="s">
        <v>939</v>
      </c>
      <c r="X411" s="66" t="s">
        <v>940</v>
      </c>
    </row>
    <row r="412" hidden="1" ht="27.75" customHeight="1" s="32" customFormat="1">
      <c r="A412" s="37"/>
      <c r="B412" s="31" t="s">
        <v>32</v>
      </c>
      <c r="C412" s="59" t="s">
        <v>941</v>
      </c>
      <c r="D412" s="57" t="s">
        <v>37</v>
      </c>
      <c r="E412" s="57">
        <v>45657</v>
      </c>
      <c r="F412" s="38" t="str">
        <f>IF(C412&lt;&gt;"",VLOOKUP($C412,Carpetas!$C$5:$L$2060,2,FALSE),"")</f>
        <v>GRK004</v>
      </c>
      <c r="G412" s="38" t="s">
        <v>833</v>
      </c>
      <c r="H412" s="44">
        <f>IF(C412&lt;&gt;"",VLOOKUP($C412,Carpetas!$C$5:$L$2060,9,FALSE),"")</f>
        <v>0</v>
      </c>
      <c r="I412" s="51" t="str">
        <f>IF(C412&lt;&gt;"",VLOOKUP($C412,Carpetas!$C$5:$L$2060,5,FALSE),"")</f>
        <v>Ciatran</v>
      </c>
      <c r="J412" s="51"/>
      <c r="K412" s="50">
        <v>45663</v>
      </c>
      <c r="L412" s="39" t="str">
        <f>VLOOKUP($C412,Carpetas!$C$5:$L$2060,4,FALSE)</f>
        <v>Montevideo</v>
      </c>
      <c r="M412" s="55">
        <v>45665</v>
      </c>
      <c r="N412" s="53">
        <v>6</v>
      </c>
      <c r="O412" s="51">
        <v>2140</v>
      </c>
      <c r="P412" s="51"/>
      <c r="Q412" s="51"/>
      <c r="R412" s="51"/>
      <c r="S412" s="51"/>
      <c r="T412" s="65"/>
      <c r="U412" s="65"/>
      <c r="V412" s="65"/>
      <c r="W412" s="51"/>
      <c r="X412" s="66"/>
    </row>
    <row r="413" hidden="1" ht="27.75" customHeight="1" s="32" customFormat="1">
      <c r="A413" s="37"/>
      <c r="B413" s="31" t="s">
        <v>32</v>
      </c>
      <c r="C413" s="59" t="s">
        <v>942</v>
      </c>
      <c r="D413" s="57" t="s">
        <v>943</v>
      </c>
      <c r="E413" s="57">
        <v>45657</v>
      </c>
      <c r="F413" s="38" t="str">
        <f>IF(C413&lt;&gt;"",VLOOKUP($C413,Carpetas!$C$5:$L$2060,2,FALSE),"")</f>
        <v>EGN001</v>
      </c>
      <c r="G413" s="38" t="s">
        <v>657</v>
      </c>
      <c r="H413" s="44">
        <f>IF(C413&lt;&gt;"",VLOOKUP($C413,Carpetas!$C$5:$L$2060,9,FALSE),"")</f>
        <v>0</v>
      </c>
      <c r="I413" s="51" t="str">
        <f>IF(C413&lt;&gt;"",VLOOKUP($C413,Carpetas!$C$5:$L$2060,5,FALSE),"")</f>
        <v>Ciatran</v>
      </c>
      <c r="J413" s="51"/>
      <c r="K413" s="50">
        <v>45663</v>
      </c>
      <c r="L413" s="39" t="str">
        <f>VLOOKUP($C413,Carpetas!$C$5:$L$2060,4,FALSE)</f>
        <v>Montevideo</v>
      </c>
      <c r="M413" s="55">
        <v>45665</v>
      </c>
      <c r="N413" s="53">
        <v>6</v>
      </c>
      <c r="O413" s="51">
        <v>1664</v>
      </c>
      <c r="P413" s="51"/>
      <c r="Q413" s="51"/>
      <c r="R413" s="51"/>
      <c r="S413" s="51"/>
      <c r="T413" s="65"/>
      <c r="U413" s="65"/>
      <c r="V413" s="65"/>
      <c r="W413" s="51"/>
      <c r="X413" s="66"/>
    </row>
    <row r="414" hidden="1" ht="27.75" customHeight="1" s="32" customFormat="1">
      <c r="A414" s="37"/>
      <c r="B414" s="31" t="s">
        <v>32</v>
      </c>
      <c r="C414" s="59" t="s">
        <v>944</v>
      </c>
      <c r="D414" s="57" t="s">
        <v>765</v>
      </c>
      <c r="E414" s="57">
        <v>45657</v>
      </c>
      <c r="F414" s="38" t="str">
        <f>IF(C414&lt;&gt;"",VLOOKUP($C414,Carpetas!$C$5:$L$2060,2,FALSE),"")</f>
        <v>EGL002</v>
      </c>
      <c r="G414" s="38" t="s">
        <v>657</v>
      </c>
      <c r="H414" s="44">
        <f>IF(C414&lt;&gt;"",VLOOKUP($C414,Carpetas!$C$5:$L$2060,9,FALSE),"")</f>
        <v>0</v>
      </c>
      <c r="I414" s="51" t="str">
        <f>IF(C414&lt;&gt;"",VLOOKUP($C414,Carpetas!$C$5:$L$2060,5,FALSE),"")</f>
        <v>Ciatran</v>
      </c>
      <c r="J414" s="51"/>
      <c r="K414" s="50">
        <v>45663</v>
      </c>
      <c r="L414" s="39" t="str">
        <f>VLOOKUP($C414,Carpetas!$C$5:$L$2060,4,FALSE)</f>
        <v>Montevideo</v>
      </c>
      <c r="M414" s="55">
        <v>45665</v>
      </c>
      <c r="N414" s="53">
        <v>6</v>
      </c>
      <c r="O414" s="51">
        <v>1664</v>
      </c>
      <c r="P414" s="51"/>
      <c r="Q414" s="51"/>
      <c r="R414" s="51"/>
      <c r="S414" s="51"/>
      <c r="T414" s="65"/>
      <c r="U414" s="65"/>
      <c r="V414" s="65"/>
      <c r="W414" s="51"/>
      <c r="X414" s="66"/>
    </row>
    <row r="415" hidden="1" ht="27.75" customHeight="1" s="32" customFormat="1">
      <c r="A415" s="37"/>
      <c r="B415" s="31" t="s">
        <v>32</v>
      </c>
      <c r="C415" s="59" t="s">
        <v>945</v>
      </c>
      <c r="D415" s="57" t="s">
        <v>48</v>
      </c>
      <c r="E415" s="57">
        <v>45660</v>
      </c>
      <c r="F415" s="38" t="str">
        <f>IF(C415&lt;&gt;"",VLOOKUP($C415,Carpetas!$C$5:$L$2060,2,FALSE),"")</f>
        <v>CLP001</v>
      </c>
      <c r="G415" s="38" t="s">
        <v>35</v>
      </c>
      <c r="H415" s="44">
        <f>IF(C415&lt;&gt;"",VLOOKUP($C415,Carpetas!$C$5:$L$2060,9,FALSE),"")</f>
        <v>0</v>
      </c>
      <c r="I415" s="51" t="str">
        <f>IF(C415&lt;&gt;"",VLOOKUP($C415,Carpetas!$C$5:$L$2060,5,FALSE),"")</f>
        <v>Falero</v>
      </c>
      <c r="J415" s="51"/>
      <c r="K415" s="50">
        <v>45663</v>
      </c>
      <c r="L415" s="39" t="str">
        <f>VLOOKUP($C415,Carpetas!$C$5:$L$2060,4,FALSE)</f>
        <v>Fray Bentos</v>
      </c>
      <c r="M415" s="55">
        <v>45665</v>
      </c>
      <c r="N415" s="53">
        <f ref="N415:N446" t="shared" si="30">IF(M415&lt;&gt;"",M415-E415,"-")</f>
        <v>5</v>
      </c>
      <c r="O415" s="51">
        <v>2112</v>
      </c>
      <c r="P415" s="51"/>
      <c r="Q415" s="51"/>
      <c r="R415" s="51"/>
      <c r="S415" s="51"/>
      <c r="T415" s="65"/>
      <c r="U415" s="65"/>
      <c r="V415" s="65"/>
      <c r="W415" s="51"/>
      <c r="X415" s="66"/>
    </row>
    <row r="416" hidden="1" ht="27.75" customHeight="1" s="32" customFormat="1">
      <c r="A416" s="37"/>
      <c r="B416" s="31" t="s">
        <v>32</v>
      </c>
      <c r="C416" s="59" t="s">
        <v>946</v>
      </c>
      <c r="D416" s="57" t="s">
        <v>34</v>
      </c>
      <c r="E416" s="57">
        <v>45660</v>
      </c>
      <c r="F416" s="38" t="str">
        <f>IF(C416&lt;&gt;"",VLOOKUP($C416,Carpetas!$C$5:$L$2060,2,FALSE),"")</f>
        <v>CLA001</v>
      </c>
      <c r="G416" s="38" t="s">
        <v>35</v>
      </c>
      <c r="H416" s="44">
        <f>IF(C416&lt;&gt;"",VLOOKUP($C416,Carpetas!$C$5:$L$2060,9,FALSE),"")</f>
        <v>0</v>
      </c>
      <c r="I416" s="51" t="str">
        <f>IF(C416&lt;&gt;"",VLOOKUP($C416,Carpetas!$C$5:$L$2060,5,FALSE),"")</f>
        <v>Nihuil</v>
      </c>
      <c r="J416" s="51"/>
      <c r="K416" s="50">
        <v>45663</v>
      </c>
      <c r="L416" s="39" t="str">
        <f>VLOOKUP($C416,Carpetas!$C$5:$L$2060,4,FALSE)</f>
        <v>Fray Bentos</v>
      </c>
      <c r="M416" s="55">
        <v>45665</v>
      </c>
      <c r="N416" s="53">
        <f t="shared" si="30"/>
        <v>5</v>
      </c>
      <c r="O416" s="51">
        <v>7920</v>
      </c>
      <c r="P416" s="51"/>
      <c r="Q416" s="51"/>
      <c r="R416" s="51"/>
      <c r="S416" s="51"/>
      <c r="T416" s="65"/>
      <c r="U416" s="65"/>
      <c r="V416" s="65"/>
      <c r="W416" s="51"/>
      <c r="X416" s="66"/>
    </row>
    <row r="417" hidden="1" ht="27.75" customHeight="1" s="32" customFormat="1">
      <c r="A417" s="37"/>
      <c r="B417" s="31" t="s">
        <v>32</v>
      </c>
      <c r="C417" s="59" t="s">
        <v>923</v>
      </c>
      <c r="D417" s="57" t="s">
        <v>30</v>
      </c>
      <c r="E417" s="57">
        <v>45635</v>
      </c>
      <c r="F417" s="38" t="str">
        <f>IF(C417&lt;&gt;"",VLOOKUP($C417,Carpetas!$C$5:$L$2060,2,FALSE),"")</f>
        <v>COB023</v>
      </c>
      <c r="G417" s="38" t="s">
        <v>267</v>
      </c>
      <c r="H417" s="44">
        <f>IF(C417&lt;&gt;"",VLOOKUP($C417,Carpetas!$C$5:$L$2060,9,FALSE),"")</f>
        <v>0</v>
      </c>
      <c r="I417" s="51" t="str">
        <f>IF(C417&lt;&gt;"",VLOOKUP($C417,Carpetas!$C$5:$L$2060,5,FALSE),"")</f>
        <v>Andino</v>
      </c>
      <c r="J417" s="51"/>
      <c r="K417" s="50">
        <v>45664</v>
      </c>
      <c r="L417" s="39" t="str">
        <f>VLOOKUP($C417,Carpetas!$C$5:$L$2060,4,FALSE)</f>
        <v>Fray Bentos</v>
      </c>
      <c r="M417" s="55">
        <f ref="M417:M431" t="shared" si="31">K417+1</f>
        <v>45665</v>
      </c>
      <c r="N417" s="53">
        <f t="shared" si="30"/>
        <v>30</v>
      </c>
      <c r="O417" s="51">
        <v>1080</v>
      </c>
      <c r="P417" s="51"/>
      <c r="Q417" s="51">
        <v>1080</v>
      </c>
      <c r="R417" s="51">
        <v>20</v>
      </c>
      <c r="S417" s="51">
        <v>20</v>
      </c>
      <c r="T417" s="65"/>
      <c r="U417" s="65"/>
      <c r="V417" s="65" t="s">
        <v>690</v>
      </c>
      <c r="W417" s="51" t="s">
        <v>110</v>
      </c>
      <c r="X417" s="66" t="s">
        <v>947</v>
      </c>
    </row>
    <row r="418" hidden="1" ht="27.75" customHeight="1" s="32" customFormat="1">
      <c r="A418" s="37"/>
      <c r="B418" s="31" t="s">
        <v>32</v>
      </c>
      <c r="C418" s="59" t="s">
        <v>948</v>
      </c>
      <c r="D418" s="57" t="s">
        <v>48</v>
      </c>
      <c r="E418" s="57">
        <v>45663</v>
      </c>
      <c r="F418" s="38" t="str">
        <f>IF(C418&lt;&gt;"",VLOOKUP($C418,Carpetas!$C$5:$L$2060,2,FALSE),"")</f>
        <v>CLP002</v>
      </c>
      <c r="G418" s="38" t="s">
        <v>35</v>
      </c>
      <c r="H418" s="44">
        <f>IF(C418&lt;&gt;"",VLOOKUP($C418,Carpetas!$C$5:$L$2060,9,FALSE),"")</f>
        <v>0</v>
      </c>
      <c r="I418" s="51" t="str">
        <f>IF(C418&lt;&gt;"",VLOOKUP($C418,Carpetas!$C$5:$L$2060,5,FALSE),"")</f>
        <v>Sarla y Ramón</v>
      </c>
      <c r="J418" s="51"/>
      <c r="K418" s="50">
        <v>45666</v>
      </c>
      <c r="L418" s="39" t="str">
        <f>VLOOKUP($C418,Carpetas!$C$5:$L$2060,4,FALSE)</f>
        <v>Fray Bentos</v>
      </c>
      <c r="M418" s="55">
        <f t="shared" si="31"/>
        <v>45667</v>
      </c>
      <c r="N418" s="53">
        <f t="shared" si="30"/>
        <v>4</v>
      </c>
      <c r="O418" s="51">
        <v>2112</v>
      </c>
      <c r="P418" s="51"/>
      <c r="Q418" s="51"/>
      <c r="R418" s="51"/>
      <c r="S418" s="51"/>
      <c r="T418" s="65"/>
      <c r="U418" s="65"/>
      <c r="V418" s="65"/>
      <c r="W418" s="51"/>
      <c r="X418" s="66"/>
    </row>
    <row r="419" hidden="1" ht="27.75" customHeight="1" s="32" customFormat="1">
      <c r="A419" s="37"/>
      <c r="B419" s="31" t="s">
        <v>32</v>
      </c>
      <c r="C419" s="59" t="s">
        <v>949</v>
      </c>
      <c r="D419" s="57" t="s">
        <v>30</v>
      </c>
      <c r="E419" s="57">
        <v>45650</v>
      </c>
      <c r="F419" s="38" t="str">
        <f>IF(C419&lt;&gt;"",VLOOKUP($C419,Carpetas!$C$5:$L$2060,2,FALSE),"")</f>
        <v>ECB070</v>
      </c>
      <c r="G419" s="38" t="s">
        <v>43</v>
      </c>
      <c r="H419" s="44">
        <f>IF(C419&lt;&gt;"",VLOOKUP($C419,Carpetas!$C$5:$L$2060,9,FALSE),"")</f>
        <v>1511318</v>
      </c>
      <c r="I419" s="51" t="str">
        <f>IF(C419&lt;&gt;"",VLOOKUP($C419,Carpetas!$C$5:$L$2060,5,FALSE),"")</f>
        <v>Andino</v>
      </c>
      <c r="J419" s="51"/>
      <c r="K419" s="50">
        <v>45668</v>
      </c>
      <c r="L419" s="39" t="str">
        <f>VLOOKUP($C419,Carpetas!$C$5:$L$2060,4,FALSE)</f>
        <v>Fray Bentos</v>
      </c>
      <c r="M419" s="55">
        <f t="shared" si="31"/>
        <v>45669</v>
      </c>
      <c r="N419" s="53">
        <f t="shared" si="30"/>
        <v>19</v>
      </c>
      <c r="O419" s="51">
        <v>2160</v>
      </c>
      <c r="P419" s="51"/>
      <c r="Q419" s="51">
        <v>2160</v>
      </c>
      <c r="R419" s="51">
        <v>40</v>
      </c>
      <c r="S419" s="51">
        <v>20</v>
      </c>
      <c r="T419" s="65"/>
      <c r="U419" s="65"/>
      <c r="V419" s="65"/>
      <c r="W419" s="51" t="s">
        <v>950</v>
      </c>
      <c r="X419" s="66" t="s">
        <v>951</v>
      </c>
    </row>
    <row r="420" hidden="1" ht="27.75" customHeight="1" s="32" customFormat="1">
      <c r="A420" s="37"/>
      <c r="B420" s="31" t="s">
        <v>32</v>
      </c>
      <c r="C420" s="59" t="s">
        <v>952</v>
      </c>
      <c r="D420" s="57" t="s">
        <v>42</v>
      </c>
      <c r="E420" s="57">
        <v>45657</v>
      </c>
      <c r="F420" s="38" t="str">
        <f>IF(C420&lt;&gt;"",VLOOKUP($C420,Carpetas!$C$5:$L$2060,2,FALSE),"")</f>
        <v>ECA001</v>
      </c>
      <c r="G420" s="38" t="s">
        <v>43</v>
      </c>
      <c r="H420" s="44">
        <f>IF(C420&lt;&gt;"",VLOOKUP($C420,Carpetas!$C$5:$L$2060,9,FALSE),"")</f>
        <v>1513119</v>
      </c>
      <c r="I420" s="51" t="str">
        <f>IF(C420&lt;&gt;"",VLOOKUP($C420,Carpetas!$C$5:$L$2060,5,FALSE),"")</f>
        <v>Andino</v>
      </c>
      <c r="J420" s="51"/>
      <c r="K420" s="50">
        <v>45671</v>
      </c>
      <c r="L420" s="39" t="str">
        <f>VLOOKUP($C420,Carpetas!$C$5:$L$2060,4,FALSE)</f>
        <v>Fray Bentos</v>
      </c>
      <c r="M420" s="55">
        <f t="shared" si="31"/>
        <v>45672</v>
      </c>
      <c r="N420" s="53">
        <f t="shared" si="30"/>
        <v>15</v>
      </c>
      <c r="O420" s="51">
        <v>1680</v>
      </c>
      <c r="P420" s="51"/>
      <c r="Q420" s="51"/>
      <c r="R420" s="51"/>
      <c r="S420" s="51"/>
      <c r="T420" s="65"/>
      <c r="U420" s="65"/>
      <c r="V420" s="65"/>
      <c r="W420" s="51" t="s">
        <v>64</v>
      </c>
      <c r="X420" s="66"/>
    </row>
    <row r="421" hidden="1" ht="27.75" customHeight="1" s="32" customFormat="1">
      <c r="A421" s="37"/>
      <c r="B421" s="31" t="s">
        <v>32</v>
      </c>
      <c r="C421" s="59" t="s">
        <v>953</v>
      </c>
      <c r="D421" s="57" t="s">
        <v>30</v>
      </c>
      <c r="E421" s="57">
        <v>45643</v>
      </c>
      <c r="F421" s="38" t="str">
        <f>IF(C421&lt;&gt;"",VLOOKUP($C421,Carpetas!$C$5:$L$2060,2,FALSE),"")</f>
        <v>COB024</v>
      </c>
      <c r="G421" s="38" t="s">
        <v>267</v>
      </c>
      <c r="H421" s="44">
        <f>IF(C421&lt;&gt;"",VLOOKUP($C421,Carpetas!$C$5:$L$2060,9,FALSE),"")</f>
        <v>0</v>
      </c>
      <c r="I421" s="51" t="str">
        <f>IF(C421&lt;&gt;"",VLOOKUP($C421,Carpetas!$C$5:$L$2060,5,FALSE),"")</f>
        <v>Andino</v>
      </c>
      <c r="J421" s="51"/>
      <c r="K421" s="50">
        <v>45672</v>
      </c>
      <c r="L421" s="39" t="str">
        <f>VLOOKUP($C421,Carpetas!$C$5:$L$2060,4,FALSE)</f>
        <v>Fray Bentos</v>
      </c>
      <c r="M421" s="55">
        <f t="shared" si="31"/>
        <v>45673</v>
      </c>
      <c r="N421" s="53">
        <f t="shared" si="30"/>
        <v>30</v>
      </c>
      <c r="O421" s="51">
        <v>4320</v>
      </c>
      <c r="P421" s="51"/>
      <c r="Q421" s="51">
        <v>1080</v>
      </c>
      <c r="R421" s="51">
        <v>20</v>
      </c>
      <c r="S421" s="51">
        <v>20</v>
      </c>
      <c r="T421" s="65"/>
      <c r="U421" s="65"/>
      <c r="V421" s="65"/>
      <c r="W421" s="51"/>
      <c r="X421" s="66" t="s">
        <v>954</v>
      </c>
    </row>
    <row r="422" hidden="1" ht="27.75" customHeight="1" s="32" customFormat="1">
      <c r="A422" s="37"/>
      <c r="B422" s="31" t="s">
        <v>32</v>
      </c>
      <c r="C422" s="59" t="s">
        <v>955</v>
      </c>
      <c r="D422" s="57" t="s">
        <v>632</v>
      </c>
      <c r="E422" s="57">
        <v>45671</v>
      </c>
      <c r="F422" s="38" t="str">
        <f>IF(C422&lt;&gt;"",VLOOKUP($C422,Carpetas!$C$5:$L$2060,2,FALSE),"")</f>
        <v>ECES001</v>
      </c>
      <c r="G422" s="38" t="s">
        <v>43</v>
      </c>
      <c r="H422" s="44">
        <f>IF(C422&lt;&gt;"",VLOOKUP($C422,Carpetas!$C$5:$L$2060,9,FALSE),"")</f>
        <v>0</v>
      </c>
      <c r="I422" s="51" t="str">
        <f>IF(C422&lt;&gt;"",VLOOKUP($C422,Carpetas!$C$5:$L$2060,5,FALSE),"")</f>
        <v>Ciatran</v>
      </c>
      <c r="J422" s="51"/>
      <c r="K422" s="50">
        <v>45674</v>
      </c>
      <c r="L422" s="39" t="str">
        <f>VLOOKUP($C422,Carpetas!$C$5:$L$2060,4,FALSE)</f>
        <v>Carrasco</v>
      </c>
      <c r="M422" s="55">
        <f t="shared" si="31"/>
        <v>45675</v>
      </c>
      <c r="N422" s="53">
        <f t="shared" si="30"/>
        <v>4</v>
      </c>
      <c r="O422" s="51">
        <v>160</v>
      </c>
      <c r="P422" s="51"/>
      <c r="Q422" s="51"/>
      <c r="R422" s="51"/>
      <c r="S422" s="51"/>
      <c r="T422" s="65"/>
      <c r="U422" s="65"/>
      <c r="V422" s="65"/>
      <c r="W422" s="51"/>
      <c r="X422" s="66"/>
    </row>
    <row r="423" hidden="1" ht="27.75" customHeight="1" s="32" customFormat="1">
      <c r="A423" s="37"/>
      <c r="B423" s="31" t="s">
        <v>32</v>
      </c>
      <c r="C423" s="59" t="s">
        <v>956</v>
      </c>
      <c r="D423" s="57" t="s">
        <v>765</v>
      </c>
      <c r="E423" s="57">
        <v>45647</v>
      </c>
      <c r="F423" s="38" t="str">
        <f>IF(C423&lt;&gt;"",VLOOKUP($C423,Carpetas!$C$5:$L$2060,2,FALSE),"")</f>
        <v>EGL003</v>
      </c>
      <c r="G423" s="38" t="s">
        <v>657</v>
      </c>
      <c r="H423" s="44">
        <f>IF(C423&lt;&gt;"",VLOOKUP($C423,Carpetas!$C$5:$L$2060,9,FALSE),"")</f>
        <v>0</v>
      </c>
      <c r="I423" s="51" t="str">
        <f>IF(C423&lt;&gt;"",VLOOKUP($C423,Carpetas!$C$5:$L$2060,5,FALSE),"")</f>
        <v>Ciatran</v>
      </c>
      <c r="J423" s="51"/>
      <c r="K423" s="50">
        <v>45675</v>
      </c>
      <c r="L423" s="39" t="str">
        <f>VLOOKUP($C423,Carpetas!$C$5:$L$2060,4,FALSE)</f>
        <v>Montevideo</v>
      </c>
      <c r="M423" s="55">
        <f t="shared" si="31"/>
        <v>45676</v>
      </c>
      <c r="N423" s="53">
        <f t="shared" si="30"/>
        <v>29</v>
      </c>
      <c r="O423" s="51">
        <v>1664</v>
      </c>
      <c r="P423" s="51"/>
      <c r="Q423" s="51"/>
      <c r="R423" s="51"/>
      <c r="S423" s="51"/>
      <c r="T423" s="65"/>
      <c r="U423" s="65"/>
      <c r="V423" s="65"/>
      <c r="W423" s="51"/>
      <c r="X423" s="66"/>
    </row>
    <row r="424" hidden="1" ht="27.75" customHeight="1" s="32" customFormat="1">
      <c r="A424" s="37"/>
      <c r="B424" s="31" t="s">
        <v>32</v>
      </c>
      <c r="C424" s="59" t="s">
        <v>957</v>
      </c>
      <c r="D424" s="57" t="s">
        <v>943</v>
      </c>
      <c r="E424" s="57">
        <v>45647</v>
      </c>
      <c r="F424" s="38" t="str">
        <f>IF(C424&lt;&gt;"",VLOOKUP($C424,Carpetas!$C$5:$L$2060,2,FALSE),"")</f>
        <v>EGN002</v>
      </c>
      <c r="G424" s="38" t="s">
        <v>657</v>
      </c>
      <c r="H424" s="44">
        <f>IF(C424&lt;&gt;"",VLOOKUP($C424,Carpetas!$C$5:$L$2060,9,FALSE),"")</f>
        <v>0</v>
      </c>
      <c r="I424" s="51" t="str">
        <f>IF(C424&lt;&gt;"",VLOOKUP($C424,Carpetas!$C$5:$L$2060,5,FALSE),"")</f>
        <v>Ciatran</v>
      </c>
      <c r="J424" s="51"/>
      <c r="K424" s="50">
        <v>45675</v>
      </c>
      <c r="L424" s="39" t="str">
        <f>VLOOKUP($C424,Carpetas!$C$5:$L$2060,4,FALSE)</f>
        <v>Montevideo</v>
      </c>
      <c r="M424" s="55">
        <f t="shared" si="31"/>
        <v>45676</v>
      </c>
      <c r="N424" s="53">
        <f t="shared" si="30"/>
        <v>29</v>
      </c>
      <c r="O424" s="51">
        <v>1664</v>
      </c>
      <c r="P424" s="51"/>
      <c r="Q424" s="51"/>
      <c r="R424" s="51"/>
      <c r="S424" s="51"/>
      <c r="T424" s="65"/>
      <c r="U424" s="65"/>
      <c r="V424" s="65"/>
      <c r="W424" s="51"/>
      <c r="X424" s="66"/>
    </row>
    <row r="425" hidden="1" ht="27.75" customHeight="1" s="32" customFormat="1">
      <c r="A425" s="37"/>
      <c r="B425" s="31" t="s">
        <v>32</v>
      </c>
      <c r="C425" s="59" t="s">
        <v>958</v>
      </c>
      <c r="D425" s="57" t="s">
        <v>37</v>
      </c>
      <c r="E425" s="57">
        <v>45638</v>
      </c>
      <c r="F425" s="38" t="s">
        <v>959</v>
      </c>
      <c r="G425" s="38" t="s">
        <v>833</v>
      </c>
      <c r="H425" s="44">
        <f>IF(C425&lt;&gt;"",VLOOKUP($C425,Carpetas!$C$5:$L$2060,9,FALSE),"")</f>
        <v>0</v>
      </c>
      <c r="I425" s="51" t="str">
        <f>IF(C425&lt;&gt;"",VLOOKUP($C425,Carpetas!$C$5:$L$2060,5,FALSE),"")</f>
        <v>Ciatran</v>
      </c>
      <c r="J425" s="51"/>
      <c r="K425" s="50">
        <v>45676</v>
      </c>
      <c r="L425" s="39" t="str">
        <f>VLOOKUP($C425,Carpetas!$C$5:$L$2060,4,FALSE)</f>
        <v>Montevideo</v>
      </c>
      <c r="M425" s="55">
        <f t="shared" si="31"/>
        <v>45677</v>
      </c>
      <c r="N425" s="53">
        <f t="shared" si="30"/>
        <v>39</v>
      </c>
      <c r="O425" s="51">
        <v>2310</v>
      </c>
      <c r="P425" s="51"/>
      <c r="Q425" s="51"/>
      <c r="R425" s="51"/>
      <c r="S425" s="51"/>
      <c r="T425" s="65"/>
      <c r="U425" s="65"/>
      <c r="V425" s="65"/>
      <c r="W425" s="51"/>
      <c r="X425" s="66"/>
    </row>
    <row r="426" hidden="1" ht="27.75" customHeight="1" s="32" customFormat="1">
      <c r="A426" s="37"/>
      <c r="B426" s="31" t="s">
        <v>32</v>
      </c>
      <c r="C426" s="59" t="s">
        <v>960</v>
      </c>
      <c r="D426" s="57" t="s">
        <v>48</v>
      </c>
      <c r="E426" s="57">
        <v>45672</v>
      </c>
      <c r="F426" s="38" t="str">
        <f>IF(C426&lt;&gt;"",VLOOKUP($C426,Carpetas!$C$5:$L$2060,2,FALSE),"")</f>
        <v>CLP003</v>
      </c>
      <c r="G426" s="38" t="s">
        <v>35</v>
      </c>
      <c r="H426" s="44">
        <f>IF(C426&lt;&gt;"",VLOOKUP($C426,Carpetas!$C$5:$L$2060,9,FALSE),"")</f>
        <v>0</v>
      </c>
      <c r="I426" s="51" t="str">
        <f>IF(C426&lt;&gt;"",VLOOKUP($C426,Carpetas!$C$5:$L$2060,5,FALSE),"")</f>
        <v>Nihuil</v>
      </c>
      <c r="J426" s="51"/>
      <c r="K426" s="50">
        <v>45677</v>
      </c>
      <c r="L426" s="39" t="str">
        <f>VLOOKUP($C426,Carpetas!$C$5:$L$2060,4,FALSE)</f>
        <v>Fray Bentos</v>
      </c>
      <c r="M426" s="55">
        <f t="shared" si="31"/>
        <v>45678</v>
      </c>
      <c r="N426" s="53">
        <f t="shared" si="30"/>
        <v>6</v>
      </c>
      <c r="O426" s="51">
        <v>2112</v>
      </c>
      <c r="P426" s="51"/>
      <c r="Q426" s="51"/>
      <c r="R426" s="51"/>
      <c r="S426" s="51"/>
      <c r="T426" s="65"/>
      <c r="U426" s="65"/>
      <c r="V426" s="65"/>
      <c r="W426" s="51"/>
      <c r="X426" s="66"/>
    </row>
    <row r="427" hidden="1" ht="27.75" customHeight="1" s="32" customFormat="1">
      <c r="A427" s="37"/>
      <c r="B427" s="31" t="s">
        <v>32</v>
      </c>
      <c r="C427" s="59" t="s">
        <v>961</v>
      </c>
      <c r="D427" s="57" t="s">
        <v>48</v>
      </c>
      <c r="E427" s="57">
        <v>45674</v>
      </c>
      <c r="F427" s="38" t="s">
        <v>962</v>
      </c>
      <c r="G427" s="38" t="s">
        <v>35</v>
      </c>
      <c r="H427" s="44">
        <f>IF(C427&lt;&gt;"",VLOOKUP($C427,Carpetas!$C$5:$L$2060,9,FALSE),"")</f>
        <v>0</v>
      </c>
      <c r="I427" s="51" t="str">
        <f>IF(C427&lt;&gt;"",VLOOKUP($C427,Carpetas!$C$5:$L$2060,5,FALSE),"")</f>
        <v>RCT</v>
      </c>
      <c r="J427" s="51"/>
      <c r="K427" s="50">
        <v>45678</v>
      </c>
      <c r="L427" s="39" t="str">
        <f>VLOOKUP($C427,Carpetas!$C$5:$L$2060,4,FALSE)</f>
        <v>Fray Bentos</v>
      </c>
      <c r="M427" s="55">
        <f t="shared" si="31"/>
        <v>45679</v>
      </c>
      <c r="N427" s="53">
        <f t="shared" si="30"/>
        <v>5</v>
      </c>
      <c r="O427" s="51">
        <v>1936</v>
      </c>
      <c r="P427" s="51"/>
      <c r="Q427" s="51"/>
      <c r="R427" s="51"/>
      <c r="S427" s="51"/>
      <c r="T427" s="65"/>
      <c r="U427" s="65"/>
      <c r="V427" s="65"/>
      <c r="W427" s="51"/>
      <c r="X427" s="66"/>
    </row>
    <row r="428" hidden="1" ht="27.75" customHeight="1" s="32" customFormat="1">
      <c r="A428" s="37"/>
      <c r="B428" s="31" t="s">
        <v>32</v>
      </c>
      <c r="C428" s="59" t="s">
        <v>963</v>
      </c>
      <c r="D428" s="57" t="s">
        <v>42</v>
      </c>
      <c r="E428" s="57">
        <v>45664</v>
      </c>
      <c r="F428" s="38" t="str">
        <f>IF(C428&lt;&gt;"",VLOOKUP($C428,Carpetas!$C$5:$L$2060,2,FALSE),"")</f>
        <v>ECA002</v>
      </c>
      <c r="G428" s="38" t="s">
        <v>43</v>
      </c>
      <c r="H428" s="44" t="str">
        <f>IF(C428&lt;&gt;"",VLOOKUP($C428,Carpetas!$C$5:$L$2060,9,FALSE),"")</f>
        <v>151,41,18</v>
      </c>
      <c r="I428" s="51" t="str">
        <f>IF(C428&lt;&gt;"",VLOOKUP($C428,Carpetas!$C$5:$L$2060,5,FALSE),"")</f>
        <v>Andino</v>
      </c>
      <c r="J428" s="51"/>
      <c r="K428" s="50">
        <v>45680</v>
      </c>
      <c r="L428" s="39" t="str">
        <f>VLOOKUP($C428,Carpetas!$C$5:$L$2060,4,FALSE)</f>
        <v>Fray Bentos</v>
      </c>
      <c r="M428" s="55">
        <f t="shared" si="31"/>
        <v>45681</v>
      </c>
      <c r="N428" s="53">
        <f t="shared" si="30"/>
        <v>17</v>
      </c>
      <c r="O428" s="51">
        <v>1680</v>
      </c>
      <c r="P428" s="51"/>
      <c r="Q428" s="51"/>
      <c r="R428" s="51"/>
      <c r="S428" s="51"/>
      <c r="T428" s="65"/>
      <c r="U428" s="65"/>
      <c r="V428" s="65"/>
      <c r="W428" s="51"/>
      <c r="X428" s="66"/>
    </row>
    <row r="429" hidden="1" ht="27.75" customHeight="1" s="32" customFormat="1">
      <c r="A429" s="37"/>
      <c r="B429" s="31" t="s">
        <v>32</v>
      </c>
      <c r="C429" s="59" t="s">
        <v>964</v>
      </c>
      <c r="D429" s="57" t="s">
        <v>30</v>
      </c>
      <c r="E429" s="57">
        <v>45674</v>
      </c>
      <c r="F429" s="38" t="str">
        <f>IF(C429&lt;&gt;"",VLOOKUP($C429,Carpetas!$C$5:$L$2060,2,FALSE),"")</f>
        <v>BOB001</v>
      </c>
      <c r="G429" s="38" t="s">
        <v>31</v>
      </c>
      <c r="H429" s="44" t="s">
        <v>965</v>
      </c>
      <c r="I429" s="51" t="str">
        <f>IF(C429&lt;&gt;"",VLOOKUP($C429,Carpetas!$C$5:$L$2060,5,FALSE),"")</f>
        <v>Sur Central</v>
      </c>
      <c r="J429" s="51"/>
      <c r="K429" s="50">
        <v>45680</v>
      </c>
      <c r="L429" s="39" t="str">
        <f>VLOOKUP($C429,Carpetas!$C$5:$L$2060,4,FALSE)</f>
        <v>Salto</v>
      </c>
      <c r="M429" s="55">
        <f t="shared" si="31"/>
        <v>45681</v>
      </c>
      <c r="N429" s="53">
        <f t="shared" si="30"/>
        <v>7</v>
      </c>
      <c r="O429" s="51">
        <v>1000</v>
      </c>
      <c r="P429" s="51"/>
      <c r="Q429" s="51">
        <v>1100</v>
      </c>
      <c r="R429" s="51">
        <v>23</v>
      </c>
      <c r="S429" s="51">
        <v>20</v>
      </c>
      <c r="T429" s="65"/>
      <c r="U429" s="65"/>
      <c r="V429" s="65" t="s">
        <v>895</v>
      </c>
      <c r="W429" s="51" t="s">
        <v>896</v>
      </c>
      <c r="X429" s="66" t="s">
        <v>966</v>
      </c>
    </row>
    <row r="430" hidden="1" ht="27.75" customHeight="1" s="32" customFormat="1">
      <c r="A430" s="37"/>
      <c r="B430" s="31" t="s">
        <v>32</v>
      </c>
      <c r="C430" s="59" t="s">
        <v>967</v>
      </c>
      <c r="D430" s="57" t="s">
        <v>30</v>
      </c>
      <c r="E430" s="57">
        <v>45664</v>
      </c>
      <c r="F430" s="38" t="str">
        <f>IF(C430&lt;&gt;"",VLOOKUP($C430,Carpetas!$C$5:$L$2060,2,FALSE),"")</f>
        <v>ECE001</v>
      </c>
      <c r="G430" s="38" t="s">
        <v>43</v>
      </c>
      <c r="H430" s="44">
        <f>IF(C430&lt;&gt;"",VLOOKUP($C430,Carpetas!$C$5:$L$2060,9,FALSE),"")</f>
        <v>1514141</v>
      </c>
      <c r="I430" s="51" t="str">
        <f>IF(C430&lt;&gt;"",VLOOKUP($C430,Carpetas!$C$5:$L$2060,5,FALSE),"")</f>
        <v>Andino</v>
      </c>
      <c r="J430" s="51"/>
      <c r="K430" s="50">
        <v>45680</v>
      </c>
      <c r="L430" s="39" t="str">
        <f>VLOOKUP($C430,Carpetas!$C$5:$L$2060,4,FALSE)</f>
        <v>Fray Bentos</v>
      </c>
      <c r="M430" s="55">
        <f t="shared" si="31"/>
        <v>45681</v>
      </c>
      <c r="N430" s="53">
        <f t="shared" si="30"/>
        <v>17</v>
      </c>
      <c r="O430" s="51">
        <v>2160</v>
      </c>
      <c r="P430" s="51"/>
      <c r="Q430" s="51">
        <v>2160</v>
      </c>
      <c r="R430" s="51">
        <v>40</v>
      </c>
      <c r="S430" s="51"/>
      <c r="T430" s="65"/>
      <c r="U430" s="65"/>
      <c r="V430" s="65"/>
      <c r="W430" s="51"/>
      <c r="X430" s="66" t="s">
        <v>968</v>
      </c>
    </row>
    <row r="431" hidden="1" ht="27.75" customHeight="1" s="32" customFormat="1">
      <c r="A431" s="37"/>
      <c r="B431" s="31" t="s">
        <v>32</v>
      </c>
      <c r="C431" s="59" t="s">
        <v>969</v>
      </c>
      <c r="D431" s="57" t="s">
        <v>30</v>
      </c>
      <c r="E431" s="57">
        <v>45649</v>
      </c>
      <c r="F431" s="38" t="str">
        <f>IF(C431&lt;&gt;"",VLOOKUP($C431,Carpetas!$C$5:$L$2060,2,FALSE),"")</f>
        <v>COB025a</v>
      </c>
      <c r="G431" s="38" t="s">
        <v>267</v>
      </c>
      <c r="H431" s="44" t="str">
        <f>IF(C431&lt;&gt;"",VLOOKUP($C431,Carpetas!$C$5:$L$2060,9,FALSE),"")</f>
        <v>151.19.18</v>
      </c>
      <c r="I431" s="51" t="str">
        <f>IF(C431&lt;&gt;"",VLOOKUP($C431,Carpetas!$C$5:$L$2060,5,FALSE),"")</f>
        <v>Andino</v>
      </c>
      <c r="J431" s="51"/>
      <c r="K431" s="50">
        <v>45680</v>
      </c>
      <c r="L431" s="39" t="str">
        <f>VLOOKUP($C431,Carpetas!$C$5:$L$2060,4,FALSE)</f>
        <v>Fray Bentos</v>
      </c>
      <c r="M431" s="55">
        <f t="shared" si="31"/>
        <v>45681</v>
      </c>
      <c r="N431" s="53">
        <f t="shared" si="30"/>
        <v>32</v>
      </c>
      <c r="O431" s="51">
        <v>3240</v>
      </c>
      <c r="P431" s="51"/>
      <c r="Q431" s="51">
        <v>3240</v>
      </c>
      <c r="R431" s="51">
        <v>60</v>
      </c>
      <c r="S431" s="51">
        <v>20</v>
      </c>
      <c r="T431" s="65"/>
      <c r="U431" s="65"/>
      <c r="V431" s="65"/>
      <c r="W431" s="51" t="s">
        <v>970</v>
      </c>
      <c r="X431" s="66" t="s">
        <v>971</v>
      </c>
    </row>
    <row r="432" hidden="1" ht="27.75" customHeight="1" s="32" customFormat="1">
      <c r="A432" s="37"/>
      <c r="B432" s="31" t="s">
        <v>32</v>
      </c>
      <c r="C432" s="59" t="s">
        <v>972</v>
      </c>
      <c r="D432" s="57" t="s">
        <v>48</v>
      </c>
      <c r="E432" s="57">
        <v>45679</v>
      </c>
      <c r="F432" s="38" t="str">
        <f>IF(C432&lt;&gt;"",VLOOKUP($C432,Carpetas!$C$5:$L$2060,2,FALSE),"")</f>
        <v>CLP005</v>
      </c>
      <c r="G432" s="38" t="s">
        <v>35</v>
      </c>
      <c r="H432" s="44">
        <f>IF(C432&lt;&gt;"",VLOOKUP($C432,Carpetas!$C$5:$L$2060,9,FALSE),"")</f>
        <v>0</v>
      </c>
      <c r="I432" s="51" t="str">
        <f>IF(C432&lt;&gt;"",VLOOKUP($C432,Carpetas!$C$5:$L$2060,5,FALSE),"")</f>
        <v>Sarla y Ramón</v>
      </c>
      <c r="J432" s="51"/>
      <c r="K432" s="50">
        <f>E432+4</f>
        <v>45683</v>
      </c>
      <c r="L432" s="39" t="str">
        <f>VLOOKUP($C432,Carpetas!$C$5:$L$2060,4,FALSE)</f>
        <v>Fray Bentos</v>
      </c>
      <c r="M432" s="55">
        <f>E432+3</f>
        <v>45682</v>
      </c>
      <c r="N432" s="53">
        <f t="shared" si="30"/>
        <v>3</v>
      </c>
      <c r="O432" s="51">
        <v>2112</v>
      </c>
      <c r="P432" s="51"/>
      <c r="Q432" s="51"/>
      <c r="R432" s="51"/>
      <c r="S432" s="51"/>
      <c r="T432" s="65"/>
      <c r="U432" s="65"/>
      <c r="V432" s="65"/>
      <c r="W432" s="51"/>
      <c r="X432" s="66"/>
    </row>
    <row r="433" hidden="1" ht="27.75" customHeight="1" s="32" customFormat="1">
      <c r="A433" s="37"/>
      <c r="B433" s="31" t="s">
        <v>32</v>
      </c>
      <c r="C433" s="59" t="s">
        <v>973</v>
      </c>
      <c r="D433" s="57" t="s">
        <v>34</v>
      </c>
      <c r="E433" s="57">
        <v>45679</v>
      </c>
      <c r="F433" s="38" t="str">
        <f>IF(C433&lt;&gt;"",VLOOKUP($C433,Carpetas!$C$5:$L$2060,2,FALSE),"")</f>
        <v>CLA002</v>
      </c>
      <c r="G433" s="38" t="s">
        <v>35</v>
      </c>
      <c r="H433" s="44">
        <f>IF(C433&lt;&gt;"",VLOOKUP($C433,Carpetas!$C$5:$L$2060,9,FALSE),"")</f>
        <v>0</v>
      </c>
      <c r="I433" s="51" t="str">
        <f>IF(C433&lt;&gt;"",VLOOKUP($C433,Carpetas!$C$5:$L$2060,5,FALSE),"")</f>
        <v>Nihuil</v>
      </c>
      <c r="J433" s="51"/>
      <c r="K433" s="50">
        <v>45684</v>
      </c>
      <c r="L433" s="39" t="str">
        <f>VLOOKUP($C433,Carpetas!$C$5:$L$2060,4,FALSE)</f>
        <v>Fray Bentos</v>
      </c>
      <c r="M433" s="55">
        <f ref="M433:M446" t="shared" si="32">K433+1</f>
        <v>45685</v>
      </c>
      <c r="N433" s="53">
        <f t="shared" si="30"/>
        <v>6</v>
      </c>
      <c r="O433" s="51">
        <v>7920</v>
      </c>
      <c r="P433" s="51"/>
      <c r="Q433" s="51"/>
      <c r="R433" s="51"/>
      <c r="S433" s="51"/>
      <c r="T433" s="65"/>
      <c r="U433" s="65"/>
      <c r="V433" s="65"/>
      <c r="W433" s="51"/>
      <c r="X433" s="66"/>
    </row>
    <row r="434" hidden="1" ht="27.75" customHeight="1" s="32" customFormat="1">
      <c r="A434" s="37"/>
      <c r="B434" s="31" t="s">
        <v>32</v>
      </c>
      <c r="C434" s="59" t="s">
        <v>974</v>
      </c>
      <c r="D434" s="57" t="s">
        <v>30</v>
      </c>
      <c r="E434" s="57">
        <v>45656</v>
      </c>
      <c r="F434" s="38" t="str">
        <f>IF(C434&lt;&gt;"",VLOOKUP($C434,Carpetas!$C$5:$L$2060,2,FALSE),"")</f>
        <v>COB025b</v>
      </c>
      <c r="G434" s="38" t="s">
        <v>267</v>
      </c>
      <c r="H434" s="44" t="str">
        <f>IF(C434&lt;&gt;"",VLOOKUP($C434,Carpetas!$C$5:$L$2060,9,FALSE),"")</f>
        <v>151.19.18</v>
      </c>
      <c r="I434" s="51" t="str">
        <f>IF(C434&lt;&gt;"",VLOOKUP($C434,Carpetas!$C$5:$L$2060,5,FALSE),"")</f>
        <v>Andino</v>
      </c>
      <c r="J434" s="51"/>
      <c r="K434" s="50">
        <v>45685</v>
      </c>
      <c r="L434" s="39" t="str">
        <f>VLOOKUP($C434,Carpetas!$C$5:$L$2060,4,FALSE)</f>
        <v>Fray Bentos</v>
      </c>
      <c r="M434" s="55">
        <f t="shared" si="32"/>
        <v>45686</v>
      </c>
      <c r="N434" s="53">
        <f t="shared" si="30"/>
        <v>30</v>
      </c>
      <c r="O434" s="51">
        <v>1080</v>
      </c>
      <c r="P434" s="51"/>
      <c r="Q434" s="51">
        <v>1080</v>
      </c>
      <c r="R434" s="51">
        <v>20</v>
      </c>
      <c r="S434" s="51">
        <v>20</v>
      </c>
      <c r="T434" s="65"/>
      <c r="U434" s="65"/>
      <c r="V434" s="65" t="s">
        <v>878</v>
      </c>
      <c r="W434" s="51" t="s">
        <v>140</v>
      </c>
      <c r="X434" s="66" t="s">
        <v>975</v>
      </c>
    </row>
    <row r="435" hidden="1" ht="27.75" customHeight="1" s="32" customFormat="1">
      <c r="A435" s="37"/>
      <c r="B435" s="31" t="s">
        <v>32</v>
      </c>
      <c r="C435" s="59" t="s">
        <v>976</v>
      </c>
      <c r="D435" s="57" t="s">
        <v>42</v>
      </c>
      <c r="E435" s="57">
        <v>45671</v>
      </c>
      <c r="F435" s="38" t="str">
        <f>IF(C435&lt;&gt;"",VLOOKUP($C435,Carpetas!$C$5:$L$2060,2,FALSE),"")</f>
        <v>ECA003</v>
      </c>
      <c r="G435" s="38" t="s">
        <v>43</v>
      </c>
      <c r="H435" s="44" t="str">
        <f>IF(C435&lt;&gt;"",VLOOKUP($C435,Carpetas!$C$5:$L$2060,9,FALSE),"")</f>
        <v>151,44,49</v>
      </c>
      <c r="I435" s="51" t="str">
        <f>IF(C435&lt;&gt;"",VLOOKUP($C435,Carpetas!$C$5:$L$2060,5,FALSE),"")</f>
        <v>Andino</v>
      </c>
      <c r="J435" s="51"/>
      <c r="K435" s="50">
        <v>45686</v>
      </c>
      <c r="L435" s="39" t="str">
        <f>VLOOKUP($C435,Carpetas!$C$5:$L$2060,4,FALSE)</f>
        <v>Fray Bentos</v>
      </c>
      <c r="M435" s="55">
        <f t="shared" si="32"/>
        <v>45687</v>
      </c>
      <c r="N435" s="53">
        <f t="shared" si="30"/>
        <v>16</v>
      </c>
      <c r="O435" s="51">
        <v>1680</v>
      </c>
      <c r="P435" s="51"/>
      <c r="Q435" s="51"/>
      <c r="R435" s="51"/>
      <c r="S435" s="51"/>
      <c r="T435" s="65"/>
      <c r="U435" s="65"/>
      <c r="V435" s="65"/>
      <c r="W435" s="51"/>
      <c r="X435" s="66"/>
    </row>
    <row r="436" hidden="1" ht="27.75" customHeight="1" s="32" customFormat="1">
      <c r="A436" s="37"/>
      <c r="B436" s="31" t="s">
        <v>32</v>
      </c>
      <c r="C436" s="59" t="s">
        <v>977</v>
      </c>
      <c r="D436" s="57" t="s">
        <v>30</v>
      </c>
      <c r="E436" s="57">
        <v>45681</v>
      </c>
      <c r="F436" s="38" t="str">
        <f>IF(C436&lt;&gt;"",VLOOKUP($C436,Carpetas!$C$5:$L$2060,2,FALSE),"")</f>
        <v>BOB002</v>
      </c>
      <c r="G436" s="38" t="s">
        <v>31</v>
      </c>
      <c r="H436" s="44">
        <f>IF(C436&lt;&gt;"",VLOOKUP($C436,Carpetas!$C$5:$L$2060,9,FALSE),"")</f>
        <v>1515512</v>
      </c>
      <c r="I436" s="51" t="str">
        <f>IF(C436&lt;&gt;"",VLOOKUP($C436,Carpetas!$C$5:$L$2060,5,FALSE),"")</f>
        <v>El Palomar</v>
      </c>
      <c r="J436" s="51"/>
      <c r="K436" s="50">
        <v>45686</v>
      </c>
      <c r="L436" s="39" t="s">
        <v>978</v>
      </c>
      <c r="M436" s="55">
        <f t="shared" si="32"/>
        <v>45687</v>
      </c>
      <c r="N436" s="53">
        <f t="shared" si="30"/>
        <v>6</v>
      </c>
      <c r="O436" s="51">
        <v>1104</v>
      </c>
      <c r="P436" s="51"/>
      <c r="Q436" s="51">
        <v>1104</v>
      </c>
      <c r="R436" s="51">
        <v>23</v>
      </c>
      <c r="S436" s="51">
        <v>21</v>
      </c>
      <c r="T436" s="65"/>
      <c r="U436" s="65"/>
      <c r="V436" s="65" t="s">
        <v>605</v>
      </c>
      <c r="W436" s="51" t="s">
        <v>899</v>
      </c>
      <c r="X436" s="66" t="s">
        <v>979</v>
      </c>
    </row>
    <row r="437" hidden="1" ht="27.75" customHeight="1" s="32" customFormat="1">
      <c r="A437" s="37"/>
      <c r="B437" s="31" t="s">
        <v>32</v>
      </c>
      <c r="C437" s="59" t="s">
        <v>980</v>
      </c>
      <c r="D437" s="57" t="s">
        <v>30</v>
      </c>
      <c r="E437" s="57">
        <v>45681</v>
      </c>
      <c r="F437" s="38" t="str">
        <f>IF(C437&lt;&gt;"",VLOOKUP($C437,Carpetas!$C$5:$L$2060,2,FALSE),"")</f>
        <v>BOB003</v>
      </c>
      <c r="G437" s="38" t="s">
        <v>31</v>
      </c>
      <c r="H437" s="44">
        <f>IF(C437&lt;&gt;"",VLOOKUP($C437,Carpetas!$C$5:$L$2060,9,FALSE),"")</f>
        <v>1515724</v>
      </c>
      <c r="I437" s="51" t="str">
        <f>IF(C437&lt;&gt;"",VLOOKUP($C437,Carpetas!$C$5:$L$2060,5,FALSE),"")</f>
        <v>El Palomar</v>
      </c>
      <c r="J437" s="51"/>
      <c r="K437" s="50">
        <v>45686</v>
      </c>
      <c r="L437" s="39" t="s">
        <v>978</v>
      </c>
      <c r="M437" s="55">
        <f t="shared" si="32"/>
        <v>45687</v>
      </c>
      <c r="N437" s="53">
        <f t="shared" si="30"/>
        <v>6</v>
      </c>
      <c r="O437" s="51">
        <v>1100</v>
      </c>
      <c r="P437" s="51"/>
      <c r="Q437" s="51">
        <v>1104</v>
      </c>
      <c r="R437" s="51">
        <v>23</v>
      </c>
      <c r="S437" s="51">
        <v>20.5</v>
      </c>
      <c r="T437" s="65"/>
      <c r="U437" s="65"/>
      <c r="V437" s="65" t="s">
        <v>605</v>
      </c>
      <c r="W437" s="51" t="s">
        <v>981</v>
      </c>
      <c r="X437" s="66" t="s">
        <v>979</v>
      </c>
    </row>
    <row r="438" hidden="1" ht="27.75" customHeight="1" s="32" customFormat="1">
      <c r="A438" s="37"/>
      <c r="B438" s="31" t="s">
        <v>32</v>
      </c>
      <c r="C438" s="59" t="s">
        <v>982</v>
      </c>
      <c r="D438" s="57" t="s">
        <v>30</v>
      </c>
      <c r="E438" s="57">
        <v>45681</v>
      </c>
      <c r="F438" s="38" t="s">
        <v>983</v>
      </c>
      <c r="G438" s="38" t="s">
        <v>31</v>
      </c>
      <c r="H438" s="44">
        <f>IF(C438&lt;&gt;"",VLOOKUP($C438,Carpetas!$C$5:$L$2060,9,FALSE),"")</f>
        <v>1377098</v>
      </c>
      <c r="I438" s="51" t="str">
        <f>IF(C438&lt;&gt;"",VLOOKUP($C438,Carpetas!$C$5:$L$2060,5,FALSE),"")</f>
        <v>CDC</v>
      </c>
      <c r="J438" s="51"/>
      <c r="K438" s="50">
        <v>45686</v>
      </c>
      <c r="L438" s="39" t="s">
        <v>978</v>
      </c>
      <c r="M438" s="55">
        <f t="shared" si="32"/>
        <v>45687</v>
      </c>
      <c r="N438" s="53">
        <f t="shared" si="30"/>
        <v>6</v>
      </c>
      <c r="O438" s="51">
        <v>1100</v>
      </c>
      <c r="P438" s="51"/>
      <c r="Q438" s="51">
        <v>1100</v>
      </c>
      <c r="R438" s="51">
        <v>23</v>
      </c>
      <c r="S438" s="51">
        <v>20.5</v>
      </c>
      <c r="T438" s="65"/>
      <c r="U438" s="65"/>
      <c r="V438" s="65" t="s">
        <v>895</v>
      </c>
      <c r="W438" s="51" t="s">
        <v>984</v>
      </c>
      <c r="X438" s="66">
        <v>45688</v>
      </c>
    </row>
    <row r="439" hidden="1" ht="27.75" customHeight="1" s="32" customFormat="1">
      <c r="A439" s="37"/>
      <c r="B439" s="31" t="s">
        <v>32</v>
      </c>
      <c r="C439" s="59" t="s">
        <v>985</v>
      </c>
      <c r="D439" s="57" t="s">
        <v>30</v>
      </c>
      <c r="E439" s="57">
        <v>45671</v>
      </c>
      <c r="F439" s="38" t="str">
        <f>IF(C439&lt;&gt;"",VLOOKUP($C439,Carpetas!$C$5:$L$2060,2,FALSE),"")</f>
        <v>ECE003</v>
      </c>
      <c r="G439" s="38" t="s">
        <v>43</v>
      </c>
      <c r="H439" s="44">
        <f>IF(C439&lt;&gt;"",VLOOKUP($C439,Carpetas!$C$5:$L$2060,9,FALSE),"")</f>
        <v>1514492</v>
      </c>
      <c r="I439" s="51" t="str">
        <f>IF(C439&lt;&gt;"",VLOOKUP($C439,Carpetas!$C$5:$L$2060,5,FALSE),"")</f>
        <v>Andino</v>
      </c>
      <c r="J439" s="51"/>
      <c r="K439" s="50">
        <v>45687</v>
      </c>
      <c r="L439" s="39" t="str">
        <f>VLOOKUP($C439,Carpetas!$C$5:$L$2060,4,FALSE)</f>
        <v>Fray Bentos</v>
      </c>
      <c r="M439" s="55">
        <f t="shared" si="32"/>
        <v>45688</v>
      </c>
      <c r="N439" s="53">
        <f t="shared" si="30"/>
        <v>17</v>
      </c>
      <c r="O439" s="51">
        <v>1128</v>
      </c>
      <c r="P439" s="51"/>
      <c r="Q439" s="51">
        <v>1128</v>
      </c>
      <c r="R439" s="51">
        <v>20</v>
      </c>
      <c r="S439" s="51">
        <v>21</v>
      </c>
      <c r="T439" s="65"/>
      <c r="U439" s="65"/>
      <c r="V439" s="65" t="s">
        <v>60</v>
      </c>
      <c r="W439" s="51" t="s">
        <v>146</v>
      </c>
      <c r="X439" s="66" t="s">
        <v>986</v>
      </c>
    </row>
    <row r="440" hidden="1" ht="27.75" customHeight="1" s="32" customFormat="1">
      <c r="A440" s="37"/>
      <c r="B440" s="31" t="s">
        <v>32</v>
      </c>
      <c r="C440" s="59" t="s">
        <v>987</v>
      </c>
      <c r="D440" s="57" t="s">
        <v>518</v>
      </c>
      <c r="E440" s="57">
        <v>45679</v>
      </c>
      <c r="F440" s="38" t="str">
        <f>IF(C440&lt;&gt;"",VLOOKUP($C440,Carpetas!$C$5:$L$2060,2,FALSE),"")</f>
        <v>CLP006</v>
      </c>
      <c r="G440" s="38" t="s">
        <v>35</v>
      </c>
      <c r="H440" s="44">
        <f>IF(C440&lt;&gt;"",VLOOKUP($C440,Carpetas!$C$5:$L$2060,9,FALSE),"")</f>
        <v>1515604</v>
      </c>
      <c r="I440" s="51" t="str">
        <f>IF(C440&lt;&gt;"",VLOOKUP($C440,Carpetas!$C$5:$L$2060,5,FALSE),"")</f>
        <v>Nihuil</v>
      </c>
      <c r="J440" s="51"/>
      <c r="K440" s="50">
        <v>45687</v>
      </c>
      <c r="L440" s="39" t="str">
        <f>VLOOKUP($C440,Carpetas!$C$5:$L$2060,4,FALSE)</f>
        <v>Fray Bentos</v>
      </c>
      <c r="M440" s="55">
        <f t="shared" si="32"/>
        <v>45688</v>
      </c>
      <c r="N440" s="53">
        <f t="shared" si="30"/>
        <v>9</v>
      </c>
      <c r="O440" s="51">
        <v>1936</v>
      </c>
      <c r="P440" s="51"/>
      <c r="Q440" s="51">
        <v>1936</v>
      </c>
      <c r="R440" s="51">
        <v>22</v>
      </c>
      <c r="S440" s="51">
        <v>11</v>
      </c>
      <c r="T440" s="65"/>
      <c r="U440" s="65"/>
      <c r="V440" s="65" t="s">
        <v>518</v>
      </c>
      <c r="W440" s="51" t="s">
        <v>888</v>
      </c>
      <c r="X440" s="66" t="s">
        <v>988</v>
      </c>
    </row>
    <row r="441" hidden="1" ht="27.75" customHeight="1" s="32" customFormat="1">
      <c r="A441" s="37"/>
      <c r="B441" s="31" t="s">
        <v>32</v>
      </c>
      <c r="C441" s="59" t="s">
        <v>989</v>
      </c>
      <c r="D441" s="57" t="s">
        <v>30</v>
      </c>
      <c r="E441" s="57">
        <v>45671</v>
      </c>
      <c r="F441" s="38" t="str">
        <f>IF(C441&lt;&gt;"",VLOOKUP($C441,Carpetas!$C$5:$L$2060,2,FALSE),"")</f>
        <v>ECE002</v>
      </c>
      <c r="G441" s="38" t="s">
        <v>43</v>
      </c>
      <c r="H441" s="44">
        <f>IF(C441&lt;&gt;"",VLOOKUP($C441,Carpetas!$C$5:$L$2060,9,FALSE),"")</f>
        <v>1514491</v>
      </c>
      <c r="I441" s="51" t="str">
        <f>IF(C441&lt;&gt;"",VLOOKUP($C441,Carpetas!$C$5:$L$2060,5,FALSE),"")</f>
        <v>Andino</v>
      </c>
      <c r="J441" s="51"/>
      <c r="K441" s="50">
        <v>45687</v>
      </c>
      <c r="L441" s="39" t="str">
        <f>VLOOKUP($C441,Carpetas!$C$5:$L$2060,4,FALSE)</f>
        <v>Fray Bentos</v>
      </c>
      <c r="M441" s="55">
        <f t="shared" si="32"/>
        <v>45688</v>
      </c>
      <c r="N441" s="53">
        <f t="shared" si="30"/>
        <v>17</v>
      </c>
      <c r="O441" s="51">
        <v>3240</v>
      </c>
      <c r="P441" s="51"/>
      <c r="Q441" s="51">
        <v>3240</v>
      </c>
      <c r="R441" s="51">
        <v>60</v>
      </c>
      <c r="S441" s="51">
        <v>21</v>
      </c>
      <c r="T441" s="65"/>
      <c r="U441" s="65"/>
      <c r="V441" s="65" t="s">
        <v>60</v>
      </c>
      <c r="W441" s="51" t="s">
        <v>990</v>
      </c>
      <c r="X441" s="66" t="s">
        <v>991</v>
      </c>
    </row>
    <row r="442" hidden="1" ht="23.25" customHeight="1" s="32" customFormat="1">
      <c r="A442" s="37"/>
      <c r="B442" s="31" t="s">
        <v>32</v>
      </c>
      <c r="C442" s="59" t="s">
        <v>992</v>
      </c>
      <c r="D442" s="57" t="s">
        <v>30</v>
      </c>
      <c r="E442" s="57">
        <v>45671</v>
      </c>
      <c r="F442" s="38" t="s">
        <v>993</v>
      </c>
      <c r="G442" s="38" t="s">
        <v>43</v>
      </c>
      <c r="H442" s="44">
        <f>IF(C442&lt;&gt;"",VLOOKUP($C442,Carpetas!$C$5:$L$2060,9,FALSE),"")</f>
        <v>1514140</v>
      </c>
      <c r="I442" s="51" t="str">
        <f>IF(C442&lt;&gt;"",VLOOKUP($C442,Carpetas!$C$5:$L$2060,5,FALSE),"")</f>
        <v>Andino</v>
      </c>
      <c r="J442" s="51"/>
      <c r="K442" s="50">
        <v>45687</v>
      </c>
      <c r="L442" s="39" t="str">
        <f>VLOOKUP($C442,Carpetas!$C$5:$L$2060,4,FALSE)</f>
        <v>Fray Bentos</v>
      </c>
      <c r="M442" s="55">
        <f t="shared" si="32"/>
        <v>45688</v>
      </c>
      <c r="N442" s="53">
        <f t="shared" si="30"/>
        <v>17</v>
      </c>
      <c r="O442" s="51">
        <v>2160</v>
      </c>
      <c r="P442" s="51"/>
      <c r="Q442" s="51">
        <v>2160</v>
      </c>
      <c r="R442" s="51">
        <v>40</v>
      </c>
      <c r="S442" s="51">
        <v>21</v>
      </c>
      <c r="T442" s="65"/>
      <c r="U442" s="65"/>
      <c r="V442" s="65" t="s">
        <v>55</v>
      </c>
      <c r="W442" s="51" t="s">
        <v>994</v>
      </c>
      <c r="X442" s="66" t="s">
        <v>995</v>
      </c>
    </row>
    <row r="443" hidden="1" ht="27.75" customHeight="1" s="32" customFormat="1">
      <c r="A443" s="37"/>
      <c r="B443" s="31" t="s">
        <v>32</v>
      </c>
      <c r="C443" s="59" t="s">
        <v>996</v>
      </c>
      <c r="D443" s="57" t="s">
        <v>30</v>
      </c>
      <c r="E443" s="57">
        <v>45663</v>
      </c>
      <c r="F443" s="38" t="str">
        <f>IF(C443&lt;&gt;"",VLOOKUP($C443,Carpetas!$C$5:$L$2060,2,FALSE),"")</f>
        <v>COB001</v>
      </c>
      <c r="G443" s="38" t="s">
        <v>267</v>
      </c>
      <c r="H443" s="44">
        <f>IF(C443&lt;&gt;"",VLOOKUP($C443,Carpetas!$C$5:$L$2060,9,FALSE),"")</f>
        <v>0</v>
      </c>
      <c r="I443" s="51" t="str">
        <f>IF(C443&lt;&gt;"",VLOOKUP($C443,Carpetas!$C$5:$L$2060,5,FALSE),"")</f>
        <v>Andino</v>
      </c>
      <c r="J443" s="51"/>
      <c r="K443" s="50">
        <v>45692</v>
      </c>
      <c r="L443" s="39" t="str">
        <f>VLOOKUP($C443,Carpetas!$C$5:$L$2060,4,FALSE)</f>
        <v>Fray Bentos</v>
      </c>
      <c r="M443" s="55">
        <f t="shared" si="32"/>
        <v>45693</v>
      </c>
      <c r="N443" s="53">
        <f t="shared" si="30"/>
        <v>30</v>
      </c>
      <c r="O443" s="51">
        <v>2160</v>
      </c>
      <c r="P443" s="51"/>
      <c r="Q443" s="51">
        <v>2160</v>
      </c>
      <c r="R443" s="51">
        <v>40</v>
      </c>
      <c r="S443" s="51">
        <v>19.7</v>
      </c>
      <c r="T443" s="65"/>
      <c r="U443" s="65"/>
      <c r="V443" s="65" t="s">
        <v>997</v>
      </c>
      <c r="W443" s="51" t="s">
        <v>998</v>
      </c>
      <c r="X443" s="66" t="s">
        <v>999</v>
      </c>
    </row>
    <row r="444" hidden="1" ht="27.75" customHeight="1" s="32" customFormat="1">
      <c r="A444" s="37"/>
      <c r="B444" s="31" t="s">
        <v>32</v>
      </c>
      <c r="C444" s="59" t="s">
        <v>1000</v>
      </c>
      <c r="D444" s="57" t="s">
        <v>30</v>
      </c>
      <c r="E444" s="57">
        <v>45670</v>
      </c>
      <c r="F444" s="38" t="str">
        <f>IF(C444&lt;&gt;"",VLOOKUP($C444,Carpetas!$C$5:$L$2060,2,FALSE),"")</f>
        <v>COB002</v>
      </c>
      <c r="G444" s="38" t="s">
        <v>267</v>
      </c>
      <c r="H444" s="44">
        <f>IF(C444&lt;&gt;"",VLOOKUP($C444,Carpetas!$C$5:$L$2060,9,FALSE),"")</f>
        <v>0</v>
      </c>
      <c r="I444" s="51" t="str">
        <f>IF(C444&lt;&gt;"",VLOOKUP($C444,Carpetas!$C$5:$L$2060,5,FALSE),"")</f>
        <v>Andino</v>
      </c>
      <c r="J444" s="51"/>
      <c r="K444" s="50">
        <v>45692</v>
      </c>
      <c r="L444" s="39" t="str">
        <f>VLOOKUP($C444,Carpetas!$C$5:$L$2060,4,FALSE)</f>
        <v>Fray Bentos</v>
      </c>
      <c r="M444" s="55">
        <f t="shared" si="32"/>
        <v>45693</v>
      </c>
      <c r="N444" s="53">
        <f t="shared" si="30"/>
        <v>23</v>
      </c>
      <c r="O444" s="51">
        <v>2160</v>
      </c>
      <c r="P444" s="51"/>
      <c r="Q444" s="51">
        <v>2160</v>
      </c>
      <c r="R444" s="51">
        <v>40</v>
      </c>
      <c r="S444" s="51"/>
      <c r="T444" s="65"/>
      <c r="U444" s="65" t="s">
        <v>0</v>
      </c>
      <c r="V444" s="65" t="s">
        <v>997</v>
      </c>
      <c r="W444" s="51" t="s">
        <v>1001</v>
      </c>
      <c r="X444" s="66" t="s">
        <v>999</v>
      </c>
    </row>
    <row r="445" hidden="1" ht="27.75" customHeight="1" s="32" customFormat="1">
      <c r="A445" s="37"/>
      <c r="B445" s="31" t="s">
        <v>32</v>
      </c>
      <c r="C445" s="59" t="s">
        <v>1002</v>
      </c>
      <c r="D445" s="57" t="s">
        <v>30</v>
      </c>
      <c r="E445" s="57">
        <v>45686</v>
      </c>
      <c r="F445" s="38" t="str">
        <f>IF(C445&lt;&gt;"",VLOOKUP($C445,Carpetas!$C$5:$L$2060,2,FALSE),"")</f>
        <v>BOB005</v>
      </c>
      <c r="G445" s="38" t="s">
        <v>31</v>
      </c>
      <c r="H445" s="44">
        <f>IF(C445&lt;&gt;"",VLOOKUP($C445,Carpetas!$C$5:$L$2060,9,FALSE),"")</f>
        <v>0</v>
      </c>
      <c r="I445" s="51" t="str">
        <f>IF(C445&lt;&gt;"",VLOOKUP($C445,Carpetas!$C$5:$L$2060,5,FALSE),"")</f>
        <v>Sur Central</v>
      </c>
      <c r="J445" s="51"/>
      <c r="K445" s="50">
        <v>45693</v>
      </c>
      <c r="L445" s="39" t="str">
        <f>VLOOKUP($C445,Carpetas!$C$5:$L$2060,4,FALSE)</f>
        <v>Salto</v>
      </c>
      <c r="M445" s="55">
        <f t="shared" si="32"/>
        <v>45694</v>
      </c>
      <c r="N445" s="53">
        <f t="shared" si="30"/>
        <v>8</v>
      </c>
      <c r="O445" s="51">
        <v>1100</v>
      </c>
      <c r="P445" s="51"/>
      <c r="Q445" s="51">
        <v>1100</v>
      </c>
      <c r="R445" s="51">
        <v>23</v>
      </c>
      <c r="S445" s="51">
        <v>20</v>
      </c>
      <c r="T445" s="65"/>
      <c r="U445" s="65"/>
      <c r="V445" s="65" t="s">
        <v>895</v>
      </c>
      <c r="W445" s="51" t="s">
        <v>808</v>
      </c>
      <c r="X445" s="66" t="s">
        <v>1003</v>
      </c>
    </row>
    <row r="446" hidden="1" ht="27.75" customHeight="1" s="32" customFormat="1">
      <c r="A446" s="37"/>
      <c r="B446" s="31" t="s">
        <v>32</v>
      </c>
      <c r="C446" s="59" t="s">
        <v>1004</v>
      </c>
      <c r="D446" s="57" t="s">
        <v>30</v>
      </c>
      <c r="E446" s="57">
        <v>45686</v>
      </c>
      <c r="F446" s="38" t="str">
        <f>IF(C446&lt;&gt;"",VLOOKUP($C446,Carpetas!$C$5:$L$2060,2,FALSE),"")</f>
        <v>BOB006</v>
      </c>
      <c r="G446" s="38" t="s">
        <v>31</v>
      </c>
      <c r="H446" s="44">
        <f>IF(C446&lt;&gt;"",VLOOKUP($C446,Carpetas!$C$5:$L$2060,9,FALSE),"")</f>
        <v>0</v>
      </c>
      <c r="I446" s="51" t="str">
        <f>IF(C446&lt;&gt;"",VLOOKUP($C446,Carpetas!$C$5:$L$2060,5,FALSE),"")</f>
        <v>El Palomar</v>
      </c>
      <c r="J446" s="51"/>
      <c r="K446" s="50">
        <v>45693</v>
      </c>
      <c r="L446" s="39" t="str">
        <f>VLOOKUP($C446,Carpetas!$C$5:$L$2060,4,FALSE)</f>
        <v>Salto</v>
      </c>
      <c r="M446" s="55">
        <f t="shared" si="32"/>
        <v>45694</v>
      </c>
      <c r="N446" s="53">
        <f t="shared" si="30"/>
        <v>8</v>
      </c>
      <c r="O446" s="51">
        <v>1100</v>
      </c>
      <c r="P446" s="51"/>
      <c r="Q446" s="51">
        <v>1104</v>
      </c>
      <c r="R446" s="51">
        <v>23</v>
      </c>
      <c r="S446" s="51">
        <v>20.5</v>
      </c>
      <c r="T446" s="65"/>
      <c r="U446" s="65"/>
      <c r="V446" s="65" t="s">
        <v>605</v>
      </c>
      <c r="W446" s="51" t="s">
        <v>1005</v>
      </c>
      <c r="X446" s="66" t="s">
        <v>1006</v>
      </c>
    </row>
    <row r="447" hidden="1" ht="27.75" customHeight="1" s="32" customFormat="1">
      <c r="A447" s="37"/>
      <c r="B447" s="31" t="s">
        <v>32</v>
      </c>
      <c r="C447" s="59" t="s">
        <v>1007</v>
      </c>
      <c r="D447" s="57" t="s">
        <v>632</v>
      </c>
      <c r="E447" s="57">
        <v>45691</v>
      </c>
      <c r="F447" s="38" t="str">
        <f>IF(C447&lt;&gt;"",VLOOKUP($C447,Carpetas!$C$5:$L$2060,2,FALSE),"")</f>
        <v>ECES002</v>
      </c>
      <c r="G447" s="38" t="s">
        <v>43</v>
      </c>
      <c r="H447" s="44">
        <f>IF(C447&lt;&gt;"",VLOOKUP($C447,Carpetas!$C$5:$L$2060,9,FALSE),"")</f>
        <v>0</v>
      </c>
      <c r="I447" s="51" t="str">
        <f>IF(C447&lt;&gt;"",VLOOKUP($C447,Carpetas!$C$5:$L$2060,5,FALSE),"")</f>
        <v>Ciatran</v>
      </c>
      <c r="J447" s="51"/>
      <c r="K447" s="50">
        <v>45693</v>
      </c>
      <c r="L447" s="39" t="str">
        <f>VLOOKUP($C447,Carpetas!$C$5:$L$2060,4,FALSE)</f>
        <v>Carrasco</v>
      </c>
      <c r="M447" s="55">
        <f>K447+1+1</f>
        <v>45695</v>
      </c>
      <c r="N447" s="53">
        <f ref="N447:N478" t="shared" si="33">IF(M447&lt;&gt;"",M447-E447,"-")</f>
        <v>4</v>
      </c>
      <c r="O447" s="51">
        <v>200</v>
      </c>
      <c r="P447" s="51"/>
      <c r="Q447" s="51"/>
      <c r="R447" s="51"/>
      <c r="S447" s="51"/>
      <c r="T447" s="65"/>
      <c r="U447" s="65"/>
      <c r="V447" s="65"/>
      <c r="W447" s="51"/>
      <c r="X447" s="66"/>
    </row>
    <row r="448" hidden="1" ht="27.75" customHeight="1" s="32" customFormat="1">
      <c r="A448" s="37"/>
      <c r="B448" s="31" t="s">
        <v>32</v>
      </c>
      <c r="C448" s="59" t="s">
        <v>1008</v>
      </c>
      <c r="D448" s="57" t="s">
        <v>30</v>
      </c>
      <c r="E448" s="57">
        <v>45678</v>
      </c>
      <c r="F448" s="38" t="str">
        <f>IF(C448&lt;&gt;"",VLOOKUP($C448,Carpetas!$C$5:$L$2060,2,FALSE),"")</f>
        <v>ECE004</v>
      </c>
      <c r="G448" s="38" t="s">
        <v>43</v>
      </c>
      <c r="H448" s="44">
        <f>IF(C448&lt;&gt;"",VLOOKUP($C448,Carpetas!$C$5:$L$2060,9,FALSE),"")</f>
        <v>1514956</v>
      </c>
      <c r="I448" s="51" t="str">
        <f>IF(C448&lt;&gt;"",VLOOKUP($C448,Carpetas!$C$5:$L$2060,5,FALSE),"")</f>
        <v>Andino</v>
      </c>
      <c r="J448" s="51"/>
      <c r="K448" s="50">
        <v>45694</v>
      </c>
      <c r="L448" s="39" t="str">
        <f>VLOOKUP($C448,Carpetas!$C$5:$L$2060,4,FALSE)</f>
        <v>Fray Bentos</v>
      </c>
      <c r="M448" s="55">
        <f>K448+1</f>
        <v>45695</v>
      </c>
      <c r="N448" s="53">
        <f t="shared" si="33"/>
        <v>17</v>
      </c>
      <c r="O448" s="51">
        <v>1080</v>
      </c>
      <c r="P448" s="51"/>
      <c r="Q448" s="51">
        <v>1080</v>
      </c>
      <c r="R448" s="51">
        <v>20</v>
      </c>
      <c r="S448" s="51">
        <v>20.5</v>
      </c>
      <c r="T448" s="65"/>
      <c r="U448" s="65"/>
      <c r="V448" s="65" t="s">
        <v>60</v>
      </c>
      <c r="W448" s="51" t="s">
        <v>110</v>
      </c>
      <c r="X448" s="66" t="s">
        <v>1009</v>
      </c>
    </row>
    <row r="449" hidden="1" ht="27.75" customHeight="1" s="32" customFormat="1">
      <c r="A449" s="37"/>
      <c r="B449" s="31" t="s">
        <v>32</v>
      </c>
      <c r="C449" s="59" t="s">
        <v>1010</v>
      </c>
      <c r="D449" s="57" t="s">
        <v>30</v>
      </c>
      <c r="E449" s="57">
        <v>45678</v>
      </c>
      <c r="F449" s="38" t="str">
        <f>IF(C449&lt;&gt;"",VLOOKUP($C449,Carpetas!$C$5:$L$2060,2,FALSE),"")</f>
        <v>ECB002</v>
      </c>
      <c r="G449" s="38" t="s">
        <v>43</v>
      </c>
      <c r="H449" s="44">
        <f>IF(C449&lt;&gt;"",VLOOKUP($C449,Carpetas!$C$5:$L$2060,9,FALSE),"")</f>
        <v>1514956</v>
      </c>
      <c r="I449" s="51" t="str">
        <f>IF(C449&lt;&gt;"",VLOOKUP($C449,Carpetas!$C$5:$L$2060,5,FALSE),"")</f>
        <v>Andino</v>
      </c>
      <c r="J449" s="51"/>
      <c r="K449" s="50">
        <v>45695</v>
      </c>
      <c r="L449" s="39" t="str">
        <f>VLOOKUP($C449,Carpetas!$C$5:$L$2060,4,FALSE)</f>
        <v>Fray Bentos</v>
      </c>
      <c r="M449" s="55">
        <f>K449+1</f>
        <v>45696</v>
      </c>
      <c r="N449" s="53">
        <f t="shared" si="33"/>
        <v>18</v>
      </c>
      <c r="O449" s="51">
        <v>1080</v>
      </c>
      <c r="P449" s="51"/>
      <c r="Q449" s="51">
        <v>1080</v>
      </c>
      <c r="R449" s="51">
        <v>20</v>
      </c>
      <c r="S449" s="51">
        <v>21</v>
      </c>
      <c r="T449" s="65"/>
      <c r="U449" s="65"/>
      <c r="V449" s="65" t="s">
        <v>55</v>
      </c>
      <c r="W449" s="51" t="s">
        <v>94</v>
      </c>
      <c r="X449" s="66" t="s">
        <v>1011</v>
      </c>
    </row>
    <row r="450" hidden="1" ht="27.75" customHeight="1" s="32" customFormat="1">
      <c r="A450" s="37"/>
      <c r="B450" s="31" t="s">
        <v>32</v>
      </c>
      <c r="C450" s="59" t="s">
        <v>1012</v>
      </c>
      <c r="D450" s="57" t="s">
        <v>48</v>
      </c>
      <c r="E450" s="57">
        <v>45692</v>
      </c>
      <c r="F450" s="38" t="str">
        <f>IF(C450&lt;&gt;"",VLOOKUP($C450,Carpetas!$C$5:$L$2060,2,FALSE),"")</f>
        <v>CLP008</v>
      </c>
      <c r="G450" s="38" t="s">
        <v>35</v>
      </c>
      <c r="H450" s="44">
        <f>IF(C450&lt;&gt;"",VLOOKUP($C450,Carpetas!$C$5:$L$2060,9,FALSE),"")</f>
        <v>0</v>
      </c>
      <c r="I450" s="51" t="str">
        <f>IF(C450&lt;&gt;"",VLOOKUP($C450,Carpetas!$C$5:$L$2060,5,FALSE),"")</f>
        <v>RCT</v>
      </c>
      <c r="J450" s="51"/>
      <c r="K450" s="50">
        <v>45695</v>
      </c>
      <c r="L450" s="39" t="str">
        <f>VLOOKUP($C450,Carpetas!$C$5:$L$2060,4,FALSE)</f>
        <v>Fray Bentos</v>
      </c>
      <c r="M450" s="55">
        <f>K450+1</f>
        <v>45696</v>
      </c>
      <c r="N450" s="53">
        <f t="shared" si="33"/>
        <v>4</v>
      </c>
      <c r="O450" s="51">
        <v>1936</v>
      </c>
      <c r="P450" s="51"/>
      <c r="Q450" s="51">
        <v>1936</v>
      </c>
      <c r="R450" s="51">
        <v>22</v>
      </c>
      <c r="S450" s="51">
        <v>11</v>
      </c>
      <c r="T450" s="65"/>
      <c r="U450" s="65"/>
      <c r="V450" s="65" t="s">
        <v>486</v>
      </c>
      <c r="W450" s="51"/>
      <c r="X450" s="66" t="s">
        <v>1013</v>
      </c>
    </row>
    <row r="451" hidden="1" ht="27.75" customHeight="1" s="32" customFormat="1">
      <c r="A451" s="37"/>
      <c r="B451" s="31" t="s">
        <v>32</v>
      </c>
      <c r="C451" s="59" t="s">
        <v>1014</v>
      </c>
      <c r="D451" s="57" t="s">
        <v>48</v>
      </c>
      <c r="E451" s="57">
        <v>45691</v>
      </c>
      <c r="F451" s="38" t="str">
        <f>IF(C451&lt;&gt;"",VLOOKUP($C451,Carpetas!$C$5:$L$2060,2,FALSE),"")</f>
        <v>CLP007</v>
      </c>
      <c r="G451" s="38" t="s">
        <v>35</v>
      </c>
      <c r="H451" s="44">
        <f>IF(C451&lt;&gt;"",VLOOKUP($C451,Carpetas!$C$5:$L$2060,9,FALSE),"")</f>
        <v>1516384</v>
      </c>
      <c r="I451" s="51" t="str">
        <f>IF(C451&lt;&gt;"",VLOOKUP($C451,Carpetas!$C$5:$L$2060,5,FALSE),"")</f>
        <v>Sarla y Ramón</v>
      </c>
      <c r="J451" s="51"/>
      <c r="K451" s="50">
        <v>45695</v>
      </c>
      <c r="L451" s="39" t="str">
        <f>VLOOKUP($C451,Carpetas!$C$5:$L$2060,4,FALSE)</f>
        <v>Fray Bentos</v>
      </c>
      <c r="M451" s="55">
        <v>45698</v>
      </c>
      <c r="N451" s="53">
        <f t="shared" si="33"/>
        <v>7</v>
      </c>
      <c r="O451" s="51">
        <v>2112</v>
      </c>
      <c r="P451" s="51"/>
      <c r="Q451" s="51">
        <v>2112</v>
      </c>
      <c r="R451" s="51">
        <v>24</v>
      </c>
      <c r="S451" s="51">
        <v>11.5</v>
      </c>
      <c r="T451" s="65"/>
      <c r="U451" s="65"/>
      <c r="V451" s="65" t="s">
        <v>1015</v>
      </c>
      <c r="W451" s="51" t="s">
        <v>1016</v>
      </c>
      <c r="X451" s="66" t="s">
        <v>1017</v>
      </c>
    </row>
    <row r="452" hidden="1" ht="27.75" customHeight="1" s="32" customFormat="1">
      <c r="A452" s="37"/>
      <c r="B452" s="31" t="s">
        <v>32</v>
      </c>
      <c r="C452" s="59" t="s">
        <v>1008</v>
      </c>
      <c r="D452" s="57" t="s">
        <v>30</v>
      </c>
      <c r="E452" s="57">
        <v>45678</v>
      </c>
      <c r="F452" s="38" t="str">
        <f>IF(C452&lt;&gt;"",VLOOKUP($C452,Carpetas!$C$5:$L$2060,2,FALSE),"")</f>
        <v>ECE004</v>
      </c>
      <c r="G452" s="38" t="s">
        <v>43</v>
      </c>
      <c r="H452" s="44">
        <f>IF(C452&lt;&gt;"",VLOOKUP($C452,Carpetas!$C$5:$L$2060,9,FALSE),"")</f>
        <v>1514956</v>
      </c>
      <c r="I452" s="51" t="str">
        <f>IF(C452&lt;&gt;"",VLOOKUP($C452,Carpetas!$C$5:$L$2060,5,FALSE),"")</f>
        <v>Andino</v>
      </c>
      <c r="J452" s="51"/>
      <c r="K452" s="50">
        <v>45696</v>
      </c>
      <c r="L452" s="39" t="str">
        <f>VLOOKUP($C452,Carpetas!$C$5:$L$2060,4,FALSE)</f>
        <v>Fray Bentos</v>
      </c>
      <c r="M452" s="55">
        <v>45698</v>
      </c>
      <c r="N452" s="53">
        <f t="shared" si="33"/>
        <v>20</v>
      </c>
      <c r="O452" s="51">
        <v>2160</v>
      </c>
      <c r="P452" s="51"/>
      <c r="Q452" s="51">
        <v>2160</v>
      </c>
      <c r="R452" s="51">
        <v>40</v>
      </c>
      <c r="S452" s="51">
        <v>21</v>
      </c>
      <c r="T452" s="65"/>
      <c r="U452" s="65"/>
      <c r="V452" s="65" t="s">
        <v>60</v>
      </c>
      <c r="W452" s="51" t="s">
        <v>1018</v>
      </c>
      <c r="X452" s="66" t="s">
        <v>1019</v>
      </c>
    </row>
    <row r="453" hidden="1" ht="27.75" customHeight="1" s="32" customFormat="1">
      <c r="A453" s="37"/>
      <c r="B453" s="31" t="s">
        <v>32</v>
      </c>
      <c r="C453" s="59" t="s">
        <v>1020</v>
      </c>
      <c r="D453" s="57" t="s">
        <v>30</v>
      </c>
      <c r="E453" s="57">
        <v>45678</v>
      </c>
      <c r="F453" s="38" t="str">
        <f>IF(C453&lt;&gt;"",VLOOKUP($C453,Carpetas!$C$5:$L$2060,2,FALSE),"")</f>
        <v>ECE006a</v>
      </c>
      <c r="G453" s="38" t="s">
        <v>43</v>
      </c>
      <c r="H453" s="44">
        <f>IF(C453&lt;&gt;"",VLOOKUP($C453,Carpetas!$C$5:$L$2060,9,FALSE),"")</f>
        <v>1515035</v>
      </c>
      <c r="I453" s="51" t="str">
        <f>IF(C453&lt;&gt;"",VLOOKUP($C453,Carpetas!$C$5:$L$2060,5,FALSE),"")</f>
        <v>Andino</v>
      </c>
      <c r="J453" s="51"/>
      <c r="K453" s="50">
        <v>45696</v>
      </c>
      <c r="L453" s="39" t="str">
        <f>VLOOKUP($C453,Carpetas!$C$5:$L$2060,4,FALSE)</f>
        <v>Fray Bentos</v>
      </c>
      <c r="M453" s="55">
        <v>45698</v>
      </c>
      <c r="N453" s="53">
        <f t="shared" si="33"/>
        <v>20</v>
      </c>
      <c r="O453" s="51">
        <v>2160</v>
      </c>
      <c r="P453" s="51"/>
      <c r="Q453" s="51">
        <v>1080</v>
      </c>
      <c r="R453" s="51">
        <v>40</v>
      </c>
      <c r="S453" s="51">
        <v>21</v>
      </c>
      <c r="T453" s="65"/>
      <c r="U453" s="65"/>
      <c r="V453" s="65" t="s">
        <v>60</v>
      </c>
      <c r="W453" s="51" t="s">
        <v>1021</v>
      </c>
      <c r="X453" s="66" t="s">
        <v>1022</v>
      </c>
    </row>
    <row r="454" hidden="1" ht="27.75" customHeight="1" s="32" customFormat="1">
      <c r="A454" s="37"/>
      <c r="B454" s="31" t="s">
        <v>32</v>
      </c>
      <c r="C454" s="59" t="s">
        <v>1010</v>
      </c>
      <c r="D454" s="57" t="s">
        <v>30</v>
      </c>
      <c r="E454" s="57">
        <v>45678</v>
      </c>
      <c r="F454" s="38" t="str">
        <f>IF(C454&lt;&gt;"",VLOOKUP($C454,Carpetas!$C$5:$L$2060,2,FALSE),"")</f>
        <v>ECB002</v>
      </c>
      <c r="G454" s="38" t="s">
        <v>43</v>
      </c>
      <c r="H454" s="44">
        <f>IF(C454&lt;&gt;"",VLOOKUP($C454,Carpetas!$C$5:$L$2060,9,FALSE),"")</f>
        <v>1514956</v>
      </c>
      <c r="I454" s="51" t="str">
        <f>IF(C454&lt;&gt;"",VLOOKUP($C454,Carpetas!$C$5:$L$2060,5,FALSE),"")</f>
        <v>Andino</v>
      </c>
      <c r="J454" s="51"/>
      <c r="K454" s="50">
        <v>45696</v>
      </c>
      <c r="L454" s="39" t="str">
        <f>VLOOKUP($C454,Carpetas!$C$5:$L$2060,4,FALSE)</f>
        <v>Fray Bentos</v>
      </c>
      <c r="M454" s="55">
        <v>45698</v>
      </c>
      <c r="N454" s="53">
        <f t="shared" si="33"/>
        <v>20</v>
      </c>
      <c r="O454" s="51">
        <v>1080</v>
      </c>
      <c r="P454" s="51"/>
      <c r="Q454" s="51">
        <v>1080</v>
      </c>
      <c r="R454" s="51">
        <v>20</v>
      </c>
      <c r="S454" s="51">
        <v>21</v>
      </c>
      <c r="T454" s="65"/>
      <c r="U454" s="65"/>
      <c r="V454" s="65" t="s">
        <v>55</v>
      </c>
      <c r="W454" s="51" t="s">
        <v>198</v>
      </c>
      <c r="X454" s="66" t="s">
        <v>1023</v>
      </c>
    </row>
    <row r="455" hidden="1" ht="27.75" customHeight="1" s="32" customFormat="1">
      <c r="A455" s="37"/>
      <c r="B455" s="31" t="s">
        <v>32</v>
      </c>
      <c r="C455" s="59" t="s">
        <v>1024</v>
      </c>
      <c r="D455" s="57" t="s">
        <v>42</v>
      </c>
      <c r="E455" s="57">
        <v>45678</v>
      </c>
      <c r="F455" s="38" t="str">
        <f>IF(C455&lt;&gt;"",VLOOKUP($C455,Carpetas!$C$5:$L$2060,2,FALSE),"")</f>
        <v>ECA004</v>
      </c>
      <c r="G455" s="38" t="s">
        <v>43</v>
      </c>
      <c r="H455" s="44">
        <f>IF(C455&lt;&gt;"",VLOOKUP($C455,Carpetas!$C$5:$L$2060,9,FALSE),"")</f>
        <v>1514916</v>
      </c>
      <c r="I455" s="51" t="str">
        <f>IF(C455&lt;&gt;"",VLOOKUP($C455,Carpetas!$C$5:$L$2060,5,FALSE),"")</f>
        <v>Andino</v>
      </c>
      <c r="J455" s="51"/>
      <c r="K455" s="50">
        <v>45696</v>
      </c>
      <c r="L455" s="39" t="str">
        <f>VLOOKUP($C455,Carpetas!$C$5:$L$2060,4,FALSE)</f>
        <v>Fray Bentos</v>
      </c>
      <c r="M455" s="55">
        <v>45698</v>
      </c>
      <c r="N455" s="53">
        <f t="shared" si="33"/>
        <v>20</v>
      </c>
      <c r="O455" s="51">
        <v>1680</v>
      </c>
      <c r="P455" s="51"/>
      <c r="Q455" s="51"/>
      <c r="R455" s="51"/>
      <c r="S455" s="51"/>
      <c r="T455" s="65"/>
      <c r="U455" s="65"/>
      <c r="V455" s="65"/>
      <c r="W455" s="51"/>
      <c r="X455" s="66"/>
    </row>
    <row r="456" hidden="1" ht="27.75" customHeight="1" s="32" customFormat="1">
      <c r="A456" s="37"/>
      <c r="B456" s="31" t="s">
        <v>32</v>
      </c>
      <c r="C456" s="59" t="s">
        <v>1025</v>
      </c>
      <c r="D456" s="57" t="s">
        <v>30</v>
      </c>
      <c r="E456" s="57">
        <v>45678</v>
      </c>
      <c r="F456" s="38" t="str">
        <f>IF(C456&lt;&gt;"",VLOOKUP($C456,Carpetas!$C$5:$L$2060,2,FALSE),"")</f>
        <v>ECE005</v>
      </c>
      <c r="G456" s="38" t="s">
        <v>43</v>
      </c>
      <c r="H456" s="44">
        <f>IF(C456&lt;&gt;"",VLOOKUP($C456,Carpetas!$C$5:$L$2060,9,FALSE),"")</f>
        <v>1514957</v>
      </c>
      <c r="I456" s="51" t="str">
        <f>IF(C456&lt;&gt;"",VLOOKUP($C456,Carpetas!$C$5:$L$2060,5,FALSE),"")</f>
        <v>Andino</v>
      </c>
      <c r="J456" s="51"/>
      <c r="K456" s="50">
        <v>45696</v>
      </c>
      <c r="L456" s="39" t="str">
        <f>VLOOKUP($C456,Carpetas!$C$5:$L$2060,4,FALSE)</f>
        <v>Fray Bentos</v>
      </c>
      <c r="M456" s="55">
        <v>45699</v>
      </c>
      <c r="N456" s="53">
        <f t="shared" si="33"/>
        <v>21</v>
      </c>
      <c r="O456" s="51">
        <v>1128</v>
      </c>
      <c r="P456" s="51"/>
      <c r="Q456" s="51">
        <v>1128</v>
      </c>
      <c r="R456" s="51">
        <v>20</v>
      </c>
      <c r="S456" s="51">
        <v>21</v>
      </c>
      <c r="T456" s="65"/>
      <c r="U456" s="65"/>
      <c r="V456" s="65" t="s">
        <v>1026</v>
      </c>
      <c r="W456" s="51" t="s">
        <v>318</v>
      </c>
      <c r="X456" s="66" t="s">
        <v>1027</v>
      </c>
    </row>
    <row r="457" hidden="1" ht="27.75" customHeight="1" s="32" customFormat="1">
      <c r="A457" s="37"/>
      <c r="B457" s="31" t="s">
        <v>32</v>
      </c>
      <c r="C457" s="59" t="s">
        <v>1028</v>
      </c>
      <c r="D457" s="57" t="s">
        <v>943</v>
      </c>
      <c r="E457" s="57">
        <v>45661</v>
      </c>
      <c r="F457" s="38" t="str">
        <f>IF(C457&lt;&gt;"",VLOOKUP($C457,Carpetas!$C$5:$L$2060,2,FALSE),"")</f>
        <v>EGN003</v>
      </c>
      <c r="G457" s="38" t="s">
        <v>657</v>
      </c>
      <c r="H457" s="44">
        <f>IF(C457&lt;&gt;"",VLOOKUP($C457,Carpetas!$C$5:$L$2060,9,FALSE),"")</f>
        <v>0</v>
      </c>
      <c r="I457" s="51" t="str">
        <f>IF(C457&lt;&gt;"",VLOOKUP($C457,Carpetas!$C$5:$L$2060,5,FALSE),"")</f>
        <v>Ciatran</v>
      </c>
      <c r="J457" s="51"/>
      <c r="K457" s="50">
        <v>45698</v>
      </c>
      <c r="L457" s="39" t="str">
        <f>VLOOKUP($C457,Carpetas!$C$5:$L$2060,4,FALSE)</f>
        <v>Montevideo</v>
      </c>
      <c r="M457" s="55">
        <f>K457+1</f>
        <v>45699</v>
      </c>
      <c r="N457" s="53">
        <f t="shared" si="33"/>
        <v>38</v>
      </c>
      <c r="O457" s="51">
        <v>1664</v>
      </c>
      <c r="P457" s="51"/>
      <c r="Q457" s="51">
        <v>1664</v>
      </c>
      <c r="R457" s="51">
        <v>21</v>
      </c>
      <c r="S457" s="51">
        <v>15</v>
      </c>
      <c r="T457" s="65"/>
      <c r="U457" s="65"/>
      <c r="V457" s="65" t="s">
        <v>1029</v>
      </c>
      <c r="W457" s="51" t="s">
        <v>1030</v>
      </c>
      <c r="X457" s="66" t="s">
        <v>1031</v>
      </c>
    </row>
    <row r="458" hidden="1" ht="27.75" customHeight="1" s="32" customFormat="1">
      <c r="A458" s="37"/>
      <c r="B458" s="31" t="s">
        <v>32</v>
      </c>
      <c r="C458" s="59" t="s">
        <v>1032</v>
      </c>
      <c r="D458" s="57" t="s">
        <v>943</v>
      </c>
      <c r="E458" s="57">
        <v>45668</v>
      </c>
      <c r="F458" s="38" t="str">
        <f>IF(C458&lt;&gt;"",VLOOKUP($C458,Carpetas!$C$5:$L$2060,2,FALSE),"")</f>
        <v>EGN001/25</v>
      </c>
      <c r="G458" s="38" t="s">
        <v>657</v>
      </c>
      <c r="H458" s="44">
        <f>IF(C458&lt;&gt;"",VLOOKUP($C458,Carpetas!$C$5:$L$2060,9,FALSE),"")</f>
        <v>0</v>
      </c>
      <c r="I458" s="51" t="str">
        <f>IF(C458&lt;&gt;"",VLOOKUP($C458,Carpetas!$C$5:$L$2060,5,FALSE),"")</f>
        <v>Ciatran</v>
      </c>
      <c r="J458" s="51"/>
      <c r="K458" s="50">
        <v>45698</v>
      </c>
      <c r="L458" s="39" t="str">
        <f>VLOOKUP($C458,Carpetas!$C$5:$L$2060,4,FALSE)</f>
        <v>Montevideo</v>
      </c>
      <c r="M458" s="55">
        <f>K458+1</f>
        <v>45699</v>
      </c>
      <c r="N458" s="53">
        <f t="shared" si="33"/>
        <v>31</v>
      </c>
      <c r="O458" s="51">
        <v>1664</v>
      </c>
      <c r="P458" s="51"/>
      <c r="Q458" s="51">
        <v>1164</v>
      </c>
      <c r="R458" s="51">
        <v>21</v>
      </c>
      <c r="S458" s="51">
        <v>15.5</v>
      </c>
      <c r="T458" s="65"/>
      <c r="U458" s="65"/>
      <c r="V458" s="65" t="s">
        <v>1029</v>
      </c>
      <c r="W458" s="51" t="s">
        <v>1030</v>
      </c>
      <c r="X458" s="66" t="s">
        <v>1033</v>
      </c>
    </row>
    <row r="459" hidden="1" ht="27.75" customHeight="1" s="32" customFormat="1">
      <c r="A459" s="37"/>
      <c r="B459" s="31" t="s">
        <v>32</v>
      </c>
      <c r="C459" s="59" t="s">
        <v>1034</v>
      </c>
      <c r="D459" s="57" t="s">
        <v>30</v>
      </c>
      <c r="E459" s="57">
        <v>45685</v>
      </c>
      <c r="F459" s="38" t="str">
        <f>IF(C459&lt;&gt;"",VLOOKUP($C459,Carpetas!$C$5:$L$2060,2,FALSE),"")</f>
        <v>ECE006b</v>
      </c>
      <c r="G459" s="38" t="s">
        <v>43</v>
      </c>
      <c r="H459" s="44">
        <f>IF(C459&lt;&gt;"",VLOOKUP($C459,Carpetas!$C$5:$L$2060,9,FALSE),"")</f>
        <v>1515386</v>
      </c>
      <c r="I459" s="51" t="str">
        <f>IF(C459&lt;&gt;"",VLOOKUP($C459,Carpetas!$C$5:$L$2060,5,FALSE),"")</f>
        <v>Andino</v>
      </c>
      <c r="J459" s="51"/>
      <c r="K459" s="50">
        <v>45700</v>
      </c>
      <c r="L459" s="39" t="str">
        <f>VLOOKUP($C459,Carpetas!$C$5:$L$2060,4,FALSE)</f>
        <v>Fray Bentos</v>
      </c>
      <c r="M459" s="55">
        <v>45701</v>
      </c>
      <c r="N459" s="53">
        <f t="shared" si="33"/>
        <v>16</v>
      </c>
      <c r="O459" s="51">
        <v>1080</v>
      </c>
      <c r="P459" s="51"/>
      <c r="Q459" s="51">
        <v>1080</v>
      </c>
      <c r="R459" s="51">
        <v>20</v>
      </c>
      <c r="S459" s="51">
        <v>21</v>
      </c>
      <c r="T459" s="65"/>
      <c r="U459" s="65"/>
      <c r="V459" s="65" t="s">
        <v>60</v>
      </c>
      <c r="W459" s="51" t="s">
        <v>536</v>
      </c>
      <c r="X459" s="66" t="s">
        <v>1035</v>
      </c>
    </row>
    <row r="460" hidden="1" ht="27.75" customHeight="1" s="32" customFormat="1">
      <c r="A460" s="37"/>
      <c r="B460" s="31" t="s">
        <v>32</v>
      </c>
      <c r="C460" s="59" t="s">
        <v>1034</v>
      </c>
      <c r="D460" s="57" t="s">
        <v>30</v>
      </c>
      <c r="E460" s="57">
        <v>45685</v>
      </c>
      <c r="F460" s="38" t="str">
        <f>IF(C460&lt;&gt;"",VLOOKUP($C460,Carpetas!$C$5:$L$2060,2,FALSE),"")</f>
        <v>ECE006b</v>
      </c>
      <c r="G460" s="38" t="s">
        <v>43</v>
      </c>
      <c r="H460" s="44">
        <f>IF(C460&lt;&gt;"",VLOOKUP($C460,Carpetas!$C$5:$L$2060,9,FALSE),"")</f>
        <v>1515386</v>
      </c>
      <c r="I460" s="51" t="str">
        <f>IF(C460&lt;&gt;"",VLOOKUP($C460,Carpetas!$C$5:$L$2060,5,FALSE),"")</f>
        <v>Andino</v>
      </c>
      <c r="J460" s="51"/>
      <c r="K460" s="50">
        <v>45701</v>
      </c>
      <c r="L460" s="39" t="str">
        <f>VLOOKUP($C460,Carpetas!$C$5:$L$2060,4,FALSE)</f>
        <v>Fray Bentos</v>
      </c>
      <c r="M460" s="55">
        <f>K460+1</f>
        <v>45702</v>
      </c>
      <c r="N460" s="53">
        <f t="shared" si="33"/>
        <v>17</v>
      </c>
      <c r="O460" s="51">
        <v>2160</v>
      </c>
      <c r="P460" s="51"/>
      <c r="Q460" s="51">
        <v>2160</v>
      </c>
      <c r="R460" s="51">
        <v>40</v>
      </c>
      <c r="S460" s="51">
        <v>21</v>
      </c>
      <c r="T460" s="65"/>
      <c r="U460" s="65"/>
      <c r="V460" s="65" t="s">
        <v>200</v>
      </c>
      <c r="W460" s="51" t="s">
        <v>1036</v>
      </c>
      <c r="X460" s="66" t="s">
        <v>1037</v>
      </c>
    </row>
    <row r="461" hidden="1" ht="27.75" customHeight="1" s="32" customFormat="1">
      <c r="A461" s="37"/>
      <c r="B461" s="31" t="s">
        <v>32</v>
      </c>
      <c r="C461" s="59" t="s">
        <v>1038</v>
      </c>
      <c r="D461" s="57" t="s">
        <v>30</v>
      </c>
      <c r="E461" s="57">
        <v>45685</v>
      </c>
      <c r="F461" s="38" t="str">
        <f>IF(C461&lt;&gt;"",VLOOKUP($C461,Carpetas!$C$5:$L$2060,2,FALSE),"")</f>
        <v>ECB003</v>
      </c>
      <c r="G461" s="38" t="s">
        <v>43</v>
      </c>
      <c r="H461" s="44">
        <f>IF(C461&lt;&gt;"",VLOOKUP($C461,Carpetas!$C$5:$L$2060,9,FALSE),"")</f>
        <v>1515390</v>
      </c>
      <c r="I461" s="51" t="str">
        <f>IF(C461&lt;&gt;"",VLOOKUP($C461,Carpetas!$C$5:$L$2060,5,FALSE),"")</f>
        <v>Andino</v>
      </c>
      <c r="J461" s="51"/>
      <c r="K461" s="50">
        <v>45701</v>
      </c>
      <c r="L461" s="39" t="str">
        <f>VLOOKUP($C461,Carpetas!$C$5:$L$2060,4,FALSE)</f>
        <v>Fray Bentos</v>
      </c>
      <c r="M461" s="55">
        <f>K461+1</f>
        <v>45702</v>
      </c>
      <c r="N461" s="53">
        <f t="shared" si="33"/>
        <v>17</v>
      </c>
      <c r="O461" s="51">
        <v>2160</v>
      </c>
      <c r="P461" s="51"/>
      <c r="Q461" s="51">
        <v>2160</v>
      </c>
      <c r="R461" s="51">
        <v>40</v>
      </c>
      <c r="S461" s="51">
        <v>21</v>
      </c>
      <c r="T461" s="65"/>
      <c r="U461" s="65"/>
      <c r="V461" s="65" t="s">
        <v>55</v>
      </c>
      <c r="W461" s="51" t="s">
        <v>1039</v>
      </c>
      <c r="X461" s="66" t="s">
        <v>1040</v>
      </c>
    </row>
    <row r="462" hidden="1" ht="27.75" customHeight="1" s="32" customFormat="1">
      <c r="A462" s="37"/>
      <c r="B462" s="31" t="s">
        <v>32</v>
      </c>
      <c r="C462" s="59" t="s">
        <v>1041</v>
      </c>
      <c r="D462" s="57" t="s">
        <v>42</v>
      </c>
      <c r="E462" s="57">
        <v>45685</v>
      </c>
      <c r="F462" s="38" t="str">
        <f>IF(C462&lt;&gt;"",VLOOKUP($C462,Carpetas!$C$5:$L$2060,2,FALSE),"")</f>
        <v>ECA005</v>
      </c>
      <c r="G462" s="38" t="s">
        <v>31</v>
      </c>
      <c r="H462" s="44">
        <f>IF(C462&lt;&gt;"",VLOOKUP($C462,Carpetas!$C$5:$L$2060,9,FALSE),"")</f>
        <v>1515392</v>
      </c>
      <c r="I462" s="51" t="str">
        <f>IF(C462&lt;&gt;"",VLOOKUP($C462,Carpetas!$C$5:$L$2060,5,FALSE),"")</f>
        <v>Andino</v>
      </c>
      <c r="J462" s="51"/>
      <c r="K462" s="50">
        <v>45701</v>
      </c>
      <c r="L462" s="39" t="str">
        <f>VLOOKUP($C462,Carpetas!$C$5:$L$2060,4,FALSE)</f>
        <v>Fray Bentos</v>
      </c>
      <c r="M462" s="55">
        <f>K462+1</f>
        <v>45702</v>
      </c>
      <c r="N462" s="53">
        <f t="shared" si="33"/>
        <v>17</v>
      </c>
      <c r="O462" s="51">
        <v>1680</v>
      </c>
      <c r="P462" s="51"/>
      <c r="Q462" s="51"/>
      <c r="R462" s="51"/>
      <c r="S462" s="51"/>
      <c r="T462" s="65"/>
      <c r="U462" s="65"/>
      <c r="V462" s="65"/>
      <c r="W462" s="51"/>
      <c r="X462" s="66"/>
    </row>
    <row r="463" hidden="1" ht="27.75" customHeight="1" s="32" customFormat="1">
      <c r="A463" s="37"/>
      <c r="B463" s="31" t="s">
        <v>32</v>
      </c>
      <c r="C463" s="59" t="s">
        <v>1042</v>
      </c>
      <c r="D463" s="57" t="s">
        <v>30</v>
      </c>
      <c r="E463" s="57">
        <v>45685</v>
      </c>
      <c r="F463" s="38" t="str">
        <f>IF(C463&lt;&gt;"",VLOOKUP($C463,Carpetas!$C$5:$L$2060,2,FALSE),"")</f>
        <v>ECE007</v>
      </c>
      <c r="G463" s="38" t="s">
        <v>43</v>
      </c>
      <c r="H463" s="44">
        <f>IF(C463&lt;&gt;"",VLOOKUP($C463,Carpetas!$C$5:$L$2060,9,FALSE),"")</f>
        <v>1515387</v>
      </c>
      <c r="I463" s="51" t="str">
        <f>IF(C463&lt;&gt;"",VLOOKUP($C463,Carpetas!$C$5:$L$2060,5,FALSE),"")</f>
        <v>Andino</v>
      </c>
      <c r="J463" s="51"/>
      <c r="K463" s="50">
        <v>45701</v>
      </c>
      <c r="L463" s="39" t="str">
        <f>VLOOKUP($C463,Carpetas!$C$5:$L$2060,4,FALSE)</f>
        <v>Fray Bentos</v>
      </c>
      <c r="M463" s="55">
        <f>K463+1+1</f>
        <v>45703</v>
      </c>
      <c r="N463" s="53">
        <f t="shared" si="33"/>
        <v>18</v>
      </c>
      <c r="O463" s="51">
        <v>1128</v>
      </c>
      <c r="P463" s="51"/>
      <c r="Q463" s="51">
        <v>1128</v>
      </c>
      <c r="R463" s="51">
        <v>20</v>
      </c>
      <c r="S463" s="51">
        <v>21</v>
      </c>
      <c r="T463" s="65"/>
      <c r="U463" s="65"/>
      <c r="V463" s="65" t="s">
        <v>60</v>
      </c>
      <c r="W463" s="51" t="s">
        <v>1043</v>
      </c>
      <c r="X463" s="66" t="s">
        <v>1044</v>
      </c>
    </row>
    <row r="464" hidden="1" ht="27.75" customHeight="1" s="32" customFormat="1">
      <c r="A464" s="37"/>
      <c r="B464" s="31" t="s">
        <v>32</v>
      </c>
      <c r="C464" s="59" t="s">
        <v>1045</v>
      </c>
      <c r="D464" s="57" t="s">
        <v>30</v>
      </c>
      <c r="E464" s="57">
        <v>45694</v>
      </c>
      <c r="F464" s="38" t="str">
        <f>IF(C464&lt;&gt;"",VLOOKUP($C464,Carpetas!$C$5:$L$2060,2,FALSE),"")</f>
        <v>BOB007</v>
      </c>
      <c r="G464" s="38" t="s">
        <v>31</v>
      </c>
      <c r="H464" s="44">
        <f>IF(C464&lt;&gt;"",VLOOKUP($C464,Carpetas!$C$5:$L$2060,9,FALSE),"")</f>
        <v>0</v>
      </c>
      <c r="I464" s="51" t="str">
        <f>IF(C464&lt;&gt;"",VLOOKUP($C464,Carpetas!$C$5:$L$2060,5,FALSE),"")</f>
        <v>Sur Central</v>
      </c>
      <c r="J464" s="51"/>
      <c r="K464" s="50">
        <v>45702</v>
      </c>
      <c r="L464" s="39" t="str">
        <f>VLOOKUP($C464,Carpetas!$C$5:$L$2060,4,FALSE)</f>
        <v>Salto</v>
      </c>
      <c r="M464" s="55">
        <f ref="M464:M476" t="shared" si="34">K464+1</f>
        <v>45703</v>
      </c>
      <c r="N464" s="53">
        <f t="shared" si="33"/>
        <v>9</v>
      </c>
      <c r="O464" s="51">
        <v>1100</v>
      </c>
      <c r="P464" s="51"/>
      <c r="Q464" s="51">
        <v>1100</v>
      </c>
      <c r="R464" s="51">
        <v>23</v>
      </c>
      <c r="S464" s="51">
        <v>20.5</v>
      </c>
      <c r="T464" s="65"/>
      <c r="U464" s="65"/>
      <c r="V464" s="65" t="s">
        <v>895</v>
      </c>
      <c r="W464" s="51" t="s">
        <v>1046</v>
      </c>
      <c r="X464" s="66" t="s">
        <v>1047</v>
      </c>
    </row>
    <row r="465" hidden="1" ht="27.75" customHeight="1" s="32" customFormat="1">
      <c r="A465" s="37"/>
      <c r="B465" s="31" t="s">
        <v>32</v>
      </c>
      <c r="C465" s="59" t="s">
        <v>1048</v>
      </c>
      <c r="D465" s="57" t="s">
        <v>432</v>
      </c>
      <c r="E465" s="57">
        <v>45656</v>
      </c>
      <c r="F465" s="38" t="str">
        <f>IF(C465&lt;&gt;"",VLOOKUP($C465,Carpetas!$C$5:$L$2060,2,FALSE),"")</f>
        <v>GRK006</v>
      </c>
      <c r="G465" s="38" t="s">
        <v>833</v>
      </c>
      <c r="H465" s="44">
        <f>IF(C465&lt;&gt;"",VLOOKUP($C465,Carpetas!$C$5:$L$2060,9,FALSE),"")</f>
        <v>0</v>
      </c>
      <c r="I465" s="51" t="str">
        <f>IF(C465&lt;&gt;"",VLOOKUP($C465,Carpetas!$C$5:$L$2060,5,FALSE),"")</f>
        <v>Ciatran</v>
      </c>
      <c r="J465" s="51"/>
      <c r="K465" s="50">
        <v>45703</v>
      </c>
      <c r="L465" s="39" t="str">
        <f>VLOOKUP($C465,Carpetas!$C$5:$L$2060,4,FALSE)</f>
        <v>Montevideo</v>
      </c>
      <c r="M465" s="55">
        <f t="shared" si="34"/>
        <v>45704</v>
      </c>
      <c r="N465" s="53">
        <f t="shared" si="33"/>
        <v>48</v>
      </c>
      <c r="O465" s="51">
        <v>2140</v>
      </c>
      <c r="P465" s="51"/>
      <c r="Q465" s="51"/>
      <c r="R465" s="51"/>
      <c r="S465" s="51"/>
      <c r="T465" s="65"/>
      <c r="U465" s="65"/>
      <c r="V465" s="65"/>
      <c r="W465" s="51"/>
      <c r="X465" s="66"/>
    </row>
    <row r="466" hidden="1" ht="27.75" customHeight="1" s="32" customFormat="1">
      <c r="A466" s="37"/>
      <c r="B466" s="31" t="s">
        <v>32</v>
      </c>
      <c r="C466" s="59" t="s">
        <v>1049</v>
      </c>
      <c r="D466" s="57" t="s">
        <v>30</v>
      </c>
      <c r="E466" s="57">
        <v>45694</v>
      </c>
      <c r="F466" s="38" t="str">
        <f>IF(C466&lt;&gt;"",VLOOKUP($C466,Carpetas!$C$5:$L$2060,2,FALSE),"")</f>
        <v>BOB008</v>
      </c>
      <c r="G466" s="38" t="s">
        <v>31</v>
      </c>
      <c r="H466" s="44">
        <f>IF(C466&lt;&gt;"",VLOOKUP($C466,Carpetas!$C$5:$L$2060,9,FALSE),"")</f>
        <v>0</v>
      </c>
      <c r="I466" s="51" t="str">
        <f>IF(C466&lt;&gt;"",VLOOKUP($C466,Carpetas!$C$5:$L$2060,5,FALSE),"")</f>
        <v>El Palomar</v>
      </c>
      <c r="J466" s="51"/>
      <c r="K466" s="50">
        <v>45705</v>
      </c>
      <c r="L466" s="39" t="str">
        <f>VLOOKUP($C466,Carpetas!$C$5:$L$2060,4,FALSE)</f>
        <v>Salto</v>
      </c>
      <c r="M466" s="55">
        <f t="shared" si="34"/>
        <v>45706</v>
      </c>
      <c r="N466" s="53">
        <f t="shared" si="33"/>
        <v>12</v>
      </c>
      <c r="O466" s="51">
        <v>1100</v>
      </c>
      <c r="P466" s="51"/>
      <c r="Q466" s="51">
        <v>1100</v>
      </c>
      <c r="R466" s="51">
        <v>23</v>
      </c>
      <c r="S466" s="51">
        <v>21</v>
      </c>
      <c r="T466" s="65"/>
      <c r="U466" s="65"/>
      <c r="V466" s="65" t="s">
        <v>605</v>
      </c>
      <c r="W466" s="51" t="s">
        <v>981</v>
      </c>
      <c r="X466" s="66" t="s">
        <v>1050</v>
      </c>
    </row>
    <row r="467" hidden="1" ht="27.75" customHeight="1" s="32" customFormat="1">
      <c r="A467" s="37"/>
      <c r="B467" s="31" t="s">
        <v>32</v>
      </c>
      <c r="C467" s="59" t="s">
        <v>1051</v>
      </c>
      <c r="D467" s="57" t="s">
        <v>34</v>
      </c>
      <c r="E467" s="57">
        <v>45701</v>
      </c>
      <c r="F467" s="38" t="str">
        <f>IF(C467&lt;&gt;"",VLOOKUP($C467,Carpetas!$C$5:$L$2060,2,FALSE),"")</f>
        <v>CLA003</v>
      </c>
      <c r="G467" s="38" t="s">
        <v>833</v>
      </c>
      <c r="H467" s="44">
        <f>IF(C467&lt;&gt;"",VLOOKUP($C467,Carpetas!$C$5:$L$2060,9,FALSE),"")</f>
        <v>0</v>
      </c>
      <c r="I467" s="51" t="str">
        <f>IF(C467&lt;&gt;"",VLOOKUP($C467,Carpetas!$C$5:$L$2060,5,FALSE),"")</f>
        <v>RCT</v>
      </c>
      <c r="J467" s="51"/>
      <c r="K467" s="50">
        <f>E467+5</f>
        <v>45706</v>
      </c>
      <c r="L467" s="39" t="str">
        <f>VLOOKUP($C467,Carpetas!$C$5:$L$2060,4,FALSE)</f>
        <v>Fray Bentos</v>
      </c>
      <c r="M467" s="55">
        <f t="shared" si="34"/>
        <v>45707</v>
      </c>
      <c r="N467" s="53">
        <f t="shared" si="33"/>
        <v>6</v>
      </c>
      <c r="O467" s="51">
        <v>7920</v>
      </c>
      <c r="P467" s="51"/>
      <c r="Q467" s="51"/>
      <c r="R467" s="51"/>
      <c r="S467" s="51"/>
      <c r="T467" s="65"/>
      <c r="U467" s="65"/>
      <c r="V467" s="65"/>
      <c r="W467" s="51"/>
      <c r="X467" s="66"/>
    </row>
    <row r="468" hidden="1" ht="27.75" customHeight="1" s="32" customFormat="1">
      <c r="A468" s="37"/>
      <c r="B468" s="31" t="s">
        <v>32</v>
      </c>
      <c r="C468" s="59" t="s">
        <v>1052</v>
      </c>
      <c r="D468" s="57" t="s">
        <v>30</v>
      </c>
      <c r="E468" s="57">
        <v>45692</v>
      </c>
      <c r="F468" s="38" t="str">
        <f>IF(C468&lt;&gt;"",VLOOKUP($C468,Carpetas!$C$5:$L$2060,2,FALSE),"")</f>
        <v>ECE009</v>
      </c>
      <c r="G468" s="38" t="s">
        <v>43</v>
      </c>
      <c r="H468" s="44">
        <f>IF(C468&lt;&gt;"",VLOOKUP($C468,Carpetas!$C$5:$L$2060,9,FALSE),"")</f>
        <v>1515389</v>
      </c>
      <c r="I468" s="51" t="str">
        <f>IF(C468&lt;&gt;"",VLOOKUP($C468,Carpetas!$C$5:$L$2060,5,FALSE),"")</f>
        <v>Andino</v>
      </c>
      <c r="J468" s="51"/>
      <c r="K468" s="50">
        <v>45708</v>
      </c>
      <c r="L468" s="39" t="str">
        <f>VLOOKUP($C468,Carpetas!$C$5:$L$2060,4,FALSE)</f>
        <v>Fray Bentos</v>
      </c>
      <c r="M468" s="55">
        <f t="shared" si="34"/>
        <v>45709</v>
      </c>
      <c r="N468" s="53">
        <f t="shared" si="33"/>
        <v>17</v>
      </c>
      <c r="O468" s="51">
        <v>1128</v>
      </c>
      <c r="P468" s="51"/>
      <c r="Q468" s="51">
        <v>1128</v>
      </c>
      <c r="R468" s="51">
        <v>20</v>
      </c>
      <c r="S468" s="51">
        <v>21</v>
      </c>
      <c r="T468" s="65"/>
      <c r="U468" s="65"/>
      <c r="V468" s="65" t="s">
        <v>1026</v>
      </c>
      <c r="W468" s="51" t="s">
        <v>1053</v>
      </c>
      <c r="X468" s="66" t="s">
        <v>1054</v>
      </c>
    </row>
    <row r="469" hidden="1" ht="27.75" customHeight="1" s="32" customFormat="1">
      <c r="A469" s="37"/>
      <c r="B469" s="31" t="s">
        <v>32</v>
      </c>
      <c r="C469" s="59" t="s">
        <v>1055</v>
      </c>
      <c r="D469" s="57" t="s">
        <v>48</v>
      </c>
      <c r="E469" s="57">
        <v>45702</v>
      </c>
      <c r="F469" s="38" t="str">
        <f>IF(C469&lt;&gt;"",VLOOKUP($C469,Carpetas!$C$5:$L$2060,2,FALSE),"")</f>
        <v>CLP009</v>
      </c>
      <c r="G469" s="38" t="s">
        <v>35</v>
      </c>
      <c r="H469" s="44">
        <f>IF(C469&lt;&gt;"",VLOOKUP($C469,Carpetas!$C$5:$L$2060,9,FALSE),"")</f>
        <v>0</v>
      </c>
      <c r="I469" s="51" t="str">
        <f>IF(C469&lt;&gt;"",VLOOKUP($C469,Carpetas!$C$5:$L$2060,5,FALSE),"")</f>
        <v>RCT</v>
      </c>
      <c r="J469" s="51"/>
      <c r="K469" s="50">
        <v>45708</v>
      </c>
      <c r="L469" s="39" t="str">
        <f>VLOOKUP($C469,Carpetas!$C$5:$L$2060,4,FALSE)</f>
        <v>Fray Bentos</v>
      </c>
      <c r="M469" s="55">
        <f t="shared" si="34"/>
        <v>45709</v>
      </c>
      <c r="N469" s="53">
        <f t="shared" si="33"/>
        <v>7</v>
      </c>
      <c r="O469" s="51">
        <v>2112</v>
      </c>
      <c r="P469" s="51"/>
      <c r="Q469" s="51"/>
      <c r="R469" s="51"/>
      <c r="S469" s="51"/>
      <c r="T469" s="65"/>
      <c r="U469" s="65"/>
      <c r="V469" s="65"/>
      <c r="W469" s="51"/>
      <c r="X469" s="66"/>
    </row>
    <row r="470" hidden="1" ht="27.75" customHeight="1" s="32" customFormat="1">
      <c r="A470" s="37"/>
      <c r="B470" s="31" t="s">
        <v>1056</v>
      </c>
      <c r="C470" s="59" t="s">
        <v>1057</v>
      </c>
      <c r="D470" s="57" t="s">
        <v>30</v>
      </c>
      <c r="E470" s="57">
        <v>45692</v>
      </c>
      <c r="F470" s="38" t="e">
        <f>IF(C470&lt;&gt;"",VLOOKUP($C470,Carpetas!$C$5:$L$2060,2,FALSE),"")</f>
        <v>#N/A</v>
      </c>
      <c r="G470" s="38" t="s">
        <v>43</v>
      </c>
      <c r="H470" s="44" t="e">
        <f>IF(C470&lt;&gt;"",VLOOKUP($C470,Carpetas!$C$5:$L$2060,9,FALSE),"")</f>
        <v>#N/A</v>
      </c>
      <c r="I470" s="51" t="e">
        <f>IF(C470&lt;&gt;"",VLOOKUP($C470,Carpetas!$C$5:$L$2060,5,FALSE),"")</f>
        <v>#N/A</v>
      </c>
      <c r="J470" s="51"/>
      <c r="K470" s="50">
        <v>45708</v>
      </c>
      <c r="L470" s="39" t="e">
        <f>VLOOKUP($C470,Carpetas!$C$5:$L$2060,4,FALSE)</f>
        <v>#N/A</v>
      </c>
      <c r="M470" s="55">
        <f t="shared" si="34"/>
        <v>45709</v>
      </c>
      <c r="N470" s="53">
        <f t="shared" si="33"/>
        <v>17</v>
      </c>
      <c r="O470" s="51">
        <v>1080</v>
      </c>
      <c r="P470" s="51"/>
      <c r="Q470" s="51"/>
      <c r="R470" s="51"/>
      <c r="S470" s="51"/>
      <c r="T470" s="65"/>
      <c r="U470" s="65"/>
      <c r="V470" s="65"/>
      <c r="W470" s="51"/>
      <c r="X470" s="66"/>
    </row>
    <row r="471" hidden="1" ht="27.75" customHeight="1" s="32" customFormat="1">
      <c r="A471" s="37"/>
      <c r="B471" s="31" t="s">
        <v>32</v>
      </c>
      <c r="C471" s="59" t="s">
        <v>1057</v>
      </c>
      <c r="D471" s="57" t="s">
        <v>30</v>
      </c>
      <c r="E471" s="57">
        <v>45692</v>
      </c>
      <c r="F471" s="38" t="e">
        <f>IF(C471&lt;&gt;"",VLOOKUP($C471,Carpetas!$C$5:$L$2060,2,FALSE),"")</f>
        <v>#N/A</v>
      </c>
      <c r="G471" s="38" t="s">
        <v>43</v>
      </c>
      <c r="H471" s="44" t="e">
        <f>IF(C471&lt;&gt;"",VLOOKUP($C471,Carpetas!$C$5:$L$2060,9,FALSE),"")</f>
        <v>#N/A</v>
      </c>
      <c r="I471" s="51" t="e">
        <f>IF(C471&lt;&gt;"",VLOOKUP($C471,Carpetas!$C$5:$L$2060,5,FALSE),"")</f>
        <v>#N/A</v>
      </c>
      <c r="J471" s="51"/>
      <c r="K471" s="50">
        <v>45708</v>
      </c>
      <c r="L471" s="39" t="e">
        <f>VLOOKUP($C471,Carpetas!$C$5:$L$2060,4,FALSE)</f>
        <v>#N/A</v>
      </c>
      <c r="M471" s="55">
        <f t="shared" si="34"/>
        <v>45709</v>
      </c>
      <c r="N471" s="53">
        <f t="shared" si="33"/>
        <v>17</v>
      </c>
      <c r="O471" s="51">
        <v>2160</v>
      </c>
      <c r="P471" s="51"/>
      <c r="Q471" s="51">
        <v>2160</v>
      </c>
      <c r="R471" s="51">
        <v>40</v>
      </c>
      <c r="S471" s="51">
        <v>21</v>
      </c>
      <c r="T471" s="65"/>
      <c r="U471" s="65"/>
      <c r="V471" s="65" t="s">
        <v>60</v>
      </c>
      <c r="W471" s="51" t="s">
        <v>1058</v>
      </c>
      <c r="X471" s="66" t="s">
        <v>1059</v>
      </c>
    </row>
    <row r="472" hidden="1" ht="27.75" customHeight="1" s="32" customFormat="1">
      <c r="A472" s="37"/>
      <c r="B472" s="31" t="s">
        <v>32</v>
      </c>
      <c r="C472" s="59" t="s">
        <v>1060</v>
      </c>
      <c r="D472" s="57" t="s">
        <v>30</v>
      </c>
      <c r="E472" s="57">
        <v>45692</v>
      </c>
      <c r="F472" s="38" t="str">
        <f>IF(C472&lt;&gt;"",VLOOKUP($C472,Carpetas!$C$5:$L$2060,2,FALSE),"")</f>
        <v>ECB004</v>
      </c>
      <c r="G472" s="38" t="s">
        <v>43</v>
      </c>
      <c r="H472" s="44">
        <f>IF(C472&lt;&gt;"",VLOOKUP($C472,Carpetas!$C$5:$L$2060,9,FALSE),"")</f>
        <v>1515391</v>
      </c>
      <c r="I472" s="51" t="str">
        <f>IF(C472&lt;&gt;"",VLOOKUP($C472,Carpetas!$C$5:$L$2060,5,FALSE),"")</f>
        <v>Andino</v>
      </c>
      <c r="J472" s="51"/>
      <c r="K472" s="50">
        <v>45708</v>
      </c>
      <c r="L472" s="39" t="str">
        <f>VLOOKUP($C472,Carpetas!$C$5:$L$2060,4,FALSE)</f>
        <v>Fray Bentos</v>
      </c>
      <c r="M472" s="55">
        <f t="shared" si="34"/>
        <v>45709</v>
      </c>
      <c r="N472" s="53">
        <f t="shared" si="33"/>
        <v>17</v>
      </c>
      <c r="O472" s="51">
        <v>2160</v>
      </c>
      <c r="P472" s="51"/>
      <c r="Q472" s="51">
        <v>2160</v>
      </c>
      <c r="R472" s="51">
        <v>40</v>
      </c>
      <c r="S472" s="51">
        <v>21</v>
      </c>
      <c r="T472" s="65"/>
      <c r="U472" s="65"/>
      <c r="V472" s="65" t="s">
        <v>55</v>
      </c>
      <c r="W472" s="51" t="s">
        <v>1061</v>
      </c>
      <c r="X472" s="66" t="s">
        <v>1062</v>
      </c>
    </row>
    <row r="473" hidden="1" ht="27.75" customHeight="1" s="32" customFormat="1">
      <c r="A473" s="37"/>
      <c r="B473" s="31" t="s">
        <v>32</v>
      </c>
      <c r="C473" s="59" t="s">
        <v>1063</v>
      </c>
      <c r="D473" s="57" t="s">
        <v>42</v>
      </c>
      <c r="E473" s="57">
        <v>45692</v>
      </c>
      <c r="F473" s="38" t="str">
        <f>IF(C473&lt;&gt;"",VLOOKUP($C473,Carpetas!$C$5:$L$2060,2,FALSE),"")</f>
        <v>ECA006</v>
      </c>
      <c r="G473" s="38" t="s">
        <v>43</v>
      </c>
      <c r="H473" s="44">
        <f>IF(C473&lt;&gt;"",VLOOKUP($C473,Carpetas!$C$5:$L$2060,9,FALSE),"")</f>
        <v>1515393</v>
      </c>
      <c r="I473" s="51" t="str">
        <f>IF(C473&lt;&gt;"",VLOOKUP($C473,Carpetas!$C$5:$L$2060,5,FALSE),"")</f>
        <v>Andino</v>
      </c>
      <c r="J473" s="51"/>
      <c r="K473" s="50">
        <v>45708</v>
      </c>
      <c r="L473" s="39" t="str">
        <f>VLOOKUP($C473,Carpetas!$C$5:$L$2060,4,FALSE)</f>
        <v>Fray Bentos</v>
      </c>
      <c r="M473" s="55">
        <f t="shared" si="34"/>
        <v>45709</v>
      </c>
      <c r="N473" s="53">
        <f t="shared" si="33"/>
        <v>17</v>
      </c>
      <c r="O473" s="51">
        <v>1680</v>
      </c>
      <c r="P473" s="51"/>
      <c r="Q473" s="51"/>
      <c r="R473" s="51"/>
      <c r="S473" s="51"/>
      <c r="T473" s="65"/>
      <c r="U473" s="65"/>
      <c r="V473" s="65"/>
      <c r="W473" s="51"/>
      <c r="X473" s="66"/>
    </row>
    <row r="474" hidden="1" ht="27.75" customHeight="1" s="32" customFormat="1">
      <c r="A474" s="37"/>
      <c r="B474" s="31" t="s">
        <v>32</v>
      </c>
      <c r="C474" s="59" t="s">
        <v>1064</v>
      </c>
      <c r="D474" s="57" t="s">
        <v>30</v>
      </c>
      <c r="E474" s="57">
        <v>45702</v>
      </c>
      <c r="F474" s="38" t="str">
        <f>IF(C474&lt;&gt;"",VLOOKUP($C474,Carpetas!$C$5:$L$2060,2,FALSE),"")</f>
        <v>BOB009</v>
      </c>
      <c r="G474" s="38" t="s">
        <v>31</v>
      </c>
      <c r="H474" s="44">
        <f>IF(C474&lt;&gt;"",VLOOKUP($C474,Carpetas!$C$5:$L$2060,9,FALSE),"")</f>
        <v>0</v>
      </c>
      <c r="I474" s="51" t="str">
        <f>IF(C474&lt;&gt;"",VLOOKUP($C474,Carpetas!$C$5:$L$2060,5,FALSE),"")</f>
        <v>Sur Central</v>
      </c>
      <c r="J474" s="51"/>
      <c r="K474" s="50">
        <v>45709</v>
      </c>
      <c r="L474" s="39" t="str">
        <f>VLOOKUP($C474,Carpetas!$C$5:$L$2060,4,FALSE)</f>
        <v>Salto</v>
      </c>
      <c r="M474" s="55">
        <f t="shared" si="34"/>
        <v>45710</v>
      </c>
      <c r="N474" s="53">
        <f t="shared" si="33"/>
        <v>8</v>
      </c>
      <c r="O474" s="51">
        <v>2200</v>
      </c>
      <c r="P474" s="51"/>
      <c r="Q474" s="51">
        <v>1100</v>
      </c>
      <c r="R474" s="51">
        <v>23</v>
      </c>
      <c r="S474" s="51">
        <v>21</v>
      </c>
      <c r="T474" s="65"/>
      <c r="U474" s="65"/>
      <c r="V474" s="65" t="s">
        <v>895</v>
      </c>
      <c r="W474" s="51" t="s">
        <v>896</v>
      </c>
      <c r="X474" s="66" t="s">
        <v>1065</v>
      </c>
    </row>
    <row r="475" hidden="1" ht="27.75" customHeight="1" s="32" customFormat="1">
      <c r="A475" s="37"/>
      <c r="B475" s="31" t="s">
        <v>32</v>
      </c>
      <c r="C475" s="59" t="s">
        <v>1066</v>
      </c>
      <c r="D475" s="57" t="s">
        <v>943</v>
      </c>
      <c r="E475" s="57">
        <v>45682</v>
      </c>
      <c r="F475" s="38" t="str">
        <f>IF(C475&lt;&gt;"",VLOOKUP($C475,Carpetas!$C$5:$L$2060,2,FALSE),"")</f>
        <v>EGN002/25</v>
      </c>
      <c r="G475" s="38" t="s">
        <v>657</v>
      </c>
      <c r="H475" s="44">
        <f>IF(C475&lt;&gt;"",VLOOKUP($C475,Carpetas!$C$5:$L$2060,9,FALSE),"")</f>
        <v>0</v>
      </c>
      <c r="I475" s="51" t="str">
        <f>IF(C475&lt;&gt;"",VLOOKUP($C475,Carpetas!$C$5:$L$2060,5,FALSE),"")</f>
        <v>Ciatran</v>
      </c>
      <c r="J475" s="51"/>
      <c r="K475" s="50">
        <v>45710</v>
      </c>
      <c r="L475" s="39" t="str">
        <f>VLOOKUP($C475,Carpetas!$C$5:$L$2060,4,FALSE)</f>
        <v>Montevideo</v>
      </c>
      <c r="M475" s="55">
        <f t="shared" si="34"/>
        <v>45711</v>
      </c>
      <c r="N475" s="53">
        <f t="shared" si="33"/>
        <v>29</v>
      </c>
      <c r="O475" s="51">
        <v>1664</v>
      </c>
      <c r="P475" s="51"/>
      <c r="Q475" s="51">
        <v>1164</v>
      </c>
      <c r="R475" s="51">
        <v>21</v>
      </c>
      <c r="S475" s="51">
        <v>15.5</v>
      </c>
      <c r="T475" s="65"/>
      <c r="U475" s="65"/>
      <c r="V475" s="65" t="s">
        <v>1029</v>
      </c>
      <c r="W475" s="51" t="s">
        <v>1067</v>
      </c>
      <c r="X475" s="66" t="s">
        <v>1068</v>
      </c>
    </row>
    <row r="476" hidden="1" ht="27.75" customHeight="1" s="32" customFormat="1">
      <c r="A476" s="37"/>
      <c r="B476" s="31" t="s">
        <v>32</v>
      </c>
      <c r="C476" s="59" t="s">
        <v>1069</v>
      </c>
      <c r="D476" s="57" t="s">
        <v>37</v>
      </c>
      <c r="E476" s="57">
        <v>45672</v>
      </c>
      <c r="F476" s="38" t="str">
        <f>IF(C476&lt;&gt;"",VLOOKUP($C476,Carpetas!$C$5:$L$2060,2,FALSE),"")</f>
        <v>GRK001/25</v>
      </c>
      <c r="G476" s="38" t="s">
        <v>833</v>
      </c>
      <c r="H476" s="44">
        <f>IF(C476&lt;&gt;"",VLOOKUP($C476,Carpetas!$C$5:$L$2060,9,FALSE),"")</f>
        <v>0</v>
      </c>
      <c r="I476" s="51" t="str">
        <f>IF(C476&lt;&gt;"",VLOOKUP($C476,Carpetas!$C$5:$L$2060,5,FALSE),"")</f>
        <v>Ciatran</v>
      </c>
      <c r="J476" s="51"/>
      <c r="K476" s="50">
        <v>45710</v>
      </c>
      <c r="L476" s="39" t="str">
        <f>VLOOKUP($C476,Carpetas!$C$5:$L$2060,4,FALSE)</f>
        <v>Montevideo</v>
      </c>
      <c r="M476" s="55">
        <f t="shared" si="34"/>
        <v>45711</v>
      </c>
      <c r="N476" s="53">
        <f t="shared" si="33"/>
        <v>39</v>
      </c>
      <c r="O476" s="51">
        <v>2310</v>
      </c>
      <c r="P476" s="51"/>
      <c r="Q476" s="51"/>
      <c r="R476" s="51"/>
      <c r="S476" s="51"/>
      <c r="T476" s="65"/>
      <c r="U476" s="65"/>
      <c r="V476" s="65"/>
      <c r="W476" s="51"/>
      <c r="X476" s="66"/>
    </row>
    <row r="477" hidden="1" ht="27.75" customHeight="1" s="32" customFormat="1">
      <c r="A477" s="37"/>
      <c r="B477" s="31" t="s">
        <v>32</v>
      </c>
      <c r="C477" s="59" t="s">
        <v>1070</v>
      </c>
      <c r="D477" s="57" t="s">
        <v>48</v>
      </c>
      <c r="E477" s="57">
        <v>45706</v>
      </c>
      <c r="F477" s="38" t="str">
        <f>IF(C477&lt;&gt;"",VLOOKUP($C477,Carpetas!$C$5:$L$2060,2,FALSE),"")</f>
        <v>CLP010</v>
      </c>
      <c r="G477" s="38" t="s">
        <v>35</v>
      </c>
      <c r="H477" s="44">
        <f>IF(C477&lt;&gt;"",VLOOKUP($C477,Carpetas!$C$5:$L$2060,9,FALSE),"")</f>
        <v>0</v>
      </c>
      <c r="I477" s="51" t="str">
        <f>IF(C477&lt;&gt;"",VLOOKUP($C477,Carpetas!$C$5:$L$2060,5,FALSE),"")</f>
        <v>Nihuil</v>
      </c>
      <c r="J477" s="51"/>
      <c r="K477" s="50">
        <v>45710</v>
      </c>
      <c r="L477" s="39" t="str">
        <f>VLOOKUP($C477,Carpetas!$C$5:$L$2060,4,FALSE)</f>
        <v>Fray Bentos</v>
      </c>
      <c r="M477" s="55">
        <v>45713</v>
      </c>
      <c r="N477" s="53">
        <f t="shared" si="33"/>
        <v>7</v>
      </c>
      <c r="O477" s="51">
        <v>2112</v>
      </c>
      <c r="P477" s="51"/>
      <c r="Q477" s="51"/>
      <c r="R477" s="51"/>
      <c r="S477" s="51"/>
      <c r="T477" s="65"/>
      <c r="U477" s="65"/>
      <c r="V477" s="65"/>
      <c r="W477" s="51"/>
      <c r="X477" s="66"/>
    </row>
    <row r="478" hidden="1" ht="27.75" customHeight="1" s="32" customFormat="1">
      <c r="A478" s="37"/>
      <c r="B478" s="31" t="s">
        <v>32</v>
      </c>
      <c r="C478" s="59" t="s">
        <v>1071</v>
      </c>
      <c r="D478" s="57" t="s">
        <v>42</v>
      </c>
      <c r="E478" s="57">
        <v>45699</v>
      </c>
      <c r="F478" s="38" t="str">
        <f>IF(C478&lt;&gt;"",VLOOKUP($C478,Carpetas!$C$5:$L$2060,2,FALSE),"")</f>
        <v>ECA007</v>
      </c>
      <c r="G478" s="38" t="s">
        <v>43</v>
      </c>
      <c r="H478" s="44">
        <f>IF(C478&lt;&gt;"",VLOOKUP($C478,Carpetas!$C$5:$L$2060,9,FALSE),"")</f>
        <v>1516607</v>
      </c>
      <c r="I478" s="51" t="str">
        <f>IF(C478&lt;&gt;"",VLOOKUP($C478,Carpetas!$C$5:$L$2060,5,FALSE),"")</f>
        <v>Andino</v>
      </c>
      <c r="J478" s="51"/>
      <c r="K478" s="50">
        <v>45715</v>
      </c>
      <c r="L478" s="39" t="str">
        <f>VLOOKUP($C478,Carpetas!$C$5:$L$2060,4,FALSE)</f>
        <v>Fray Bentos</v>
      </c>
      <c r="M478" s="55">
        <v>45713</v>
      </c>
      <c r="N478" s="53">
        <f t="shared" si="33"/>
        <v>14</v>
      </c>
      <c r="O478" s="51">
        <v>1680</v>
      </c>
      <c r="P478" s="51"/>
      <c r="Q478" s="51"/>
      <c r="R478" s="51"/>
      <c r="S478" s="51"/>
      <c r="T478" s="65"/>
      <c r="U478" s="65"/>
      <c r="V478" s="65"/>
      <c r="W478" s="51"/>
      <c r="X478" s="66"/>
    </row>
    <row r="479" hidden="1" ht="27.75" customHeight="1" s="32" customFormat="1">
      <c r="A479" s="37"/>
      <c r="B479" s="31" t="s">
        <v>32</v>
      </c>
      <c r="C479" s="59" t="s">
        <v>1072</v>
      </c>
      <c r="D479" s="57" t="s">
        <v>30</v>
      </c>
      <c r="E479" s="57">
        <v>45699</v>
      </c>
      <c r="F479" s="38" t="str">
        <f>IF(C479&lt;&gt;"",VLOOKUP($C479,Carpetas!$C$5:$L$2060,2,FALSE),"")</f>
        <v>ECB005</v>
      </c>
      <c r="G479" s="38" t="s">
        <v>43</v>
      </c>
      <c r="H479" s="44">
        <f>IF(C479&lt;&gt;"",VLOOKUP($C479,Carpetas!$C$5:$L$2060,9,FALSE),"")</f>
        <v>1516608</v>
      </c>
      <c r="I479" s="51" t="str">
        <f>IF(C479&lt;&gt;"",VLOOKUP($C479,Carpetas!$C$5:$L$2060,5,FALSE),"")</f>
        <v>Andino</v>
      </c>
      <c r="J479" s="51"/>
      <c r="K479" s="50">
        <v>45715</v>
      </c>
      <c r="L479" s="39" t="str">
        <f>VLOOKUP($C479,Carpetas!$C$5:$L$2060,4,FALSE)</f>
        <v>Fray Bentos</v>
      </c>
      <c r="M479" s="55">
        <v>45713</v>
      </c>
      <c r="N479" s="53">
        <f ref="N479:N510" t="shared" si="35">IF(M479&lt;&gt;"",M479-E479,"-")</f>
        <v>14</v>
      </c>
      <c r="O479" s="51">
        <v>1080</v>
      </c>
      <c r="P479" s="51"/>
      <c r="Q479" s="51">
        <v>1080</v>
      </c>
      <c r="R479" s="51">
        <v>20</v>
      </c>
      <c r="S479" s="51">
        <v>21</v>
      </c>
      <c r="T479" s="65"/>
      <c r="U479" s="65"/>
      <c r="V479" s="65" t="s">
        <v>55</v>
      </c>
      <c r="W479" s="51" t="s">
        <v>536</v>
      </c>
      <c r="X479" s="66" t="s">
        <v>1073</v>
      </c>
    </row>
    <row r="480" hidden="1" ht="27.75" customHeight="1" s="32" customFormat="1">
      <c r="A480" s="37"/>
      <c r="B480" s="31" t="s">
        <v>32</v>
      </c>
      <c r="C480" s="59" t="s">
        <v>1074</v>
      </c>
      <c r="D480" s="57" t="s">
        <v>30</v>
      </c>
      <c r="E480" s="57">
        <v>45699</v>
      </c>
      <c r="F480" s="38" t="str">
        <f>IF(C480&lt;&gt;"",VLOOKUP($C480,Carpetas!$C$5:$L$2060,2,FALSE),"")</f>
        <v>ECE010</v>
      </c>
      <c r="G480" s="38" t="s">
        <v>43</v>
      </c>
      <c r="H480" s="44">
        <f>IF(C480&lt;&gt;"",VLOOKUP($C480,Carpetas!$C$5:$L$2060,9,FALSE),"")</f>
        <v>1516611</v>
      </c>
      <c r="I480" s="51" t="str">
        <f>IF(C480&lt;&gt;"",VLOOKUP($C480,Carpetas!$C$5:$L$2060,5,FALSE),"")</f>
        <v>Andino</v>
      </c>
      <c r="J480" s="51"/>
      <c r="K480" s="50">
        <v>45715</v>
      </c>
      <c r="L480" s="39" t="str">
        <f>VLOOKUP($C480,Carpetas!$C$5:$L$2060,4,FALSE)</f>
        <v>Fray Bentos</v>
      </c>
      <c r="M480" s="55">
        <v>45713</v>
      </c>
      <c r="N480" s="53">
        <f t="shared" si="35"/>
        <v>14</v>
      </c>
      <c r="O480" s="51">
        <v>2160</v>
      </c>
      <c r="P480" s="51"/>
      <c r="Q480" s="51">
        <v>2160</v>
      </c>
      <c r="R480" s="51">
        <v>40</v>
      </c>
      <c r="S480" s="51">
        <v>21</v>
      </c>
      <c r="T480" s="65"/>
      <c r="U480" s="65"/>
      <c r="V480" s="65" t="s">
        <v>60</v>
      </c>
      <c r="W480" s="51" t="s">
        <v>1075</v>
      </c>
      <c r="X480" s="66" t="s">
        <v>1076</v>
      </c>
    </row>
    <row r="481" hidden="1" ht="27.75" customHeight="1" s="32" customFormat="1">
      <c r="A481" s="37"/>
      <c r="B481" s="31" t="s">
        <v>32</v>
      </c>
      <c r="C481" s="59" t="s">
        <v>1077</v>
      </c>
      <c r="D481" s="57" t="s">
        <v>30</v>
      </c>
      <c r="E481" s="57">
        <v>45710</v>
      </c>
      <c r="F481" s="38" t="str">
        <f>IF(C481&lt;&gt;"",VLOOKUP($C481,Carpetas!$C$5:$L$2060,2,FALSE),"")</f>
        <v>BOB011</v>
      </c>
      <c r="G481" s="38" t="s">
        <v>31</v>
      </c>
      <c r="H481" s="44">
        <f>IF(C481&lt;&gt;"",VLOOKUP($C481,Carpetas!$C$5:$L$2060,9,FALSE),"")</f>
        <v>0</v>
      </c>
      <c r="I481" s="51" t="str">
        <f>IF(C481&lt;&gt;"",VLOOKUP($C481,Carpetas!$C$5:$L$2060,5,FALSE),"")</f>
        <v>El Palomar</v>
      </c>
      <c r="J481" s="51"/>
      <c r="K481" s="50">
        <v>45714</v>
      </c>
      <c r="L481" s="39" t="str">
        <f>VLOOKUP($C481,Carpetas!$C$5:$L$2060,4,FALSE)</f>
        <v>Salto</v>
      </c>
      <c r="M481" s="55">
        <f>K481+1</f>
        <v>45715</v>
      </c>
      <c r="N481" s="53">
        <f t="shared" si="35"/>
        <v>5</v>
      </c>
      <c r="O481" s="51">
        <v>2208</v>
      </c>
      <c r="P481" s="51"/>
      <c r="Q481" s="51">
        <v>2208</v>
      </c>
      <c r="R481" s="51">
        <v>46</v>
      </c>
      <c r="S481" s="51">
        <v>21</v>
      </c>
      <c r="T481" s="65"/>
      <c r="U481" s="65"/>
      <c r="V481" s="65" t="s">
        <v>605</v>
      </c>
      <c r="W481" s="51" t="s">
        <v>1078</v>
      </c>
      <c r="X481" s="66" t="s">
        <v>1079</v>
      </c>
    </row>
    <row r="482" hidden="1" ht="27.75" customHeight="1" s="32" customFormat="1">
      <c r="A482" s="37"/>
      <c r="B482" s="31" t="s">
        <v>32</v>
      </c>
      <c r="C482" s="59" t="s">
        <v>1080</v>
      </c>
      <c r="D482" s="57" t="s">
        <v>30</v>
      </c>
      <c r="E482" s="57">
        <v>45710</v>
      </c>
      <c r="F482" s="38" t="str">
        <f>IF(C482&lt;&gt;"",VLOOKUP($C482,Carpetas!$C$5:$L$2060,2,FALSE),"")</f>
        <v>BOB010</v>
      </c>
      <c r="G482" s="38" t="s">
        <v>31</v>
      </c>
      <c r="H482" s="44">
        <f>IF(C482&lt;&gt;"",VLOOKUP($C482,Carpetas!$C$5:$L$2060,9,FALSE),"")</f>
        <v>0</v>
      </c>
      <c r="I482" s="51" t="str">
        <f>IF(C482&lt;&gt;"",VLOOKUP($C482,Carpetas!$C$5:$L$2060,5,FALSE),"")</f>
        <v>Sur Central</v>
      </c>
      <c r="J482" s="51"/>
      <c r="K482" s="50">
        <v>45715</v>
      </c>
      <c r="L482" s="39" t="str">
        <f>VLOOKUP($C482,Carpetas!$C$5:$L$2060,4,FALSE)</f>
        <v>Salto</v>
      </c>
      <c r="M482" s="55">
        <f>K482+1</f>
        <v>45716</v>
      </c>
      <c r="N482" s="53">
        <f t="shared" si="35"/>
        <v>6</v>
      </c>
      <c r="O482" s="51">
        <v>1100</v>
      </c>
      <c r="P482" s="51"/>
      <c r="Q482" s="51">
        <v>1100</v>
      </c>
      <c r="R482" s="51">
        <v>23</v>
      </c>
      <c r="S482" s="51">
        <v>20</v>
      </c>
      <c r="T482" s="65"/>
      <c r="U482" s="65"/>
      <c r="V482" s="65" t="s">
        <v>895</v>
      </c>
      <c r="W482" s="51" t="s">
        <v>808</v>
      </c>
      <c r="X482" s="66" t="s">
        <v>1081</v>
      </c>
    </row>
    <row r="483" hidden="1" ht="27.75" customHeight="1" s="32" customFormat="1">
      <c r="A483" s="37"/>
      <c r="B483" s="31" t="s">
        <v>32</v>
      </c>
      <c r="C483" s="59" t="s">
        <v>1082</v>
      </c>
      <c r="D483" s="57" t="s">
        <v>48</v>
      </c>
      <c r="E483" s="57">
        <v>45713</v>
      </c>
      <c r="F483" s="38" t="str">
        <f>IF(C483&lt;&gt;"",VLOOKUP($C483,Carpetas!$C$5:$L$2060,2,FALSE),"")</f>
        <v>CLP011</v>
      </c>
      <c r="G483" s="38" t="s">
        <v>35</v>
      </c>
      <c r="H483" s="44">
        <f>IF(C483&lt;&gt;"",VLOOKUP($C483,Carpetas!$C$5:$L$2060,9,FALSE),"")</f>
        <v>0</v>
      </c>
      <c r="I483" s="51" t="str">
        <f>IF(C483&lt;&gt;"",VLOOKUP($C483,Carpetas!$C$5:$L$2060,5,FALSE),"")</f>
        <v>Nihuil</v>
      </c>
      <c r="J483" s="51"/>
      <c r="K483" s="50">
        <v>45716</v>
      </c>
      <c r="L483" s="39" t="str">
        <f>VLOOKUP($C483,Carpetas!$C$5:$L$2060,4,FALSE)</f>
        <v>Fray Bentos</v>
      </c>
      <c r="M483" s="55">
        <v>45716</v>
      </c>
      <c r="N483" s="53">
        <f t="shared" si="35"/>
        <v>3</v>
      </c>
      <c r="O483" s="51">
        <v>2112</v>
      </c>
      <c r="P483" s="51"/>
      <c r="Q483" s="51">
        <v>2112</v>
      </c>
      <c r="R483" s="51">
        <v>24</v>
      </c>
      <c r="S483" s="51">
        <v>24</v>
      </c>
      <c r="T483" s="65"/>
      <c r="U483" s="65"/>
      <c r="V483" s="65" t="s">
        <v>1083</v>
      </c>
      <c r="W483" s="51" t="s">
        <v>1084</v>
      </c>
      <c r="X483" s="66" t="s">
        <v>1085</v>
      </c>
    </row>
    <row r="484" hidden="1" ht="27.75" customHeight="1" s="32" customFormat="1">
      <c r="A484" s="37"/>
      <c r="B484" s="31" t="s">
        <v>32</v>
      </c>
      <c r="C484" s="59" t="s">
        <v>1072</v>
      </c>
      <c r="D484" s="57" t="s">
        <v>30</v>
      </c>
      <c r="E484" s="57">
        <v>45699</v>
      </c>
      <c r="F484" s="38" t="str">
        <f>IF(C484&lt;&gt;"",VLOOKUP($C484,Carpetas!$C$5:$L$2060,2,FALSE),"")</f>
        <v>ECB005</v>
      </c>
      <c r="G484" s="38" t="s">
        <v>43</v>
      </c>
      <c r="H484" s="44">
        <f>IF(C484&lt;&gt;"",VLOOKUP($C484,Carpetas!$C$5:$L$2060,9,FALSE),"")</f>
        <v>1516608</v>
      </c>
      <c r="I484" s="51" t="str">
        <f>IF(C484&lt;&gt;"",VLOOKUP($C484,Carpetas!$C$5:$L$2060,5,FALSE),"")</f>
        <v>Andino</v>
      </c>
      <c r="J484" s="51"/>
      <c r="K484" s="50">
        <v>45720</v>
      </c>
      <c r="L484" s="39" t="str">
        <f>VLOOKUP($C484,Carpetas!$C$5:$L$2060,4,FALSE)</f>
        <v>Fray Bentos</v>
      </c>
      <c r="M484" s="55">
        <f ref="M484:M515" t="shared" si="36">K484+1</f>
        <v>45721</v>
      </c>
      <c r="N484" s="53">
        <f t="shared" si="35"/>
        <v>22</v>
      </c>
      <c r="O484" s="51">
        <v>1080</v>
      </c>
      <c r="P484" s="51"/>
      <c r="Q484" s="51">
        <v>1080</v>
      </c>
      <c r="R484" s="51">
        <v>20</v>
      </c>
      <c r="S484" s="51">
        <v>21</v>
      </c>
      <c r="T484" s="65"/>
      <c r="U484" s="65"/>
      <c r="V484" s="65" t="s">
        <v>55</v>
      </c>
      <c r="W484" s="51" t="s">
        <v>233</v>
      </c>
      <c r="X484" s="66" t="s">
        <v>1086</v>
      </c>
    </row>
    <row r="485" hidden="1" ht="27.75" customHeight="1" s="32" customFormat="1">
      <c r="A485" s="37"/>
      <c r="B485" s="31" t="s">
        <v>32</v>
      </c>
      <c r="C485" s="59" t="s">
        <v>1074</v>
      </c>
      <c r="D485" s="57" t="s">
        <v>30</v>
      </c>
      <c r="E485" s="57">
        <v>45699</v>
      </c>
      <c r="F485" s="38" t="str">
        <f>IF(C485&lt;&gt;"",VLOOKUP($C485,Carpetas!$C$5:$L$2060,2,FALSE),"")</f>
        <v>ECE010</v>
      </c>
      <c r="G485" s="38" t="s">
        <v>43</v>
      </c>
      <c r="H485" s="44">
        <f>IF(C485&lt;&gt;"",VLOOKUP($C485,Carpetas!$C$5:$L$2060,9,FALSE),"")</f>
        <v>1516611</v>
      </c>
      <c r="I485" s="51" t="str">
        <f>IF(C485&lt;&gt;"",VLOOKUP($C485,Carpetas!$C$5:$L$2060,5,FALSE),"")</f>
        <v>Andino</v>
      </c>
      <c r="J485" s="51"/>
      <c r="K485" s="50">
        <v>45720</v>
      </c>
      <c r="L485" s="39" t="str">
        <f>VLOOKUP($C485,Carpetas!$C$5:$L$2060,4,FALSE)</f>
        <v>Fray Bentos</v>
      </c>
      <c r="M485" s="55">
        <f t="shared" si="36"/>
        <v>45721</v>
      </c>
      <c r="N485" s="53">
        <f t="shared" si="35"/>
        <v>22</v>
      </c>
      <c r="O485" s="51">
        <v>1080</v>
      </c>
      <c r="P485" s="51"/>
      <c r="Q485" s="51">
        <v>1080</v>
      </c>
      <c r="R485" s="51">
        <v>20</v>
      </c>
      <c r="S485" s="51">
        <v>21</v>
      </c>
      <c r="T485" s="65"/>
      <c r="U485" s="65"/>
      <c r="V485" s="65" t="s">
        <v>60</v>
      </c>
      <c r="W485" s="51" t="s">
        <v>1087</v>
      </c>
      <c r="X485" s="66" t="s">
        <v>1088</v>
      </c>
    </row>
    <row r="486" hidden="1" ht="27.75" customHeight="1" s="32" customFormat="1">
      <c r="A486" s="37"/>
      <c r="B486" s="31" t="s">
        <v>32</v>
      </c>
      <c r="C486" s="59" t="s">
        <v>1089</v>
      </c>
      <c r="D486" s="57" t="s">
        <v>30</v>
      </c>
      <c r="E486" s="57">
        <v>45706</v>
      </c>
      <c r="F486" s="38" t="str">
        <f>IF(C486&lt;&gt;"",VLOOKUP($C486,Carpetas!$C$5:$L$2060,2,FALSE),"")</f>
        <v>ECE011</v>
      </c>
      <c r="G486" s="38" t="s">
        <v>43</v>
      </c>
      <c r="H486" s="44">
        <f>IF(C486&lt;&gt;"",VLOOKUP($C486,Carpetas!$C$5:$L$2060,9,FALSE),"")</f>
        <v>1517200</v>
      </c>
      <c r="I486" s="51" t="str">
        <f>IF(C486&lt;&gt;"",VLOOKUP($C486,Carpetas!$C$5:$L$2060,5,FALSE),"")</f>
        <v>Andino</v>
      </c>
      <c r="J486" s="51"/>
      <c r="K486" s="50">
        <v>45722</v>
      </c>
      <c r="L486" s="39" t="str">
        <f>VLOOKUP($C486,Carpetas!$C$5:$L$2060,4,FALSE)</f>
        <v>Fray Bentos</v>
      </c>
      <c r="M486" s="55">
        <f t="shared" si="36"/>
        <v>45723</v>
      </c>
      <c r="N486" s="53">
        <f t="shared" si="35"/>
        <v>17</v>
      </c>
      <c r="O486" s="51">
        <v>2160</v>
      </c>
      <c r="P486" s="51"/>
      <c r="Q486" s="51">
        <v>2160</v>
      </c>
      <c r="R486" s="51">
        <v>40</v>
      </c>
      <c r="S486" s="51">
        <v>21</v>
      </c>
      <c r="T486" s="65"/>
      <c r="U486" s="65"/>
      <c r="V486" s="65" t="s">
        <v>60</v>
      </c>
      <c r="W486" s="51" t="s">
        <v>1090</v>
      </c>
      <c r="X486" s="66" t="s">
        <v>1091</v>
      </c>
    </row>
    <row r="487" hidden="1" ht="27.75" customHeight="1" s="32" customFormat="1">
      <c r="A487" s="37"/>
      <c r="B487" s="31" t="s">
        <v>32</v>
      </c>
      <c r="C487" s="59" t="s">
        <v>1092</v>
      </c>
      <c r="D487" s="57" t="s">
        <v>30</v>
      </c>
      <c r="E487" s="57">
        <v>45706</v>
      </c>
      <c r="F487" s="38" t="str">
        <f>IF(C487&lt;&gt;"",VLOOKUP($C487,Carpetas!$C$5:$L$2060,2,FALSE),"")</f>
        <v>ECE013</v>
      </c>
      <c r="G487" s="38" t="s">
        <v>43</v>
      </c>
      <c r="H487" s="44">
        <f>IF(C487&lt;&gt;"",VLOOKUP($C487,Carpetas!$C$5:$L$2060,9,FALSE),"")</f>
        <v>1517266</v>
      </c>
      <c r="I487" s="51" t="str">
        <f>IF(C487&lt;&gt;"",VLOOKUP($C487,Carpetas!$C$5:$L$2060,5,FALSE),"")</f>
        <v>Andino</v>
      </c>
      <c r="J487" s="51"/>
      <c r="K487" s="50">
        <v>45722</v>
      </c>
      <c r="L487" s="39" t="str">
        <f>VLOOKUP($C487,Carpetas!$C$5:$L$2060,4,FALSE)</f>
        <v>Fray Bentos</v>
      </c>
      <c r="M487" s="55">
        <f t="shared" si="36"/>
        <v>45723</v>
      </c>
      <c r="N487" s="53">
        <f t="shared" si="35"/>
        <v>17</v>
      </c>
      <c r="O487" s="51">
        <v>1080</v>
      </c>
      <c r="P487" s="51"/>
      <c r="Q487" s="51">
        <v>1080</v>
      </c>
      <c r="R487" s="51">
        <v>20</v>
      </c>
      <c r="S487" s="51">
        <v>21</v>
      </c>
      <c r="T487" s="65"/>
      <c r="U487" s="65"/>
      <c r="V487" s="65" t="s">
        <v>60</v>
      </c>
      <c r="W487" s="51" t="s">
        <v>140</v>
      </c>
      <c r="X487" s="66" t="s">
        <v>1093</v>
      </c>
    </row>
    <row r="488" hidden="1" ht="27.75" customHeight="1" s="32" customFormat="1">
      <c r="A488" s="37"/>
      <c r="B488" s="31" t="s">
        <v>32</v>
      </c>
      <c r="C488" s="59" t="s">
        <v>1094</v>
      </c>
      <c r="D488" s="57" t="s">
        <v>30</v>
      </c>
      <c r="E488" s="57">
        <v>45706</v>
      </c>
      <c r="F488" s="38" t="str">
        <f>IF(C488&lt;&gt;"",VLOOKUP($C488,Carpetas!$C$5:$L$2060,2,FALSE),"")</f>
        <v>ECB006</v>
      </c>
      <c r="G488" s="38" t="s">
        <v>43</v>
      </c>
      <c r="H488" s="44">
        <f>IF(C488&lt;&gt;"",VLOOKUP($C488,Carpetas!$C$5:$L$2060,9,FALSE),"")</f>
        <v>1517207</v>
      </c>
      <c r="I488" s="51" t="str">
        <f>IF(C488&lt;&gt;"",VLOOKUP($C488,Carpetas!$C$5:$L$2060,5,FALSE),"")</f>
        <v>Andino</v>
      </c>
      <c r="J488" s="51"/>
      <c r="K488" s="50">
        <v>45722</v>
      </c>
      <c r="L488" s="39" t="str">
        <f>VLOOKUP($C488,Carpetas!$C$5:$L$2060,4,FALSE)</f>
        <v>Fray Bentos</v>
      </c>
      <c r="M488" s="55">
        <f t="shared" si="36"/>
        <v>45723</v>
      </c>
      <c r="N488" s="53">
        <f t="shared" si="35"/>
        <v>17</v>
      </c>
      <c r="O488" s="51">
        <v>2160</v>
      </c>
      <c r="P488" s="51"/>
      <c r="Q488" s="51">
        <v>2160</v>
      </c>
      <c r="R488" s="51">
        <v>40</v>
      </c>
      <c r="S488" s="51">
        <v>21</v>
      </c>
      <c r="T488" s="65"/>
      <c r="U488" s="65"/>
      <c r="V488" s="65" t="s">
        <v>55</v>
      </c>
      <c r="W488" s="51" t="s">
        <v>1095</v>
      </c>
      <c r="X488" s="66" t="s">
        <v>1096</v>
      </c>
    </row>
    <row r="489" hidden="1" ht="27.75" customHeight="1" s="32" customFormat="1">
      <c r="A489" s="37"/>
      <c r="B489" s="31" t="s">
        <v>32</v>
      </c>
      <c r="C489" s="59" t="s">
        <v>1097</v>
      </c>
      <c r="D489" s="57" t="s">
        <v>42</v>
      </c>
      <c r="E489" s="57">
        <v>45706</v>
      </c>
      <c r="F489" s="38" t="str">
        <f>IF(C489&lt;&gt;"",VLOOKUP($C489,Carpetas!$C$5:$L$2060,2,FALSE),"")</f>
        <v>ECA008</v>
      </c>
      <c r="G489" s="38" t="s">
        <v>43</v>
      </c>
      <c r="H489" s="44">
        <f>IF(C489&lt;&gt;"",VLOOKUP($C489,Carpetas!$C$5:$L$2060,9,FALSE),"")</f>
        <v>1517209</v>
      </c>
      <c r="I489" s="51" t="str">
        <f>IF(C489&lt;&gt;"",VLOOKUP($C489,Carpetas!$C$5:$L$2060,5,FALSE),"")</f>
        <v>Andino</v>
      </c>
      <c r="J489" s="51"/>
      <c r="K489" s="50">
        <v>45722</v>
      </c>
      <c r="L489" s="39" t="str">
        <f>VLOOKUP($C489,Carpetas!$C$5:$L$2060,4,FALSE)</f>
        <v>Fray Bentos</v>
      </c>
      <c r="M489" s="55">
        <f t="shared" si="36"/>
        <v>45723</v>
      </c>
      <c r="N489" s="53">
        <f t="shared" si="35"/>
        <v>17</v>
      </c>
      <c r="O489" s="51">
        <v>1680</v>
      </c>
      <c r="P489" s="51"/>
      <c r="Q489" s="51">
        <v>1680</v>
      </c>
      <c r="R489" s="51">
        <v>21</v>
      </c>
      <c r="S489" s="51">
        <v>13</v>
      </c>
      <c r="T489" s="65"/>
      <c r="U489" s="65"/>
      <c r="V489" s="65" t="s">
        <v>1098</v>
      </c>
      <c r="W489" s="51" t="s">
        <v>146</v>
      </c>
      <c r="X489" s="66" t="s">
        <v>1099</v>
      </c>
    </row>
    <row r="490" hidden="1" ht="27.75" customHeight="1" s="32" customFormat="1">
      <c r="A490" s="37"/>
      <c r="B490" s="31" t="s">
        <v>32</v>
      </c>
      <c r="C490" s="59" t="s">
        <v>1100</v>
      </c>
      <c r="D490" s="57" t="s">
        <v>30</v>
      </c>
      <c r="E490" s="57">
        <v>45706</v>
      </c>
      <c r="F490" s="38" t="str">
        <f>IF(C490&lt;&gt;"",VLOOKUP($C490,Carpetas!$C$5:$L$2060,2,FALSE),"")</f>
        <v>ECE012</v>
      </c>
      <c r="G490" s="38" t="s">
        <v>43</v>
      </c>
      <c r="H490" s="44">
        <f>IF(C490&lt;&gt;"",VLOOKUP($C490,Carpetas!$C$5:$L$2060,9,FALSE),"")</f>
        <v>1517201</v>
      </c>
      <c r="I490" s="51" t="str">
        <f>IF(C490&lt;&gt;"",VLOOKUP($C490,Carpetas!$C$5:$L$2060,5,FALSE),"")</f>
        <v>Andino</v>
      </c>
      <c r="J490" s="51"/>
      <c r="K490" s="50">
        <v>45723</v>
      </c>
      <c r="L490" s="39" t="str">
        <f>VLOOKUP($C490,Carpetas!$C$5:$L$2060,4,FALSE)</f>
        <v>Fray Bentos</v>
      </c>
      <c r="M490" s="55">
        <f t="shared" si="36"/>
        <v>45724</v>
      </c>
      <c r="N490" s="53">
        <f t="shared" si="35"/>
        <v>18</v>
      </c>
      <c r="O490" s="51">
        <v>1128</v>
      </c>
      <c r="P490" s="51"/>
      <c r="Q490" s="51">
        <v>1128</v>
      </c>
      <c r="R490" s="51">
        <v>20</v>
      </c>
      <c r="S490" s="51">
        <v>21</v>
      </c>
      <c r="T490" s="65"/>
      <c r="U490" s="65"/>
      <c r="V490" s="65" t="s">
        <v>1101</v>
      </c>
      <c r="W490" s="51" t="s">
        <v>110</v>
      </c>
      <c r="X490" s="66" t="s">
        <v>1102</v>
      </c>
    </row>
    <row r="491" hidden="1" ht="27.75" customHeight="1" s="32" customFormat="1">
      <c r="A491" s="37"/>
      <c r="B491" s="31" t="s">
        <v>32</v>
      </c>
      <c r="C491" s="59" t="s">
        <v>1089</v>
      </c>
      <c r="D491" s="57" t="s">
        <v>30</v>
      </c>
      <c r="E491" s="57">
        <v>45706</v>
      </c>
      <c r="F491" s="38" t="str">
        <f>IF(C491&lt;&gt;"",VLOOKUP($C491,Carpetas!$C$5:$L$2060,2,FALSE),"")</f>
        <v>ECE011</v>
      </c>
      <c r="G491" s="38" t="s">
        <v>43</v>
      </c>
      <c r="H491" s="44">
        <f>IF(C491&lt;&gt;"",VLOOKUP($C491,Carpetas!$C$5:$L$2060,9,FALSE),"")</f>
        <v>1517200</v>
      </c>
      <c r="I491" s="51" t="str">
        <f>IF(C491&lt;&gt;"",VLOOKUP($C491,Carpetas!$C$5:$L$2060,5,FALSE),"")</f>
        <v>Andino</v>
      </c>
      <c r="J491" s="51"/>
      <c r="K491" s="50">
        <v>45723</v>
      </c>
      <c r="L491" s="39" t="str">
        <f>VLOOKUP($C491,Carpetas!$C$5:$L$2060,4,FALSE)</f>
        <v>Fray Bentos</v>
      </c>
      <c r="M491" s="55">
        <f t="shared" si="36"/>
        <v>45724</v>
      </c>
      <c r="N491" s="53">
        <f t="shared" si="35"/>
        <v>18</v>
      </c>
      <c r="O491" s="51">
        <v>1080</v>
      </c>
      <c r="P491" s="51"/>
      <c r="Q491" s="51">
        <v>1080</v>
      </c>
      <c r="R491" s="51">
        <v>20</v>
      </c>
      <c r="S491" s="51">
        <v>21</v>
      </c>
      <c r="T491" s="65"/>
      <c r="U491" s="65"/>
      <c r="V491" s="65" t="s">
        <v>60</v>
      </c>
      <c r="W491" s="51" t="s">
        <v>536</v>
      </c>
      <c r="X491" s="66" t="s">
        <v>1103</v>
      </c>
    </row>
    <row r="492" hidden="1" ht="27.75" customHeight="1" s="32" customFormat="1">
      <c r="A492" s="37"/>
      <c r="B492" s="31" t="s">
        <v>32</v>
      </c>
      <c r="C492" s="59" t="s">
        <v>1092</v>
      </c>
      <c r="D492" s="57" t="s">
        <v>30</v>
      </c>
      <c r="E492" s="57">
        <v>45706</v>
      </c>
      <c r="F492" s="38" t="str">
        <f>IF(C492&lt;&gt;"",VLOOKUP($C492,Carpetas!$C$5:$L$2060,2,FALSE),"")</f>
        <v>ECE013</v>
      </c>
      <c r="G492" s="38" t="s">
        <v>43</v>
      </c>
      <c r="H492" s="44">
        <f>IF(C492&lt;&gt;"",VLOOKUP($C492,Carpetas!$C$5:$L$2060,9,FALSE),"")</f>
        <v>1517266</v>
      </c>
      <c r="I492" s="51" t="str">
        <f>IF(C492&lt;&gt;"",VLOOKUP($C492,Carpetas!$C$5:$L$2060,5,FALSE),"")</f>
        <v>Andino</v>
      </c>
      <c r="J492" s="51"/>
      <c r="K492" s="50">
        <v>45723</v>
      </c>
      <c r="L492" s="39" t="str">
        <f>VLOOKUP($C492,Carpetas!$C$5:$L$2060,4,FALSE)</f>
        <v>Fray Bentos</v>
      </c>
      <c r="M492" s="55">
        <f t="shared" si="36"/>
        <v>45724</v>
      </c>
      <c r="N492" s="53">
        <f t="shared" si="35"/>
        <v>18</v>
      </c>
      <c r="O492" s="51">
        <v>1080</v>
      </c>
      <c r="P492" s="51"/>
      <c r="Q492" s="51">
        <v>1080</v>
      </c>
      <c r="R492" s="51">
        <v>20</v>
      </c>
      <c r="S492" s="51">
        <v>21</v>
      </c>
      <c r="T492" s="65"/>
      <c r="U492" s="65"/>
      <c r="V492" s="65" t="s">
        <v>60</v>
      </c>
      <c r="W492" s="51" t="s">
        <v>1043</v>
      </c>
      <c r="X492" s="66" t="s">
        <v>1104</v>
      </c>
    </row>
    <row r="493" hidden="1" ht="27.75" customHeight="1" s="32" customFormat="1">
      <c r="A493" s="37"/>
      <c r="B493" s="31" t="s">
        <v>32</v>
      </c>
      <c r="C493" s="59" t="s">
        <v>1105</v>
      </c>
      <c r="D493" s="57" t="s">
        <v>30</v>
      </c>
      <c r="E493" s="57">
        <v>45695</v>
      </c>
      <c r="F493" s="38" t="str">
        <f>IF(C493&lt;&gt;"",VLOOKUP($C493,Carpetas!$C$5:$L$2060,2,FALSE),"")</f>
        <v>COB003</v>
      </c>
      <c r="G493" s="38" t="s">
        <v>267</v>
      </c>
      <c r="H493" s="44">
        <f>IF(C493&lt;&gt;"",VLOOKUP($C493,Carpetas!$C$5:$L$2060,9,FALSE),"")</f>
        <v>0</v>
      </c>
      <c r="I493" s="51" t="str">
        <f>IF(C493&lt;&gt;"",VLOOKUP($C493,Carpetas!$C$5:$L$2060,5,FALSE),"")</f>
        <v>Andino</v>
      </c>
      <c r="J493" s="51"/>
      <c r="K493" s="50">
        <v>45723</v>
      </c>
      <c r="L493" s="39" t="str">
        <f>VLOOKUP($C493,Carpetas!$C$5:$L$2060,4,FALSE)</f>
        <v>Fray Bentos</v>
      </c>
      <c r="M493" s="55">
        <f t="shared" si="36"/>
        <v>45724</v>
      </c>
      <c r="N493" s="53">
        <f t="shared" si="35"/>
        <v>29</v>
      </c>
      <c r="O493" s="51">
        <v>1080</v>
      </c>
      <c r="P493" s="51"/>
      <c r="Q493" s="51">
        <v>1080</v>
      </c>
      <c r="R493" s="51">
        <v>20</v>
      </c>
      <c r="S493" s="51">
        <v>19.5</v>
      </c>
      <c r="T493" s="65"/>
      <c r="U493" s="65"/>
      <c r="V493" s="65" t="s">
        <v>268</v>
      </c>
      <c r="W493" s="51" t="s">
        <v>97</v>
      </c>
      <c r="X493" s="66" t="s">
        <v>1106</v>
      </c>
    </row>
    <row r="494" hidden="1" ht="27.75" customHeight="1" s="32" customFormat="1">
      <c r="A494" s="37"/>
      <c r="B494" s="31" t="s">
        <v>32</v>
      </c>
      <c r="C494" s="59" t="s">
        <v>1107</v>
      </c>
      <c r="D494" s="57" t="s">
        <v>42</v>
      </c>
      <c r="E494" s="57">
        <v>45711</v>
      </c>
      <c r="F494" s="38" t="str">
        <f>IF(C494&lt;&gt;"",VLOOKUP($C494,Carpetas!$C$5:$L$2060,2,FALSE),"")</f>
        <v>ECA009</v>
      </c>
      <c r="G494" s="38" t="s">
        <v>43</v>
      </c>
      <c r="H494" s="44">
        <f>IF(C494&lt;&gt;"",VLOOKUP($C494,Carpetas!$C$5:$L$2060,9,FALSE),"")</f>
        <v>1517676</v>
      </c>
      <c r="I494" s="51" t="str">
        <f>IF(C494&lt;&gt;"",VLOOKUP($C494,Carpetas!$C$5:$L$2060,5,FALSE),"")</f>
        <v>Andino</v>
      </c>
      <c r="J494" s="51"/>
      <c r="K494" s="50">
        <v>45727</v>
      </c>
      <c r="L494" s="39" t="str">
        <f>VLOOKUP($C494,Carpetas!$C$5:$L$2060,4,FALSE)</f>
        <v>Fray Bentos</v>
      </c>
      <c r="M494" s="55">
        <f t="shared" si="36"/>
        <v>45728</v>
      </c>
      <c r="N494" s="53">
        <f t="shared" si="35"/>
        <v>17</v>
      </c>
      <c r="O494" s="51">
        <v>1680</v>
      </c>
      <c r="P494" s="51"/>
      <c r="Q494" s="51">
        <v>1680</v>
      </c>
      <c r="R494" s="51">
        <v>21</v>
      </c>
      <c r="S494" s="51">
        <v>12</v>
      </c>
      <c r="T494" s="65"/>
      <c r="U494" s="65"/>
      <c r="V494" s="65" t="s">
        <v>1108</v>
      </c>
      <c r="W494" s="51" t="s">
        <v>163</v>
      </c>
      <c r="X494" s="66" t="s">
        <v>1109</v>
      </c>
    </row>
    <row r="495" hidden="1" ht="27.75" customHeight="1" s="32" customFormat="1">
      <c r="A495" s="37"/>
      <c r="B495" s="31" t="s">
        <v>32</v>
      </c>
      <c r="C495" s="59" t="s">
        <v>1110</v>
      </c>
      <c r="D495" s="57" t="s">
        <v>30</v>
      </c>
      <c r="E495" s="57">
        <v>45711</v>
      </c>
      <c r="F495" s="38" t="str">
        <f>IF(C495&lt;&gt;"",VLOOKUP($C495,Carpetas!$C$5:$L$2060,2,FALSE),"")</f>
        <v>ECB007</v>
      </c>
      <c r="G495" s="38" t="s">
        <v>43</v>
      </c>
      <c r="H495" s="44">
        <f>IF(C495&lt;&gt;"",VLOOKUP($C495,Carpetas!$C$5:$L$2060,9,FALSE),"")</f>
        <v>1517677</v>
      </c>
      <c r="I495" s="51" t="str">
        <f>IF(C495&lt;&gt;"",VLOOKUP($C495,Carpetas!$C$5:$L$2060,5,FALSE),"")</f>
        <v>Andino</v>
      </c>
      <c r="J495" s="51"/>
      <c r="K495" s="50">
        <v>45727</v>
      </c>
      <c r="L495" s="39" t="str">
        <f>VLOOKUP($C495,Carpetas!$C$5:$L$2060,4,FALSE)</f>
        <v>Fray Bentos</v>
      </c>
      <c r="M495" s="55">
        <f t="shared" si="36"/>
        <v>45728</v>
      </c>
      <c r="N495" s="53">
        <f t="shared" si="35"/>
        <v>17</v>
      </c>
      <c r="O495" s="51">
        <v>1080</v>
      </c>
      <c r="P495" s="51"/>
      <c r="Q495" s="51">
        <v>1080</v>
      </c>
      <c r="R495" s="51">
        <v>20</v>
      </c>
      <c r="S495" s="51">
        <v>21</v>
      </c>
      <c r="T495" s="65"/>
      <c r="U495" s="65"/>
      <c r="V495" s="65" t="s">
        <v>55</v>
      </c>
      <c r="W495" s="51" t="s">
        <v>1111</v>
      </c>
      <c r="X495" s="66" t="s">
        <v>1112</v>
      </c>
    </row>
    <row r="496" hidden="1" ht="27.75" customHeight="1" s="32" customFormat="1">
      <c r="A496" s="37"/>
      <c r="B496" s="31" t="s">
        <v>32</v>
      </c>
      <c r="C496" s="59" t="s">
        <v>1110</v>
      </c>
      <c r="D496" s="57" t="s">
        <v>30</v>
      </c>
      <c r="E496" s="57">
        <v>45711</v>
      </c>
      <c r="F496" s="38" t="str">
        <f>IF(C496&lt;&gt;"",VLOOKUP($C496,Carpetas!$C$5:$L$2060,2,FALSE),"")</f>
        <v>ECB007</v>
      </c>
      <c r="G496" s="38" t="s">
        <v>43</v>
      </c>
      <c r="H496" s="44">
        <f>IF(C496&lt;&gt;"",VLOOKUP($C496,Carpetas!$C$5:$L$2060,9,FALSE),"")</f>
        <v>1517677</v>
      </c>
      <c r="I496" s="51" t="str">
        <f>IF(C496&lt;&gt;"",VLOOKUP($C496,Carpetas!$C$5:$L$2060,5,FALSE),"")</f>
        <v>Andino</v>
      </c>
      <c r="J496" s="51"/>
      <c r="K496" s="50">
        <v>45728</v>
      </c>
      <c r="L496" s="39" t="str">
        <f>VLOOKUP($C496,Carpetas!$C$5:$L$2060,4,FALSE)</f>
        <v>Fray Bentos</v>
      </c>
      <c r="M496" s="55">
        <f t="shared" si="36"/>
        <v>45729</v>
      </c>
      <c r="N496" s="53">
        <f t="shared" si="35"/>
        <v>18</v>
      </c>
      <c r="O496" s="51">
        <v>1080</v>
      </c>
      <c r="P496" s="51"/>
      <c r="Q496" s="51">
        <v>1080</v>
      </c>
      <c r="R496" s="51">
        <v>20</v>
      </c>
      <c r="S496" s="51">
        <v>21</v>
      </c>
      <c r="T496" s="65"/>
      <c r="U496" s="65"/>
      <c r="V496" s="65" t="s">
        <v>55</v>
      </c>
      <c r="W496" s="51" t="s">
        <v>112</v>
      </c>
      <c r="X496" s="66" t="s">
        <v>1113</v>
      </c>
    </row>
    <row r="497" hidden="1" ht="27.75" customHeight="1" s="32" customFormat="1">
      <c r="A497" s="37"/>
      <c r="B497" s="31" t="s">
        <v>32</v>
      </c>
      <c r="C497" s="59" t="s">
        <v>1114</v>
      </c>
      <c r="D497" s="57" t="s">
        <v>30</v>
      </c>
      <c r="E497" s="57">
        <v>45711</v>
      </c>
      <c r="F497" s="38" t="str">
        <f>IF(C497&lt;&gt;"",VLOOKUP($C497,Carpetas!$C$5:$L$2060,2,FALSE),"")</f>
        <v>ECE014</v>
      </c>
      <c r="G497" s="38" t="s">
        <v>43</v>
      </c>
      <c r="H497" s="44">
        <f>IF(C497&lt;&gt;"",VLOOKUP($C497,Carpetas!$C$5:$L$2060,9,FALSE),"")</f>
        <v>1517716</v>
      </c>
      <c r="I497" s="51" t="str">
        <f>IF(C497&lt;&gt;"",VLOOKUP($C497,Carpetas!$C$5:$L$2060,5,FALSE),"")</f>
        <v>Andino</v>
      </c>
      <c r="J497" s="51"/>
      <c r="K497" s="50">
        <v>45729</v>
      </c>
      <c r="L497" s="39" t="str">
        <f>VLOOKUP($C497,Carpetas!$C$5:$L$2060,4,FALSE)</f>
        <v>Fray Bentos</v>
      </c>
      <c r="M497" s="55">
        <f t="shared" si="36"/>
        <v>45730</v>
      </c>
      <c r="N497" s="53">
        <f t="shared" si="35"/>
        <v>19</v>
      </c>
      <c r="O497" s="51">
        <v>1080</v>
      </c>
      <c r="P497" s="51"/>
      <c r="Q497" s="51">
        <v>1080</v>
      </c>
      <c r="R497" s="51">
        <v>20</v>
      </c>
      <c r="S497" s="51">
        <v>21</v>
      </c>
      <c r="T497" s="65"/>
      <c r="U497" s="65"/>
      <c r="V497" s="65" t="s">
        <v>1115</v>
      </c>
      <c r="W497" s="51" t="s">
        <v>1116</v>
      </c>
      <c r="X497" s="66" t="s">
        <v>1117</v>
      </c>
    </row>
    <row r="498" hidden="1" ht="27.75" customHeight="1" s="32" customFormat="1">
      <c r="A498" s="37"/>
      <c r="B498" s="31" t="s">
        <v>32</v>
      </c>
      <c r="C498" s="59" t="s">
        <v>1118</v>
      </c>
      <c r="D498" s="57" t="s">
        <v>30</v>
      </c>
      <c r="E498" s="57">
        <v>45723</v>
      </c>
      <c r="F498" s="38" t="str">
        <f>IF(C498&lt;&gt;"",VLOOKUP($C498,Carpetas!$C$5:$L$2060,2,FALSE),"")</f>
        <v>BOB012</v>
      </c>
      <c r="G498" s="38" t="s">
        <v>31</v>
      </c>
      <c r="H498" s="44">
        <f>IF(C498&lt;&gt;"",VLOOKUP($C498,Carpetas!$C$5:$L$2060,9,FALSE),"")</f>
        <v>0</v>
      </c>
      <c r="I498" s="51" t="str">
        <f>IF(C498&lt;&gt;"",VLOOKUP($C498,Carpetas!$C$5:$L$2060,5,FALSE),"")</f>
        <v>Sur Central</v>
      </c>
      <c r="J498" s="51"/>
      <c r="K498" s="50">
        <v>45730</v>
      </c>
      <c r="L498" s="39" t="str">
        <f>VLOOKUP($C498,Carpetas!$C$5:$L$2060,4,FALSE)</f>
        <v>Salto</v>
      </c>
      <c r="M498" s="55">
        <f t="shared" si="36"/>
        <v>45731</v>
      </c>
      <c r="N498" s="53">
        <f t="shared" si="35"/>
        <v>8</v>
      </c>
      <c r="O498" s="51">
        <v>1104</v>
      </c>
      <c r="P498" s="51"/>
      <c r="Q498" s="51">
        <v>1100</v>
      </c>
      <c r="R498" s="51">
        <v>23</v>
      </c>
      <c r="S498" s="51">
        <v>21</v>
      </c>
      <c r="T498" s="65"/>
      <c r="U498" s="65"/>
      <c r="V498" s="65" t="s">
        <v>895</v>
      </c>
      <c r="W498" s="51" t="s">
        <v>892</v>
      </c>
      <c r="X498" s="66" t="s">
        <v>1119</v>
      </c>
    </row>
    <row r="499" hidden="1" ht="27.75" customHeight="1" s="32" customFormat="1">
      <c r="A499" s="37"/>
      <c r="B499" s="31" t="s">
        <v>32</v>
      </c>
      <c r="C499" s="59" t="s">
        <v>1120</v>
      </c>
      <c r="D499" s="57" t="s">
        <v>48</v>
      </c>
      <c r="E499" s="57">
        <v>45725</v>
      </c>
      <c r="F499" s="38" t="str">
        <f>IF(C499&lt;&gt;"",VLOOKUP($C499,Carpetas!$C$5:$L$2060,2,FALSE),"")</f>
        <v>CLP012</v>
      </c>
      <c r="G499" s="38" t="s">
        <v>35</v>
      </c>
      <c r="H499" s="44">
        <f>IF(C499&lt;&gt;"",VLOOKUP($C499,Carpetas!$C$5:$L$2060,9,FALSE),"")</f>
        <v>0</v>
      </c>
      <c r="I499" s="51" t="str">
        <f>IF(C499&lt;&gt;"",VLOOKUP($C499,Carpetas!$C$5:$L$2060,5,FALSE),"")</f>
        <v>Nihuil</v>
      </c>
      <c r="J499" s="51"/>
      <c r="K499" s="50">
        <f>E499+5</f>
        <v>45730</v>
      </c>
      <c r="L499" s="39" t="str">
        <f>VLOOKUP($C499,Carpetas!$C$5:$L$2060,4,FALSE)</f>
        <v>Fray Bentos</v>
      </c>
      <c r="M499" s="55">
        <f t="shared" si="36"/>
        <v>45731</v>
      </c>
      <c r="N499" s="53">
        <f t="shared" si="35"/>
        <v>6</v>
      </c>
      <c r="O499" s="51">
        <v>2112</v>
      </c>
      <c r="P499" s="51"/>
      <c r="Q499" s="51">
        <v>2112</v>
      </c>
      <c r="R499" s="51">
        <v>24</v>
      </c>
      <c r="S499" s="51">
        <v>11</v>
      </c>
      <c r="T499" s="65"/>
      <c r="U499" s="65"/>
      <c r="V499" s="65" t="s">
        <v>93</v>
      </c>
      <c r="W499" s="51" t="s">
        <v>251</v>
      </c>
      <c r="X499" s="66" t="s">
        <v>1121</v>
      </c>
    </row>
    <row r="500" hidden="1" ht="27.75" customHeight="1" s="32" customFormat="1">
      <c r="A500" s="37"/>
      <c r="B500" s="31" t="s">
        <v>32</v>
      </c>
      <c r="C500" s="59" t="s">
        <v>1114</v>
      </c>
      <c r="D500" s="57" t="s">
        <v>30</v>
      </c>
      <c r="E500" s="57">
        <v>45711</v>
      </c>
      <c r="F500" s="38" t="str">
        <f>IF(C500&lt;&gt;"",VLOOKUP($C500,Carpetas!$C$5:$L$2060,2,FALSE),"")</f>
        <v>ECE014</v>
      </c>
      <c r="G500" s="38" t="s">
        <v>43</v>
      </c>
      <c r="H500" s="44">
        <f>IF(C500&lt;&gt;"",VLOOKUP($C500,Carpetas!$C$5:$L$2060,9,FALSE),"")</f>
        <v>1517716</v>
      </c>
      <c r="I500" s="51" t="str">
        <f>IF(C500&lt;&gt;"",VLOOKUP($C500,Carpetas!$C$5:$L$2060,5,FALSE),"")</f>
        <v>Andino</v>
      </c>
      <c r="J500" s="51"/>
      <c r="K500" s="50">
        <v>45730</v>
      </c>
      <c r="L500" s="39" t="str">
        <f>VLOOKUP($C500,Carpetas!$C$5:$L$2060,4,FALSE)</f>
        <v>Fray Bentos</v>
      </c>
      <c r="M500" s="55">
        <f t="shared" si="36"/>
        <v>45731</v>
      </c>
      <c r="N500" s="53">
        <f t="shared" si="35"/>
        <v>20</v>
      </c>
      <c r="O500" s="51">
        <v>3240</v>
      </c>
      <c r="P500" s="51"/>
      <c r="Q500" s="51">
        <v>2160</v>
      </c>
      <c r="R500" s="51">
        <v>40</v>
      </c>
      <c r="S500" s="51">
        <v>21.5</v>
      </c>
      <c r="T500" s="65"/>
      <c r="U500" s="65"/>
      <c r="V500" s="65" t="s">
        <v>60</v>
      </c>
      <c r="W500" s="51" t="s">
        <v>1122</v>
      </c>
      <c r="X500" s="66" t="s">
        <v>1123</v>
      </c>
    </row>
    <row r="501" hidden="1" ht="27.75" customHeight="1" s="32" customFormat="1">
      <c r="A501" s="37"/>
      <c r="B501" s="31" t="s">
        <v>32</v>
      </c>
      <c r="C501" s="59" t="s">
        <v>1124</v>
      </c>
      <c r="D501" s="57" t="s">
        <v>48</v>
      </c>
      <c r="E501" s="57">
        <v>45730</v>
      </c>
      <c r="F501" s="38" t="str">
        <f>IF(C501&lt;&gt;"",VLOOKUP($C501,Carpetas!$C$5:$L$2060,2,FALSE),"")</f>
        <v>CLP013</v>
      </c>
      <c r="G501" s="38" t="s">
        <v>35</v>
      </c>
      <c r="H501" s="44">
        <f>IF(C501&lt;&gt;"",VLOOKUP($C501,Carpetas!$C$5:$L$2060,9,FALSE),"")</f>
        <v>0</v>
      </c>
      <c r="I501" s="51" t="str">
        <f>IF(C501&lt;&gt;"",VLOOKUP($C501,Carpetas!$C$5:$L$2060,5,FALSE),"")</f>
        <v>RCT</v>
      </c>
      <c r="J501" s="51"/>
      <c r="K501" s="50">
        <v>45733</v>
      </c>
      <c r="L501" s="39" t="str">
        <f>VLOOKUP($C501,Carpetas!$C$5:$L$2060,4,FALSE)</f>
        <v>Fray Bentos</v>
      </c>
      <c r="M501" s="55">
        <f t="shared" si="36"/>
        <v>45734</v>
      </c>
      <c r="N501" s="53">
        <f t="shared" si="35"/>
        <v>4</v>
      </c>
      <c r="O501" s="51">
        <v>1936</v>
      </c>
      <c r="P501" s="51"/>
      <c r="Q501" s="51">
        <v>1936</v>
      </c>
      <c r="R501" s="51">
        <v>22</v>
      </c>
      <c r="S501" s="51">
        <v>11</v>
      </c>
      <c r="T501" s="65"/>
      <c r="U501" s="65"/>
      <c r="V501" s="65" t="s">
        <v>1125</v>
      </c>
      <c r="W501" s="51" t="s">
        <v>1126</v>
      </c>
      <c r="X501" s="66" t="s">
        <v>1127</v>
      </c>
    </row>
    <row r="502" hidden="1" ht="15.75" customHeight="1" s="32" customFormat="1">
      <c r="A502" s="37"/>
      <c r="B502" s="31" t="s">
        <v>32</v>
      </c>
      <c r="C502" s="59" t="s">
        <v>1128</v>
      </c>
      <c r="D502" s="121" t="s">
        <v>30</v>
      </c>
      <c r="E502" s="57">
        <v>45718</v>
      </c>
      <c r="F502" s="38" t="str">
        <f>IF(C502&lt;&gt;"",VLOOKUP($C502,Carpetas!$C$5:$L$2060,2,FALSE),"")</f>
        <v>ECE016</v>
      </c>
      <c r="G502" s="38" t="s">
        <v>43</v>
      </c>
      <c r="H502" s="44">
        <f>IF(C502&lt;&gt;"",VLOOKUP($C502,Carpetas!$C$5:$L$2060,9,FALSE),"")</f>
        <v>1518524</v>
      </c>
      <c r="I502" s="51" t="str">
        <f>IF(C502&lt;&gt;"",VLOOKUP($C502,Carpetas!$C$5:$L$2060,5,FALSE),"")</f>
        <v>Andino</v>
      </c>
      <c r="J502" s="51"/>
      <c r="K502" s="50">
        <v>45736</v>
      </c>
      <c r="L502" s="39" t="str">
        <f>VLOOKUP($C502,Carpetas!$C$5:$L$2060,4,FALSE)</f>
        <v>Fray Bentos</v>
      </c>
      <c r="M502" s="55">
        <f t="shared" si="36"/>
        <v>45737</v>
      </c>
      <c r="N502" s="53">
        <f t="shared" si="35"/>
        <v>19</v>
      </c>
      <c r="O502" s="51">
        <v>1128</v>
      </c>
      <c r="P502" s="51"/>
      <c r="Q502" s="51">
        <v>1128</v>
      </c>
      <c r="R502" s="51">
        <v>20</v>
      </c>
      <c r="S502" s="51">
        <v>21</v>
      </c>
      <c r="T502" s="65"/>
      <c r="U502" s="65"/>
      <c r="V502" s="65" t="s">
        <v>1129</v>
      </c>
      <c r="W502" s="51" t="s">
        <v>157</v>
      </c>
      <c r="X502" s="66" t="s">
        <v>1130</v>
      </c>
    </row>
    <row r="503" hidden="1" ht="27.75" customHeight="1" s="32" customFormat="1">
      <c r="A503" s="37"/>
      <c r="B503" s="31" t="s">
        <v>32</v>
      </c>
      <c r="C503" s="59" t="s">
        <v>1131</v>
      </c>
      <c r="D503" s="121" t="s">
        <v>30</v>
      </c>
      <c r="E503" s="57">
        <v>45718</v>
      </c>
      <c r="F503" s="38" t="str">
        <f>IF(C503&lt;&gt;"",VLOOKUP($C503,Carpetas!$C$5:$L$2060,2,FALSE),"")</f>
        <v>ECB008</v>
      </c>
      <c r="G503" s="38" t="s">
        <v>43</v>
      </c>
      <c r="H503" s="44">
        <f>IF(C503&lt;&gt;"",VLOOKUP($C503,Carpetas!$C$5:$L$2060,9,FALSE),"")</f>
        <v>1518504</v>
      </c>
      <c r="I503" s="51" t="str">
        <f>IF(C503&lt;&gt;"",VLOOKUP($C503,Carpetas!$C$5:$L$2060,5,FALSE),"")</f>
        <v>Andino</v>
      </c>
      <c r="J503" s="51"/>
      <c r="K503" s="50">
        <v>45736</v>
      </c>
      <c r="L503" s="39" t="str">
        <f>VLOOKUP($C503,Carpetas!$C$5:$L$2060,4,FALSE)</f>
        <v>Fray Bentos</v>
      </c>
      <c r="M503" s="55">
        <f t="shared" si="36"/>
        <v>45737</v>
      </c>
      <c r="N503" s="53">
        <f t="shared" si="35"/>
        <v>19</v>
      </c>
      <c r="O503" s="51">
        <v>2160</v>
      </c>
      <c r="P503" s="51"/>
      <c r="Q503" s="51">
        <v>2160</v>
      </c>
      <c r="R503" s="51">
        <v>40</v>
      </c>
      <c r="S503" s="51">
        <v>21</v>
      </c>
      <c r="T503" s="65"/>
      <c r="U503" s="65"/>
      <c r="V503" s="65" t="s">
        <v>55</v>
      </c>
      <c r="W503" s="51" t="s">
        <v>1132</v>
      </c>
      <c r="X503" s="66" t="s">
        <v>1133</v>
      </c>
    </row>
    <row r="504" hidden="1" ht="27.75" customHeight="1" s="32" customFormat="1">
      <c r="A504" s="37"/>
      <c r="B504" s="31" t="s">
        <v>32</v>
      </c>
      <c r="C504" s="59" t="s">
        <v>1134</v>
      </c>
      <c r="D504" s="121" t="s">
        <v>30</v>
      </c>
      <c r="E504" s="57">
        <v>45718</v>
      </c>
      <c r="F504" s="38" t="str">
        <f>IF(C504&lt;&gt;"",VLOOKUP($C504,Carpetas!$C$5:$L$2060,2,FALSE),"")</f>
        <v>ECB009</v>
      </c>
      <c r="G504" s="38" t="s">
        <v>43</v>
      </c>
      <c r="H504" s="44">
        <f>IF(C504&lt;&gt;"",VLOOKUP($C504,Carpetas!$C$5:$L$2060,9,FALSE),"")</f>
        <v>1518507</v>
      </c>
      <c r="I504" s="51" t="str">
        <f>IF(C504&lt;&gt;"",VLOOKUP($C504,Carpetas!$C$5:$L$2060,5,FALSE),"")</f>
        <v>Andino</v>
      </c>
      <c r="J504" s="51"/>
      <c r="K504" s="50">
        <v>45736</v>
      </c>
      <c r="L504" s="39" t="str">
        <f>VLOOKUP($C504,Carpetas!$C$5:$L$2060,4,FALSE)</f>
        <v>Fray Bentos</v>
      </c>
      <c r="M504" s="55">
        <f t="shared" si="36"/>
        <v>45737</v>
      </c>
      <c r="N504" s="53">
        <f t="shared" si="35"/>
        <v>19</v>
      </c>
      <c r="O504" s="51">
        <v>2160</v>
      </c>
      <c r="P504" s="51"/>
      <c r="Q504" s="51">
        <v>2160</v>
      </c>
      <c r="R504" s="51">
        <v>40</v>
      </c>
      <c r="S504" s="51">
        <v>21</v>
      </c>
      <c r="T504" s="65"/>
      <c r="U504" s="65"/>
      <c r="V504" s="65" t="s">
        <v>55</v>
      </c>
      <c r="W504" s="51" t="s">
        <v>1135</v>
      </c>
      <c r="X504" s="66" t="s">
        <v>1136</v>
      </c>
    </row>
    <row r="505" hidden="1" ht="27.75" customHeight="1" s="32" customFormat="1">
      <c r="A505" s="37"/>
      <c r="B505" s="31" t="s">
        <v>32</v>
      </c>
      <c r="C505" s="59" t="s">
        <v>1137</v>
      </c>
      <c r="D505" s="121" t="s">
        <v>30</v>
      </c>
      <c r="E505" s="57">
        <v>45718</v>
      </c>
      <c r="F505" s="38" t="str">
        <f>IF(C505&lt;&gt;"",VLOOKUP($C505,Carpetas!$C$5:$L$2060,2,FALSE),"")</f>
        <v>ECE015</v>
      </c>
      <c r="G505" s="38" t="s">
        <v>43</v>
      </c>
      <c r="H505" s="44">
        <f>IF(C505&lt;&gt;"",VLOOKUP($C505,Carpetas!$C$5:$L$2060,9,FALSE),"")</f>
        <v>1518523</v>
      </c>
      <c r="I505" s="51" t="str">
        <f>IF(C505&lt;&gt;"",VLOOKUP($C505,Carpetas!$C$5:$L$2060,5,FALSE),"")</f>
        <v>Andino</v>
      </c>
      <c r="J505" s="51"/>
      <c r="K505" s="50">
        <v>45736</v>
      </c>
      <c r="L505" s="39" t="str">
        <f>VLOOKUP($C505,Carpetas!$C$5:$L$2060,4,FALSE)</f>
        <v>Fray Bentos</v>
      </c>
      <c r="M505" s="55">
        <f t="shared" si="36"/>
        <v>45737</v>
      </c>
      <c r="N505" s="53">
        <f t="shared" si="35"/>
        <v>19</v>
      </c>
      <c r="O505" s="51">
        <v>3240</v>
      </c>
      <c r="P505" s="51"/>
      <c r="Q505" s="51">
        <v>2160</v>
      </c>
      <c r="R505" s="51">
        <v>20</v>
      </c>
      <c r="S505" s="51">
        <v>21</v>
      </c>
      <c r="T505" s="65"/>
      <c r="U505" s="65"/>
      <c r="V505" s="65" t="s">
        <v>60</v>
      </c>
      <c r="W505" s="51" t="s">
        <v>1138</v>
      </c>
      <c r="X505" s="66" t="s">
        <v>1139</v>
      </c>
    </row>
    <row r="506" hidden="1" ht="27.75" customHeight="1" s="32" customFormat="1">
      <c r="A506" s="37"/>
      <c r="B506" s="31" t="s">
        <v>32</v>
      </c>
      <c r="C506" s="59" t="s">
        <v>1140</v>
      </c>
      <c r="D506" s="57" t="s">
        <v>34</v>
      </c>
      <c r="E506" s="57">
        <v>45724</v>
      </c>
      <c r="F506" s="38" t="str">
        <f>IF(C506&lt;&gt;"",VLOOKUP($C506,Carpetas!$C$5:$L$2060,2,FALSE),"")</f>
        <v>PEA001</v>
      </c>
      <c r="G506" s="38" t="s">
        <v>216</v>
      </c>
      <c r="H506" s="44" t="str">
        <f>IF(C506&lt;&gt;"",VLOOKUP($C506,Carpetas!$C$5:$L$2060,9,FALSE),"")</f>
        <v>151,87,91</v>
      </c>
      <c r="I506" s="51" t="str">
        <f>IF(C506&lt;&gt;"",VLOOKUP($C506,Carpetas!$C$5:$L$2060,5,FALSE),"")</f>
        <v>Andino</v>
      </c>
      <c r="J506" s="51"/>
      <c r="K506" s="50">
        <v>45737</v>
      </c>
      <c r="L506" s="39" t="str">
        <f>VLOOKUP($C506,Carpetas!$C$5:$L$2060,4,FALSE)</f>
        <v>Fray Bentos</v>
      </c>
      <c r="M506" s="55">
        <f t="shared" si="36"/>
        <v>45738</v>
      </c>
      <c r="N506" s="53">
        <f t="shared" si="35"/>
        <v>14</v>
      </c>
      <c r="O506" s="51">
        <v>2548</v>
      </c>
      <c r="P506" s="51"/>
      <c r="Q506" s="51">
        <v>2548</v>
      </c>
      <c r="R506" s="51"/>
      <c r="S506" s="51"/>
      <c r="T506" s="65"/>
      <c r="U506" s="65"/>
      <c r="V506" s="65" t="s">
        <v>93</v>
      </c>
      <c r="W506" s="51" t="s">
        <v>233</v>
      </c>
      <c r="X506" s="66" t="s">
        <v>1141</v>
      </c>
    </row>
    <row r="507" hidden="1" ht="27.75" customHeight="1" s="32" customFormat="1">
      <c r="A507" s="37"/>
      <c r="B507" s="31" t="s">
        <v>32</v>
      </c>
      <c r="C507" s="59" t="s">
        <v>1142</v>
      </c>
      <c r="D507" s="121" t="s">
        <v>37</v>
      </c>
      <c r="E507" s="57">
        <v>45736</v>
      </c>
      <c r="F507" s="38" t="str">
        <f>IF(C507&lt;&gt;"",VLOOKUP($C507,Carpetas!$C$5:$L$2060,2,FALSE),"")</f>
        <v>CLK001</v>
      </c>
      <c r="G507" s="38" t="s">
        <v>35</v>
      </c>
      <c r="H507" s="44">
        <f>IF(C507&lt;&gt;"",VLOOKUP($C507,Carpetas!$C$5:$L$2060,9,FALSE),"")</f>
        <v>0</v>
      </c>
      <c r="I507" s="51" t="str">
        <f>IF(C507&lt;&gt;"",VLOOKUP($C507,Carpetas!$C$5:$L$2060,5,FALSE),"")</f>
        <v>RCT</v>
      </c>
      <c r="J507" s="51"/>
      <c r="K507" s="50">
        <v>45742</v>
      </c>
      <c r="L507" s="39" t="str">
        <f>VLOOKUP($C507,Carpetas!$C$5:$L$2060,4,FALSE)</f>
        <v>Fray Bentos</v>
      </c>
      <c r="M507" s="55">
        <f t="shared" si="36"/>
        <v>45743</v>
      </c>
      <c r="N507" s="53">
        <f t="shared" si="35"/>
        <v>7</v>
      </c>
      <c r="O507" s="51">
        <v>2288</v>
      </c>
      <c r="P507" s="51"/>
      <c r="Q507" s="51">
        <v>2288</v>
      </c>
      <c r="R507" s="51">
        <v>22</v>
      </c>
      <c r="S507" s="51">
        <v>10.3</v>
      </c>
      <c r="T507" s="65"/>
      <c r="U507" s="65"/>
      <c r="V507" s="65" t="s">
        <v>93</v>
      </c>
      <c r="W507" s="51" t="s">
        <v>1143</v>
      </c>
      <c r="X507" s="66" t="s">
        <v>1144</v>
      </c>
    </row>
    <row r="508" hidden="1" ht="27.75" customHeight="1" s="32" customFormat="1">
      <c r="A508" s="37"/>
      <c r="B508" s="31" t="s">
        <v>32</v>
      </c>
      <c r="C508" s="59" t="s">
        <v>1145</v>
      </c>
      <c r="D508" s="121" t="s">
        <v>30</v>
      </c>
      <c r="E508" s="57">
        <v>45725</v>
      </c>
      <c r="F508" s="38" t="str">
        <f>IF(C508&lt;&gt;"",VLOOKUP($C508,Carpetas!$C$5:$L$2060,2,FALSE),"")</f>
        <v>ECE017</v>
      </c>
      <c r="G508" s="38" t="s">
        <v>43</v>
      </c>
      <c r="H508" s="44">
        <f>IF(C508&lt;&gt;"",VLOOKUP($C508,Carpetas!$C$5:$L$2060,9,FALSE),"")</f>
        <v>1518925</v>
      </c>
      <c r="I508" s="51" t="str">
        <f>IF(C508&lt;&gt;"",VLOOKUP($C508,Carpetas!$C$5:$L$2060,5,FALSE),"")</f>
        <v>Andino</v>
      </c>
      <c r="J508" s="51"/>
      <c r="K508" s="50">
        <v>45743</v>
      </c>
      <c r="L508" s="39" t="str">
        <f>VLOOKUP($C508,Carpetas!$C$5:$L$2060,4,FALSE)</f>
        <v>Fray Bentos</v>
      </c>
      <c r="M508" s="55">
        <f t="shared" si="36"/>
        <v>45744</v>
      </c>
      <c r="N508" s="53">
        <f t="shared" si="35"/>
        <v>19</v>
      </c>
      <c r="O508" s="51">
        <v>4320</v>
      </c>
      <c r="P508" s="51"/>
      <c r="Q508" s="51">
        <v>2160</v>
      </c>
      <c r="R508" s="51">
        <v>80</v>
      </c>
      <c r="S508" s="51">
        <v>21</v>
      </c>
      <c r="T508" s="65"/>
      <c r="U508" s="65"/>
      <c r="V508" s="65" t="s">
        <v>60</v>
      </c>
      <c r="W508" s="51" t="s">
        <v>1146</v>
      </c>
      <c r="X508" s="66" t="s">
        <v>1147</v>
      </c>
    </row>
    <row r="509" hidden="1" ht="27.75" customHeight="1" s="32" customFormat="1">
      <c r="A509" s="37"/>
      <c r="B509" s="31" t="s">
        <v>32</v>
      </c>
      <c r="C509" s="59" t="s">
        <v>1148</v>
      </c>
      <c r="D509" s="121" t="s">
        <v>30</v>
      </c>
      <c r="E509" s="57">
        <v>45725</v>
      </c>
      <c r="F509" s="38" t="str">
        <f>IF(C509&lt;&gt;"",VLOOKUP($C509,Carpetas!$C$5:$L$2060,2,FALSE),"")</f>
        <v>ECB010</v>
      </c>
      <c r="G509" s="38" t="s">
        <v>43</v>
      </c>
      <c r="H509" s="44">
        <f>IF(C509&lt;&gt;"",VLOOKUP($C509,Carpetas!$C$5:$L$2060,9,FALSE),"")</f>
        <v>1518925</v>
      </c>
      <c r="I509" s="51" t="str">
        <f>IF(C509&lt;&gt;"",VLOOKUP($C509,Carpetas!$C$5:$L$2060,5,FALSE),"")</f>
        <v>Andino</v>
      </c>
      <c r="J509" s="51"/>
      <c r="K509" s="50">
        <v>45743</v>
      </c>
      <c r="L509" s="39" t="str">
        <f>VLOOKUP($C509,Carpetas!$C$5:$L$2060,4,FALSE)</f>
        <v>Fray Bentos</v>
      </c>
      <c r="M509" s="55">
        <f t="shared" si="36"/>
        <v>45744</v>
      </c>
      <c r="N509" s="53">
        <f t="shared" si="35"/>
        <v>19</v>
      </c>
      <c r="O509" s="51">
        <v>2160</v>
      </c>
      <c r="P509" s="51"/>
      <c r="Q509" s="51">
        <v>2160</v>
      </c>
      <c r="R509" s="51">
        <v>20</v>
      </c>
      <c r="S509" s="51">
        <v>21</v>
      </c>
      <c r="T509" s="65"/>
      <c r="U509" s="65"/>
      <c r="V509" s="65" t="s">
        <v>55</v>
      </c>
      <c r="W509" s="51" t="s">
        <v>1149</v>
      </c>
      <c r="X509" s="66" t="s">
        <v>1150</v>
      </c>
    </row>
    <row r="510" hidden="1" ht="27.75" customHeight="1" s="32" customFormat="1">
      <c r="A510" s="37"/>
      <c r="B510" s="31" t="s">
        <v>32</v>
      </c>
      <c r="C510" s="59" t="s">
        <v>1151</v>
      </c>
      <c r="D510" s="121" t="s">
        <v>1152</v>
      </c>
      <c r="E510" s="57">
        <v>45743</v>
      </c>
      <c r="F510" s="38" t="str">
        <f>IF(C510&lt;&gt;"",VLOOKUP($C510,Carpetas!$C$5:$L$2060,2,FALSE),"")</f>
        <v>ARC001</v>
      </c>
      <c r="G510" s="38" t="s">
        <v>216</v>
      </c>
      <c r="H510" s="44">
        <f>IF(C510&lt;&gt;"",VLOOKUP($C510,Carpetas!$C$5:$L$2060,9,FALSE),"")</f>
        <v>0</v>
      </c>
      <c r="I510" s="51" t="str">
        <f>IF(C510&lt;&gt;"",VLOOKUP($C510,Carpetas!$C$5:$L$2060,5,FALSE),"")</f>
        <v>Teske</v>
      </c>
      <c r="J510" s="51"/>
      <c r="K510" s="50">
        <v>45744</v>
      </c>
      <c r="L510" s="39" t="str">
        <f>VLOOKUP($C510,Carpetas!$C$5:$L$2060,4,FALSE)</f>
        <v>Fray Bentos</v>
      </c>
      <c r="M510" s="55">
        <f t="shared" si="36"/>
        <v>45745</v>
      </c>
      <c r="N510" s="53">
        <f t="shared" si="35"/>
        <v>2</v>
      </c>
      <c r="O510" s="51">
        <v>1320</v>
      </c>
      <c r="P510" s="51"/>
      <c r="Q510" s="51">
        <v>1321</v>
      </c>
      <c r="R510" s="51">
        <v>24</v>
      </c>
      <c r="S510" s="51">
        <v>20</v>
      </c>
      <c r="T510" s="65"/>
      <c r="U510" s="65"/>
      <c r="V510" s="65" t="s">
        <v>1153</v>
      </c>
      <c r="W510" s="51" t="s">
        <v>1154</v>
      </c>
      <c r="X510" s="66" t="s">
        <v>1155</v>
      </c>
    </row>
    <row r="511" hidden="1" ht="27.75" customHeight="1" s="32" customFormat="1">
      <c r="A511" s="37"/>
      <c r="B511" s="31" t="s">
        <v>32</v>
      </c>
      <c r="C511" s="59" t="s">
        <v>1156</v>
      </c>
      <c r="D511" s="121" t="s">
        <v>30</v>
      </c>
      <c r="E511" s="57">
        <v>45711</v>
      </c>
      <c r="F511" s="38" t="str">
        <f>IF(C511&lt;&gt;"",VLOOKUP($C511,Carpetas!$C$5:$L$2060,2,FALSE),"")</f>
        <v>COB004</v>
      </c>
      <c r="G511" s="38" t="s">
        <v>267</v>
      </c>
      <c r="H511" s="44">
        <f>IF(C511&lt;&gt;"",VLOOKUP($C511,Carpetas!$C$5:$L$2060,9,FALSE),"")</f>
        <v>1517200</v>
      </c>
      <c r="I511" s="51" t="str">
        <f>IF(C511&lt;&gt;"",VLOOKUP($C511,Carpetas!$C$5:$L$2060,5,FALSE),"")</f>
        <v>Andino</v>
      </c>
      <c r="J511" s="51"/>
      <c r="K511" s="50">
        <v>45745</v>
      </c>
      <c r="L511" s="39" t="str">
        <f>VLOOKUP($C511,Carpetas!$C$5:$L$2060,4,FALSE)</f>
        <v>Fray Bentos</v>
      </c>
      <c r="M511" s="55">
        <f t="shared" si="36"/>
        <v>45746</v>
      </c>
      <c r="N511" s="53">
        <f ref="N511:N528" t="shared" si="37">IF(M511&lt;&gt;"",M511-E511,"-")</f>
        <v>35</v>
      </c>
      <c r="O511" s="51">
        <v>1080</v>
      </c>
      <c r="P511" s="51"/>
      <c r="Q511" s="51">
        <v>1080</v>
      </c>
      <c r="R511" s="51">
        <v>20</v>
      </c>
      <c r="S511" s="51">
        <v>20</v>
      </c>
      <c r="T511" s="65"/>
      <c r="U511" s="65"/>
      <c r="V511" s="65" t="s">
        <v>690</v>
      </c>
      <c r="W511" s="51" t="s">
        <v>1157</v>
      </c>
      <c r="X511" s="66" t="s">
        <v>1158</v>
      </c>
    </row>
    <row r="512" hidden="1" ht="27.75" customHeight="1" s="32" customFormat="1">
      <c r="A512" s="37"/>
      <c r="B512" s="31" t="s">
        <v>32</v>
      </c>
      <c r="C512" s="59" t="s">
        <v>1159</v>
      </c>
      <c r="D512" s="121" t="s">
        <v>48</v>
      </c>
      <c r="E512" s="57">
        <v>45736</v>
      </c>
      <c r="F512" s="38" t="str">
        <f>IF(C512&lt;&gt;"",VLOOKUP($C512,Carpetas!$C$5:$L$2060,2,FALSE),"")</f>
        <v>PEP001</v>
      </c>
      <c r="G512" s="38" t="s">
        <v>216</v>
      </c>
      <c r="H512" s="44">
        <f>IF(C512&lt;&gt;"",VLOOKUP($C512,Carpetas!$C$5:$L$2060,9,FALSE),"")</f>
        <v>1519150</v>
      </c>
      <c r="I512" s="51" t="str">
        <f>IF(C512&lt;&gt;"",VLOOKUP($C512,Carpetas!$C$5:$L$2060,5,FALSE),"")</f>
        <v>Andino</v>
      </c>
      <c r="J512" s="51"/>
      <c r="K512" s="50">
        <v>45748</v>
      </c>
      <c r="L512" s="39" t="str">
        <f>VLOOKUP($C512,Carpetas!$C$5:$L$2060,4,FALSE)</f>
        <v>Fray Bentos</v>
      </c>
      <c r="M512" s="55">
        <f t="shared" si="36"/>
        <v>45749</v>
      </c>
      <c r="N512" s="53">
        <f t="shared" si="37"/>
        <v>13</v>
      </c>
      <c r="O512" s="51">
        <v>1920</v>
      </c>
      <c r="P512" s="51"/>
      <c r="Q512" s="51"/>
      <c r="R512" s="51"/>
      <c r="S512" s="51"/>
      <c r="T512" s="65"/>
      <c r="U512" s="65"/>
      <c r="V512" s="65"/>
      <c r="W512" s="51"/>
      <c r="X512" s="66"/>
    </row>
    <row r="513" hidden="1" ht="27.75" customHeight="1" s="32" customFormat="1">
      <c r="A513" s="37"/>
      <c r="B513" s="31" t="s">
        <v>32</v>
      </c>
      <c r="C513" s="59" t="s">
        <v>1160</v>
      </c>
      <c r="D513" s="121" t="s">
        <v>1161</v>
      </c>
      <c r="E513" s="57">
        <v>45734</v>
      </c>
      <c r="F513" s="38" t="str">
        <f>IF(C513&lt;&gt;"",VLOOKUP($C513,Carpetas!$C$5:$L$2060,2,FALSE),"")</f>
        <v>ECA010</v>
      </c>
      <c r="G513" s="38" t="s">
        <v>43</v>
      </c>
      <c r="H513" s="44">
        <f>IF(C513&lt;&gt;"",VLOOKUP($C513,Carpetas!$C$5:$L$2060,9,FALSE),"")</f>
        <v>1519474</v>
      </c>
      <c r="I513" s="51" t="str">
        <f>IF(C513&lt;&gt;"",VLOOKUP($C513,Carpetas!$C$5:$L$2060,5,FALSE),"")</f>
        <v>Andino</v>
      </c>
      <c r="J513" s="51"/>
      <c r="K513" s="50">
        <v>45749</v>
      </c>
      <c r="L513" s="39" t="str">
        <f>VLOOKUP($C513,Carpetas!$C$5:$L$2060,4,FALSE)</f>
        <v>Fray Bentos</v>
      </c>
      <c r="M513" s="55">
        <f t="shared" si="36"/>
        <v>45750</v>
      </c>
      <c r="N513" s="53">
        <f t="shared" si="37"/>
        <v>16</v>
      </c>
      <c r="O513" s="51">
        <v>1680</v>
      </c>
      <c r="P513" s="51"/>
      <c r="Q513" s="51">
        <v>1680</v>
      </c>
      <c r="R513" s="51">
        <v>21</v>
      </c>
      <c r="S513" s="51">
        <v>13</v>
      </c>
      <c r="T513" s="65"/>
      <c r="U513" s="65"/>
      <c r="V513" s="65"/>
      <c r="W513" s="51" t="s">
        <v>97</v>
      </c>
      <c r="X513" s="66" t="s">
        <v>1162</v>
      </c>
    </row>
    <row r="514" hidden="1" ht="27.75" customHeight="1" s="32" customFormat="1">
      <c r="A514" s="37"/>
      <c r="B514" s="31" t="s">
        <v>32</v>
      </c>
      <c r="C514" s="59" t="s">
        <v>1163</v>
      </c>
      <c r="D514" s="121" t="s">
        <v>30</v>
      </c>
      <c r="E514" s="57">
        <v>45734</v>
      </c>
      <c r="F514" s="38" t="str">
        <f>IF(C514&lt;&gt;"",VLOOKUP($C514,Carpetas!$C$5:$L$2060,2,FALSE),"")</f>
        <v>ECB013</v>
      </c>
      <c r="G514" s="38" t="s">
        <v>43</v>
      </c>
      <c r="H514" s="44">
        <f>IF(C514&lt;&gt;"",VLOOKUP($C514,Carpetas!$C$5:$L$2060,9,FALSE),"")</f>
        <v>1519472</v>
      </c>
      <c r="I514" s="51" t="str">
        <f>IF(C514&lt;&gt;"",VLOOKUP($C514,Carpetas!$C$5:$L$2060,5,FALSE),"")</f>
        <v>Andino</v>
      </c>
      <c r="J514" s="51"/>
      <c r="K514" s="50">
        <v>45749</v>
      </c>
      <c r="L514" s="39" t="str">
        <f>VLOOKUP($C514,Carpetas!$C$5:$L$2060,4,FALSE)</f>
        <v>Fray Bentos</v>
      </c>
      <c r="M514" s="55">
        <f t="shared" si="36"/>
        <v>45750</v>
      </c>
      <c r="N514" s="53">
        <f t="shared" si="37"/>
        <v>16</v>
      </c>
      <c r="O514" s="51">
        <v>2160</v>
      </c>
      <c r="P514" s="51"/>
      <c r="Q514" s="51">
        <v>2160</v>
      </c>
      <c r="R514" s="51">
        <v>40</v>
      </c>
      <c r="S514" s="51">
        <v>21</v>
      </c>
      <c r="T514" s="65"/>
      <c r="U514" s="65"/>
      <c r="V514" s="65" t="s">
        <v>55</v>
      </c>
      <c r="W514" s="51" t="s">
        <v>1164</v>
      </c>
      <c r="X514" s="66" t="s">
        <v>1165</v>
      </c>
    </row>
    <row r="515" hidden="1" ht="27.75" customHeight="1" s="32" customFormat="1">
      <c r="A515" s="37"/>
      <c r="B515" s="31" t="s">
        <v>32</v>
      </c>
      <c r="C515" s="59" t="s">
        <v>1166</v>
      </c>
      <c r="D515" s="121" t="s">
        <v>30</v>
      </c>
      <c r="E515" s="57">
        <v>45734</v>
      </c>
      <c r="F515" s="38" t="str">
        <f>IF(C515&lt;&gt;"",VLOOKUP($C515,Carpetas!$C$5:$L$2060,2,FALSE),"")</f>
        <v>ECE019</v>
      </c>
      <c r="G515" s="38" t="s">
        <v>43</v>
      </c>
      <c r="H515" s="44">
        <f>IF(C515&lt;&gt;"",VLOOKUP($C515,Carpetas!$C$5:$L$2060,9,FALSE),"")</f>
        <v>1519472</v>
      </c>
      <c r="I515" s="51" t="str">
        <f>IF(C515&lt;&gt;"",VLOOKUP($C515,Carpetas!$C$5:$L$2060,5,FALSE),"")</f>
        <v>Andino</v>
      </c>
      <c r="J515" s="51"/>
      <c r="K515" s="50">
        <v>45749</v>
      </c>
      <c r="L515" s="39" t="str">
        <f>VLOOKUP($C515,Carpetas!$C$5:$L$2060,4,FALSE)</f>
        <v>Fray Bentos</v>
      </c>
      <c r="M515" s="55">
        <f t="shared" si="36"/>
        <v>45750</v>
      </c>
      <c r="N515" s="53">
        <f t="shared" si="37"/>
        <v>16</v>
      </c>
      <c r="O515" s="51">
        <v>1228</v>
      </c>
      <c r="P515" s="51"/>
      <c r="Q515" s="51">
        <v>1128</v>
      </c>
      <c r="R515" s="51">
        <v>20</v>
      </c>
      <c r="S515" s="51">
        <v>21</v>
      </c>
      <c r="T515" s="65"/>
      <c r="U515" s="65"/>
      <c r="V515" s="65" t="s">
        <v>479</v>
      </c>
      <c r="W515" s="51" t="s">
        <v>64</v>
      </c>
      <c r="X515" s="66" t="s">
        <v>1167</v>
      </c>
    </row>
    <row r="516" hidden="1" ht="27.75" customHeight="1" s="32" customFormat="1">
      <c r="A516" s="37"/>
      <c r="B516" s="31" t="s">
        <v>32</v>
      </c>
      <c r="C516" s="59" t="s">
        <v>1168</v>
      </c>
      <c r="D516" s="121" t="s">
        <v>30</v>
      </c>
      <c r="E516" s="57">
        <v>45734</v>
      </c>
      <c r="F516" s="38" t="str">
        <f>IF(C516&lt;&gt;"",VLOOKUP($C516,Carpetas!$C$5:$L$2060,2,FALSE),"")</f>
        <v>ECE018</v>
      </c>
      <c r="G516" s="38" t="s">
        <v>43</v>
      </c>
      <c r="H516" s="44">
        <f>IF(C516&lt;&gt;"",VLOOKUP($C516,Carpetas!$C$5:$L$2060,9,FALSE),"")</f>
        <v>1519473</v>
      </c>
      <c r="I516" s="51" t="str">
        <f>IF(C516&lt;&gt;"",VLOOKUP($C516,Carpetas!$C$5:$L$2060,5,FALSE),"")</f>
        <v>Andino</v>
      </c>
      <c r="J516" s="51"/>
      <c r="K516" s="50">
        <v>45750</v>
      </c>
      <c r="L516" s="39" t="str">
        <f>VLOOKUP($C516,Carpetas!$C$5:$L$2060,4,FALSE)</f>
        <v>Fray Bentos</v>
      </c>
      <c r="M516" s="55">
        <f ref="M516:M547" t="shared" si="38">K516+1</f>
        <v>45751</v>
      </c>
      <c r="N516" s="53">
        <f t="shared" si="37"/>
        <v>17</v>
      </c>
      <c r="O516" s="51">
        <v>3240</v>
      </c>
      <c r="P516" s="51"/>
      <c r="Q516" s="51">
        <v>3240</v>
      </c>
      <c r="R516" s="51">
        <v>60</v>
      </c>
      <c r="S516" s="51">
        <v>21</v>
      </c>
      <c r="T516" s="65"/>
      <c r="U516" s="65"/>
      <c r="V516" s="65" t="s">
        <v>60</v>
      </c>
      <c r="W516" s="51" t="s">
        <v>1169</v>
      </c>
      <c r="X516" s="66" t="s">
        <v>1170</v>
      </c>
    </row>
    <row r="517" hidden="1" ht="27.75" customHeight="1" s="32" customFormat="1">
      <c r="A517" s="37"/>
      <c r="B517" s="31" t="s">
        <v>32</v>
      </c>
      <c r="C517" s="59" t="s">
        <v>1171</v>
      </c>
      <c r="D517" s="121" t="s">
        <v>30</v>
      </c>
      <c r="E517" s="57">
        <v>45734</v>
      </c>
      <c r="F517" s="38" t="str">
        <f>IF(C517&lt;&gt;"",VLOOKUP($C517,Carpetas!$C$5:$L$2060,2,FALSE),"")</f>
        <v>ECB012</v>
      </c>
      <c r="G517" s="38" t="s">
        <v>43</v>
      </c>
      <c r="H517" s="44">
        <f>IF(C517&lt;&gt;"",VLOOKUP($C517,Carpetas!$C$5:$L$2060,9,FALSE),"")</f>
        <v>1519471</v>
      </c>
      <c r="I517" s="51" t="str">
        <f>IF(C517&lt;&gt;"",VLOOKUP($C517,Carpetas!$C$5:$L$2060,5,FALSE),"")</f>
        <v>Andino</v>
      </c>
      <c r="J517" s="51"/>
      <c r="K517" s="50">
        <v>45750</v>
      </c>
      <c r="L517" s="39" t="str">
        <f>VLOOKUP($C517,Carpetas!$C$5:$L$2060,4,FALSE)</f>
        <v>Fray Bentos</v>
      </c>
      <c r="M517" s="55">
        <f t="shared" si="38"/>
        <v>45751</v>
      </c>
      <c r="N517" s="53">
        <f t="shared" si="37"/>
        <v>17</v>
      </c>
      <c r="O517" s="51">
        <v>2160</v>
      </c>
      <c r="P517" s="51"/>
      <c r="Q517" s="51">
        <v>2160</v>
      </c>
      <c r="R517" s="51">
        <v>40</v>
      </c>
      <c r="S517" s="51">
        <v>21</v>
      </c>
      <c r="T517" s="65"/>
      <c r="U517" s="65"/>
      <c r="V517" s="65" t="s">
        <v>55</v>
      </c>
      <c r="W517" s="51" t="s">
        <v>1172</v>
      </c>
      <c r="X517" s="66" t="s">
        <v>1173</v>
      </c>
    </row>
    <row r="518" hidden="1" ht="27.75" customHeight="1" s="32" customFormat="1">
      <c r="A518" s="37"/>
      <c r="B518" s="31" t="s">
        <v>32</v>
      </c>
      <c r="C518" s="59" t="s">
        <v>1174</v>
      </c>
      <c r="D518" s="121" t="s">
        <v>1152</v>
      </c>
      <c r="E518" s="57">
        <v>45748</v>
      </c>
      <c r="F518" s="38" t="str">
        <f>IF(C518&lt;&gt;"",VLOOKUP($C518,Carpetas!$C$5:$L$2060,2,FALSE),"")</f>
        <v>ARC002</v>
      </c>
      <c r="G518" s="38" t="s">
        <v>369</v>
      </c>
      <c r="H518" s="44">
        <f>IF(C518&lt;&gt;"",VLOOKUP($C518,Carpetas!$C$5:$L$2060,9,FALSE),"")</f>
        <v>0</v>
      </c>
      <c r="I518" s="51" t="str">
        <f>IF(C518&lt;&gt;"",VLOOKUP($C518,Carpetas!$C$5:$L$2060,5,FALSE),"")</f>
        <v>Teske</v>
      </c>
      <c r="J518" s="51"/>
      <c r="K518" s="50">
        <v>45751</v>
      </c>
      <c r="L518" s="39" t="str">
        <f>VLOOKUP($C518,Carpetas!$C$5:$L$2060,4,FALSE)</f>
        <v>Fray Bentos</v>
      </c>
      <c r="M518" s="55">
        <f t="shared" si="38"/>
        <v>45752</v>
      </c>
      <c r="N518" s="53">
        <f t="shared" si="37"/>
        <v>4</v>
      </c>
      <c r="O518" s="51">
        <v>1320</v>
      </c>
      <c r="P518" s="51"/>
      <c r="Q518" s="51">
        <v>1320</v>
      </c>
      <c r="R518" s="51">
        <v>24</v>
      </c>
      <c r="S518" s="51">
        <v>20</v>
      </c>
      <c r="T518" s="65"/>
      <c r="U518" s="65"/>
      <c r="V518" s="65" t="s">
        <v>1175</v>
      </c>
      <c r="W518" s="51" t="s">
        <v>1176</v>
      </c>
      <c r="X518" s="66" t="s">
        <v>1177</v>
      </c>
    </row>
    <row r="519" hidden="1" ht="27.75" customHeight="1" s="32" customFormat="1">
      <c r="A519" s="37"/>
      <c r="B519" s="31" t="s">
        <v>32</v>
      </c>
      <c r="C519" s="59" t="s">
        <v>1178</v>
      </c>
      <c r="D519" s="121" t="s">
        <v>1152</v>
      </c>
      <c r="E519" s="57">
        <v>45749</v>
      </c>
      <c r="F519" s="38" t="str">
        <f>IF(C519&lt;&gt;"",VLOOKUP($C519,Carpetas!$C$5:$L$2060,2,FALSE),"")</f>
        <v>ARC003</v>
      </c>
      <c r="G519" s="38" t="s">
        <v>369</v>
      </c>
      <c r="H519" s="44">
        <f>IF(C519&lt;&gt;"",VLOOKUP($C519,Carpetas!$C$5:$L$2060,9,FALSE),"")</f>
        <v>0</v>
      </c>
      <c r="I519" s="51" t="str">
        <f>IF(C519&lt;&gt;"",VLOOKUP($C519,Carpetas!$C$5:$L$2060,5,FALSE),"")</f>
        <v>Teske</v>
      </c>
      <c r="J519" s="51"/>
      <c r="K519" s="50">
        <v>45751</v>
      </c>
      <c r="L519" s="39" t="str">
        <f>VLOOKUP($C519,Carpetas!$C$5:$L$2060,4,FALSE)</f>
        <v>Fray Bentos</v>
      </c>
      <c r="M519" s="55">
        <f t="shared" si="38"/>
        <v>45752</v>
      </c>
      <c r="N519" s="53">
        <f t="shared" si="37"/>
        <v>3</v>
      </c>
      <c r="O519" s="51">
        <v>1320</v>
      </c>
      <c r="P519" s="51"/>
      <c r="Q519" s="51">
        <v>1320</v>
      </c>
      <c r="R519" s="51">
        <v>24</v>
      </c>
      <c r="S519" s="51">
        <v>20</v>
      </c>
      <c r="T519" s="65"/>
      <c r="U519" s="65"/>
      <c r="V519" s="65" t="s">
        <v>1175</v>
      </c>
      <c r="W519" s="51" t="s">
        <v>1179</v>
      </c>
      <c r="X519" s="66" t="s">
        <v>1177</v>
      </c>
    </row>
    <row r="520" hidden="1" ht="27.75" customHeight="1" s="32" customFormat="1">
      <c r="A520" s="37"/>
      <c r="B520" s="31" t="s">
        <v>32</v>
      </c>
      <c r="C520" s="59" t="s">
        <v>1180</v>
      </c>
      <c r="D520" s="121" t="s">
        <v>1152</v>
      </c>
      <c r="E520" s="57">
        <v>45749</v>
      </c>
      <c r="F520" s="38" t="str">
        <f>IF(C520&lt;&gt;"",VLOOKUP($C520,Carpetas!$C$5:$L$2060,2,FALSE),"")</f>
        <v>ARC004</v>
      </c>
      <c r="G520" s="38" t="s">
        <v>369</v>
      </c>
      <c r="H520" s="44">
        <f>IF(C520&lt;&gt;"",VLOOKUP($C520,Carpetas!$C$5:$L$2060,9,FALSE),"")</f>
        <v>0</v>
      </c>
      <c r="I520" s="51" t="str">
        <f>IF(C520&lt;&gt;"",VLOOKUP($C520,Carpetas!$C$5:$L$2060,5,FALSE),"")</f>
        <v>Teske</v>
      </c>
      <c r="J520" s="51"/>
      <c r="K520" s="50">
        <v>45751</v>
      </c>
      <c r="L520" s="39" t="str">
        <f>VLOOKUP($C520,Carpetas!$C$5:$L$2060,4,FALSE)</f>
        <v>Fray Bentos</v>
      </c>
      <c r="M520" s="55">
        <f t="shared" si="38"/>
        <v>45752</v>
      </c>
      <c r="N520" s="53">
        <f t="shared" si="37"/>
        <v>3</v>
      </c>
      <c r="O520" s="51">
        <v>1320</v>
      </c>
      <c r="P520" s="51"/>
      <c r="Q520" s="51">
        <v>1320</v>
      </c>
      <c r="R520" s="51">
        <v>24</v>
      </c>
      <c r="S520" s="51">
        <v>20</v>
      </c>
      <c r="T520" s="65"/>
      <c r="U520" s="65"/>
      <c r="V520" s="65" t="s">
        <v>1175</v>
      </c>
      <c r="W520" s="51" t="s">
        <v>1181</v>
      </c>
      <c r="X520" s="66" t="s">
        <v>1177</v>
      </c>
    </row>
    <row r="521" hidden="1" ht="27.75" customHeight="1" s="32" customFormat="1">
      <c r="A521" s="37"/>
      <c r="B521" s="31" t="s">
        <v>32</v>
      </c>
      <c r="C521" s="59" t="s">
        <v>1182</v>
      </c>
      <c r="D521" s="121" t="s">
        <v>30</v>
      </c>
      <c r="E521" s="57">
        <v>45726</v>
      </c>
      <c r="F521" s="38" t="str">
        <f>IF(C521&lt;&gt;"",VLOOKUP($C521,Carpetas!$C$5:$L$2060,2,FALSE),"")</f>
        <v>COB005</v>
      </c>
      <c r="G521" s="38" t="s">
        <v>267</v>
      </c>
      <c r="H521" s="44">
        <f>IF(C521&lt;&gt;"",VLOOKUP($C521,Carpetas!$C$5:$L$2060,9,FALSE),"")</f>
        <v>0</v>
      </c>
      <c r="I521" s="51" t="str">
        <f>IF(C521&lt;&gt;"",VLOOKUP($C521,Carpetas!$C$5:$L$2060,5,FALSE),"")</f>
        <v>Andino</v>
      </c>
      <c r="J521" s="51"/>
      <c r="K521" s="50">
        <v>45751</v>
      </c>
      <c r="L521" s="39" t="str">
        <f>VLOOKUP($C521,Carpetas!$C$5:$L$2060,4,FALSE)</f>
        <v>Fray Bentos</v>
      </c>
      <c r="M521" s="55">
        <f t="shared" si="38"/>
        <v>45752</v>
      </c>
      <c r="N521" s="53">
        <f t="shared" si="37"/>
        <v>26</v>
      </c>
      <c r="O521" s="51">
        <v>1080</v>
      </c>
      <c r="P521" s="51"/>
      <c r="Q521" s="51">
        <v>1080</v>
      </c>
      <c r="R521" s="51">
        <v>20</v>
      </c>
      <c r="S521" s="51">
        <v>21</v>
      </c>
      <c r="T521" s="65"/>
      <c r="U521" s="65"/>
      <c r="V521" s="65" t="s">
        <v>690</v>
      </c>
      <c r="W521" s="51" t="s">
        <v>140</v>
      </c>
      <c r="X521" s="66" t="s">
        <v>1183</v>
      </c>
    </row>
    <row r="522" hidden="1" ht="27.75" customHeight="1" s="32" customFormat="1">
      <c r="A522" s="37"/>
      <c r="B522" s="31" t="s">
        <v>28</v>
      </c>
      <c r="C522" s="59" t="s">
        <v>29</v>
      </c>
      <c r="D522" s="121" t="s">
        <v>1152</v>
      </c>
      <c r="E522" s="57">
        <v>45750</v>
      </c>
      <c r="F522" s="38" t="str">
        <f>IF(C522&lt;&gt;"",VLOOKUP($C522,Carpetas!$C$5:$L$2060,2,FALSE),"")</f>
        <v>xx</v>
      </c>
      <c r="G522" s="38" t="s">
        <v>43</v>
      </c>
      <c r="H522" s="44" t="str">
        <f>IF(C522&lt;&gt;"",VLOOKUP($C522,Carpetas!$C$5:$L$2060,9,FALSE),"")</f>
        <v>xx</v>
      </c>
      <c r="I522" s="51" t="str">
        <f>IF(C522&lt;&gt;"",VLOOKUP($C522,Carpetas!$C$5:$L$2060,5,FALSE),"")</f>
        <v>xx</v>
      </c>
      <c r="J522" s="51"/>
      <c r="K522" s="50">
        <v>45751</v>
      </c>
      <c r="L522" s="39" t="str">
        <f>VLOOKUP($C522,Carpetas!$C$5:$L$2060,4,FALSE)</f>
        <v>xx</v>
      </c>
      <c r="M522" s="55">
        <f t="shared" si="38"/>
        <v>45752</v>
      </c>
      <c r="N522" s="53">
        <f t="shared" si="37"/>
        <v>2</v>
      </c>
      <c r="O522" s="51">
        <v>1320</v>
      </c>
      <c r="P522" s="51"/>
      <c r="Q522" s="51"/>
      <c r="R522" s="51"/>
      <c r="S522" s="51"/>
      <c r="T522" s="65"/>
      <c r="U522" s="65"/>
      <c r="V522" s="65"/>
      <c r="W522" s="51"/>
      <c r="X522" s="66"/>
    </row>
    <row r="523" hidden="1" ht="27.75" customHeight="1" s="32" customFormat="1">
      <c r="A523" s="37"/>
      <c r="B523" s="31" t="s">
        <v>32</v>
      </c>
      <c r="C523" s="59" t="s">
        <v>1184</v>
      </c>
      <c r="D523" s="121" t="s">
        <v>1152</v>
      </c>
      <c r="E523" s="57">
        <v>45750</v>
      </c>
      <c r="F523" s="38" t="str">
        <f>IF(C523&lt;&gt;"",VLOOKUP($C523,Carpetas!$C$5:$L$2060,2,FALSE),"")</f>
        <v>ARC004</v>
      </c>
      <c r="G523" s="38" t="s">
        <v>369</v>
      </c>
      <c r="H523" s="44">
        <f>IF(C523&lt;&gt;"",VLOOKUP($C523,Carpetas!$C$5:$L$2060,9,FALSE),"")</f>
        <v>0</v>
      </c>
      <c r="I523" s="51" t="str">
        <f>IF(C523&lt;&gt;"",VLOOKUP($C523,Carpetas!$C$5:$L$2060,5,FALSE),"")</f>
        <v>Teske</v>
      </c>
      <c r="J523" s="51"/>
      <c r="K523" s="50">
        <v>45754</v>
      </c>
      <c r="L523" s="39" t="str">
        <f>VLOOKUP($C523,Carpetas!$C$5:$L$2060,4,FALSE)</f>
        <v>Fray Bentos</v>
      </c>
      <c r="M523" s="55">
        <f t="shared" si="38"/>
        <v>45755</v>
      </c>
      <c r="N523" s="53">
        <f t="shared" si="37"/>
        <v>5</v>
      </c>
      <c r="O523" s="51">
        <v>1320</v>
      </c>
      <c r="P523" s="51"/>
      <c r="Q523" s="51">
        <v>1320</v>
      </c>
      <c r="R523" s="51">
        <v>24</v>
      </c>
      <c r="S523" s="51">
        <v>20</v>
      </c>
      <c r="T523" s="65"/>
      <c r="U523" s="65"/>
      <c r="V523" s="65" t="s">
        <v>1175</v>
      </c>
      <c r="W523" s="51" t="s">
        <v>1185</v>
      </c>
      <c r="X523" s="66" t="s">
        <v>1186</v>
      </c>
    </row>
    <row r="524" hidden="1" ht="27.75" customHeight="1" s="32" customFormat="1">
      <c r="A524" s="37"/>
      <c r="B524" s="31" t="s">
        <v>32</v>
      </c>
      <c r="C524" s="59" t="s">
        <v>1187</v>
      </c>
      <c r="D524" s="121" t="s">
        <v>48</v>
      </c>
      <c r="E524" s="57">
        <v>45745</v>
      </c>
      <c r="F524" s="38" t="str">
        <f>IF(C524&lt;&gt;"",VLOOKUP($C524,Carpetas!$C$5:$L$2060,2,FALSE),"")</f>
        <v>PEP002</v>
      </c>
      <c r="G524" s="38" t="s">
        <v>216</v>
      </c>
      <c r="H524" s="44">
        <f>IF(C524&lt;&gt;"",VLOOKUP($C524,Carpetas!$C$5:$L$2060,9,FALSE),"")</f>
        <v>0</v>
      </c>
      <c r="I524" s="51" t="str">
        <f>IF(C524&lt;&gt;"",VLOOKUP($C524,Carpetas!$C$5:$L$2060,5,FALSE),"")</f>
        <v>Andino</v>
      </c>
      <c r="J524" s="51"/>
      <c r="K524" s="50">
        <v>45755</v>
      </c>
      <c r="L524" s="39" t="str">
        <f>VLOOKUP($C524,Carpetas!$C$5:$L$2060,4,FALSE)</f>
        <v>Fray Bentos</v>
      </c>
      <c r="M524" s="55">
        <f t="shared" si="38"/>
        <v>45756</v>
      </c>
      <c r="N524" s="53">
        <f t="shared" si="37"/>
        <v>11</v>
      </c>
      <c r="O524" s="51">
        <v>1920</v>
      </c>
      <c r="P524" s="51"/>
      <c r="Q524" s="51">
        <v>1920</v>
      </c>
      <c r="R524" s="51">
        <v>20</v>
      </c>
      <c r="S524" s="51">
        <v>12</v>
      </c>
      <c r="T524" s="65"/>
      <c r="U524" s="65"/>
      <c r="V524" s="65" t="s">
        <v>93</v>
      </c>
      <c r="W524" s="51" t="s">
        <v>1157</v>
      </c>
      <c r="X524" s="66" t="s">
        <v>1188</v>
      </c>
    </row>
    <row r="525" hidden="1" ht="27.75" customHeight="1" s="32" customFormat="1">
      <c r="A525" s="37"/>
      <c r="B525" s="31" t="s">
        <v>32</v>
      </c>
      <c r="C525" s="59" t="s">
        <v>1189</v>
      </c>
      <c r="D525" s="121" t="s">
        <v>30</v>
      </c>
      <c r="E525" s="57">
        <v>45741</v>
      </c>
      <c r="F525" s="38" t="str">
        <f>IF(C525&lt;&gt;"",VLOOKUP($C525,Carpetas!$C$5:$L$2060,2,FALSE),"")</f>
        <v>ECB015</v>
      </c>
      <c r="G525" s="38" t="s">
        <v>43</v>
      </c>
      <c r="H525" s="44">
        <f>IF(C525&lt;&gt;"",VLOOKUP($C525,Carpetas!$C$5:$L$2060,9,FALSE),"")</f>
        <v>1520052</v>
      </c>
      <c r="I525" s="51" t="str">
        <f>IF(C525&lt;&gt;"",VLOOKUP($C525,Carpetas!$C$5:$L$2060,5,FALSE),"")</f>
        <v>Andino</v>
      </c>
      <c r="J525" s="51"/>
      <c r="K525" s="50">
        <v>45757</v>
      </c>
      <c r="L525" s="39" t="str">
        <f>VLOOKUP($C525,Carpetas!$C$5:$L$2060,4,FALSE)</f>
        <v>Fray Bentos</v>
      </c>
      <c r="M525" s="55">
        <f t="shared" si="38"/>
        <v>45758</v>
      </c>
      <c r="N525" s="53">
        <f t="shared" si="37"/>
        <v>17</v>
      </c>
      <c r="O525" s="51">
        <v>1080</v>
      </c>
      <c r="P525" s="51"/>
      <c r="Q525" s="51">
        <v>1080</v>
      </c>
      <c r="R525" s="51">
        <v>20</v>
      </c>
      <c r="S525" s="51">
        <v>21</v>
      </c>
      <c r="T525" s="65"/>
      <c r="U525" s="65"/>
      <c r="V525" s="65" t="s">
        <v>89</v>
      </c>
      <c r="W525" s="51" t="s">
        <v>112</v>
      </c>
      <c r="X525" s="66" t="s">
        <v>1190</v>
      </c>
    </row>
    <row r="526" hidden="1" ht="27.75" customHeight="1" s="32" customFormat="1">
      <c r="A526" s="37"/>
      <c r="B526" s="31" t="s">
        <v>32</v>
      </c>
      <c r="C526" s="59" t="s">
        <v>1191</v>
      </c>
      <c r="D526" s="121" t="s">
        <v>30</v>
      </c>
      <c r="E526" s="57">
        <v>45741</v>
      </c>
      <c r="F526" s="38" t="str">
        <f>IF(C526&lt;&gt;"",VLOOKUP($C526,Carpetas!$C$5:$L$2060,2,FALSE),"")</f>
        <v>ECE020</v>
      </c>
      <c r="G526" s="38" t="s">
        <v>43</v>
      </c>
      <c r="H526" s="44">
        <f>IF(C526&lt;&gt;"",VLOOKUP($C526,Carpetas!$C$5:$L$2060,9,FALSE),"")</f>
        <v>1520051</v>
      </c>
      <c r="I526" s="51" t="str">
        <f>IF(C526&lt;&gt;"",VLOOKUP($C526,Carpetas!$C$5:$L$2060,5,FALSE),"")</f>
        <v>Andino</v>
      </c>
      <c r="J526" s="51"/>
      <c r="K526" s="50">
        <v>45757</v>
      </c>
      <c r="L526" s="39" t="str">
        <f>VLOOKUP($C526,Carpetas!$C$5:$L$2060,4,FALSE)</f>
        <v>Fray Bentos</v>
      </c>
      <c r="M526" s="55">
        <f t="shared" si="38"/>
        <v>45758</v>
      </c>
      <c r="N526" s="53">
        <f t="shared" si="37"/>
        <v>17</v>
      </c>
      <c r="O526" s="51">
        <v>4320</v>
      </c>
      <c r="P526" s="51"/>
      <c r="Q526" s="51">
        <v>4320</v>
      </c>
      <c r="R526" s="51">
        <v>80</v>
      </c>
      <c r="S526" s="51">
        <v>21</v>
      </c>
      <c r="T526" s="65"/>
      <c r="U526" s="65"/>
      <c r="V526" s="65" t="s">
        <v>60</v>
      </c>
      <c r="W526" s="51" t="s">
        <v>1192</v>
      </c>
      <c r="X526" s="66" t="s">
        <v>1193</v>
      </c>
    </row>
    <row r="527" hidden="1" ht="27.75" customHeight="1" s="32" customFormat="1">
      <c r="A527" s="37"/>
      <c r="B527" s="31" t="s">
        <v>32</v>
      </c>
      <c r="C527" s="59" t="s">
        <v>1194</v>
      </c>
      <c r="D527" s="121" t="s">
        <v>30</v>
      </c>
      <c r="E527" s="57">
        <v>45741</v>
      </c>
      <c r="F527" s="38" t="str">
        <f>IF(C527&lt;&gt;"",VLOOKUP($C527,Carpetas!$C$5:$L$2060,2,FALSE),"")</f>
        <v>ECB014</v>
      </c>
      <c r="G527" s="38" t="s">
        <v>43</v>
      </c>
      <c r="H527" s="44">
        <f>IF(C527&lt;&gt;"",VLOOKUP($C527,Carpetas!$C$5:$L$2060,9,FALSE),"")</f>
        <v>1520053</v>
      </c>
      <c r="I527" s="51" t="str">
        <f>IF(C527&lt;&gt;"",VLOOKUP($C527,Carpetas!$C$5:$L$2060,5,FALSE),"")</f>
        <v>Andino</v>
      </c>
      <c r="J527" s="51"/>
      <c r="K527" s="50">
        <v>45757</v>
      </c>
      <c r="L527" s="39" t="str">
        <f>VLOOKUP($C527,Carpetas!$C$5:$L$2060,4,FALSE)</f>
        <v>Fray Bentos</v>
      </c>
      <c r="M527" s="55">
        <f t="shared" si="38"/>
        <v>45758</v>
      </c>
      <c r="N527" s="53">
        <f t="shared" si="37"/>
        <v>17</v>
      </c>
      <c r="O527" s="51">
        <v>2160</v>
      </c>
      <c r="P527" s="51"/>
      <c r="Q527" s="51">
        <v>2160</v>
      </c>
      <c r="R527" s="51">
        <v>40</v>
      </c>
      <c r="S527" s="51">
        <v>21</v>
      </c>
      <c r="T527" s="65"/>
      <c r="U527" s="65"/>
      <c r="V527" s="65" t="s">
        <v>89</v>
      </c>
      <c r="W527" s="51" t="s">
        <v>1195</v>
      </c>
      <c r="X527" s="66" t="s">
        <v>1196</v>
      </c>
    </row>
    <row r="528" hidden="1" ht="27.75" customHeight="1" s="32" customFormat="1">
      <c r="A528" s="37"/>
      <c r="B528" s="31" t="s">
        <v>32</v>
      </c>
      <c r="C528" s="59" t="s">
        <v>1189</v>
      </c>
      <c r="D528" s="121" t="s">
        <v>30</v>
      </c>
      <c r="E528" s="57">
        <v>45741</v>
      </c>
      <c r="F528" s="38" t="str">
        <f>IF(C528&lt;&gt;"",VLOOKUP($C528,Carpetas!$C$5:$L$2060,2,FALSE),"")</f>
        <v>ECB015</v>
      </c>
      <c r="G528" s="38" t="s">
        <v>43</v>
      </c>
      <c r="H528" s="44">
        <f>IF(C528&lt;&gt;"",VLOOKUP($C528,Carpetas!$C$5:$L$2060,9,FALSE),"")</f>
        <v>1520052</v>
      </c>
      <c r="I528" s="51" t="str">
        <f>IF(C528&lt;&gt;"",VLOOKUP($C528,Carpetas!$C$5:$L$2060,5,FALSE),"")</f>
        <v>Andino</v>
      </c>
      <c r="J528" s="51"/>
      <c r="K528" s="50">
        <v>45758</v>
      </c>
      <c r="L528" s="39" t="str">
        <f>VLOOKUP($C528,Carpetas!$C$5:$L$2060,4,FALSE)</f>
        <v>Fray Bentos</v>
      </c>
      <c r="M528" s="55">
        <f t="shared" si="38"/>
        <v>45759</v>
      </c>
      <c r="N528" s="53">
        <f t="shared" si="37"/>
        <v>18</v>
      </c>
      <c r="O528" s="51">
        <v>1080</v>
      </c>
      <c r="P528" s="51"/>
      <c r="Q528" s="51">
        <v>1080</v>
      </c>
      <c r="R528" s="51">
        <v>20</v>
      </c>
      <c r="S528" s="51">
        <v>21</v>
      </c>
      <c r="T528" s="65"/>
      <c r="U528" s="65"/>
      <c r="V528" s="65" t="s">
        <v>89</v>
      </c>
      <c r="W528" s="51" t="s">
        <v>143</v>
      </c>
      <c r="X528" s="66" t="s">
        <v>1197</v>
      </c>
    </row>
    <row r="529" hidden="1" ht="27.75" customHeight="1" s="32" customFormat="1">
      <c r="A529" s="37"/>
      <c r="B529" s="31" t="s">
        <v>32</v>
      </c>
      <c r="C529" s="59" t="s">
        <v>1198</v>
      </c>
      <c r="D529" s="121" t="s">
        <v>432</v>
      </c>
      <c r="E529" s="57">
        <v>45755</v>
      </c>
      <c r="F529" s="38" t="str">
        <f>IF(C529&lt;&gt;"",VLOOKUP($C529,Carpetas!$C$5:$L$2060,2,FALSE),"")</f>
        <v>CLK002</v>
      </c>
      <c r="G529" s="38" t="s">
        <v>35</v>
      </c>
      <c r="H529" s="44" t="s">
        <v>1199</v>
      </c>
      <c r="I529" s="51" t="str">
        <f>IF(C529&lt;&gt;"",VLOOKUP($C529,Carpetas!$C$5:$L$2060,5,FALSE),"")</f>
        <v>Nihuil</v>
      </c>
      <c r="J529" s="51"/>
      <c r="K529" s="50">
        <f>E529+5</f>
        <v>45760</v>
      </c>
      <c r="L529" s="39" t="str">
        <f>VLOOKUP($C529,Carpetas!$C$5:$L$2060,4,FALSE)</f>
        <v>Fray Bentos</v>
      </c>
      <c r="M529" s="55">
        <f t="shared" si="38"/>
        <v>45761</v>
      </c>
      <c r="N529" s="53" t="s">
        <v>1200</v>
      </c>
      <c r="O529" s="51">
        <v>2304</v>
      </c>
      <c r="P529" s="51"/>
      <c r="Q529" s="51">
        <v>2304</v>
      </c>
      <c r="R529" s="51"/>
      <c r="S529" s="51">
        <v>10</v>
      </c>
      <c r="T529" s="65"/>
      <c r="U529" s="65"/>
      <c r="V529" s="65" t="s">
        <v>459</v>
      </c>
      <c r="W529" s="51"/>
      <c r="X529" s="66" t="s">
        <v>1201</v>
      </c>
    </row>
    <row r="530" hidden="1" ht="27.75" customHeight="1" s="32" customFormat="1">
      <c r="A530" s="37"/>
      <c r="B530" s="31" t="s">
        <v>32</v>
      </c>
      <c r="C530" s="59" t="s">
        <v>1202</v>
      </c>
      <c r="D530" s="121" t="s">
        <v>42</v>
      </c>
      <c r="E530" s="57">
        <v>45748</v>
      </c>
      <c r="F530" s="38" t="str">
        <f>IF(C530&lt;&gt;"",VLOOKUP($C530,Carpetas!$C$5:$L$2060,2,FALSE),"")</f>
        <v>ECA011</v>
      </c>
      <c r="G530" s="38" t="s">
        <v>43</v>
      </c>
      <c r="H530" s="44">
        <f>IF(C530&lt;&gt;"",VLOOKUP($C530,Carpetas!$C$5:$L$2060,9,FALSE),"")</f>
        <v>1520605</v>
      </c>
      <c r="I530" s="51" t="str">
        <f>IF(C530&lt;&gt;"",VLOOKUP($C530,Carpetas!$C$5:$L$2060,5,FALSE),"")</f>
        <v>Andino</v>
      </c>
      <c r="J530" s="51"/>
      <c r="K530" s="50">
        <v>45761</v>
      </c>
      <c r="L530" s="39" t="str">
        <f>VLOOKUP($C530,Carpetas!$C$5:$L$2060,4,FALSE)</f>
        <v>Fray Bentos</v>
      </c>
      <c r="M530" s="55">
        <f t="shared" si="38"/>
        <v>45762</v>
      </c>
      <c r="N530" s="53">
        <f ref="N530:N548" t="shared" si="39">IF(M530&lt;&gt;"",M530-E530,"-")</f>
        <v>14</v>
      </c>
      <c r="O530" s="51">
        <v>1680</v>
      </c>
      <c r="P530" s="51"/>
      <c r="Q530" s="51">
        <v>1680</v>
      </c>
      <c r="R530" s="51">
        <v>21</v>
      </c>
      <c r="S530" s="51">
        <v>12</v>
      </c>
      <c r="T530" s="65"/>
      <c r="U530" s="65"/>
      <c r="V530" s="65" t="s">
        <v>1203</v>
      </c>
      <c r="W530" s="51" t="s">
        <v>140</v>
      </c>
      <c r="X530" s="66" t="s">
        <v>1204</v>
      </c>
    </row>
    <row r="531" hidden="1" ht="27.75" customHeight="1" s="32" customFormat="1">
      <c r="A531" s="37"/>
      <c r="B531" s="31" t="s">
        <v>32</v>
      </c>
      <c r="C531" s="59" t="s">
        <v>1205</v>
      </c>
      <c r="D531" s="121" t="s">
        <v>48</v>
      </c>
      <c r="E531" s="57">
        <v>45759</v>
      </c>
      <c r="F531" s="38" t="str">
        <f>IF(C531&lt;&gt;"",VLOOKUP($C531,Carpetas!$C$5:$L$2060,2,FALSE),"")</f>
        <v>PEP003</v>
      </c>
      <c r="G531" s="38" t="s">
        <v>216</v>
      </c>
      <c r="H531" s="44">
        <f>IF(C531&lt;&gt;"",VLOOKUP($C531,Carpetas!$C$5:$L$2060,9,FALSE),"")</f>
        <v>0</v>
      </c>
      <c r="I531" s="51" t="str">
        <f>IF(C531&lt;&gt;"",VLOOKUP($C531,Carpetas!$C$5:$L$2060,5,FALSE),"")</f>
        <v>Andino</v>
      </c>
      <c r="J531" s="51"/>
      <c r="K531" s="50">
        <v>45761</v>
      </c>
      <c r="L531" s="39" t="str">
        <f>VLOOKUP($C531,Carpetas!$C$5:$L$2060,4,FALSE)</f>
        <v>Fray Bentos</v>
      </c>
      <c r="M531" s="55">
        <f t="shared" si="38"/>
        <v>45762</v>
      </c>
      <c r="N531" s="53">
        <f t="shared" si="39"/>
        <v>3</v>
      </c>
      <c r="O531" s="51">
        <v>1920</v>
      </c>
      <c r="P531" s="51"/>
      <c r="Q531" s="51">
        <v>1920</v>
      </c>
      <c r="R531" s="51">
        <v>20</v>
      </c>
      <c r="S531" s="51">
        <v>11</v>
      </c>
      <c r="T531" s="65"/>
      <c r="U531" s="65"/>
      <c r="V531" s="65" t="s">
        <v>1206</v>
      </c>
      <c r="W531" s="51" t="s">
        <v>525</v>
      </c>
      <c r="X531" s="66" t="s">
        <v>1207</v>
      </c>
    </row>
    <row r="532" hidden="1" ht="27.75" customHeight="1" s="32" customFormat="1">
      <c r="A532" s="37"/>
      <c r="B532" s="31" t="s">
        <v>32</v>
      </c>
      <c r="C532" s="59" t="s">
        <v>1208</v>
      </c>
      <c r="D532" s="121" t="s">
        <v>48</v>
      </c>
      <c r="E532" s="57">
        <v>45759</v>
      </c>
      <c r="F532" s="38" t="str">
        <f>IF(C532&lt;&gt;"",VLOOKUP($C532,Carpetas!$C$5:$L$2060,2,FALSE),"")</f>
        <v>PEP004</v>
      </c>
      <c r="G532" s="38" t="s">
        <v>216</v>
      </c>
      <c r="H532" s="44">
        <f>IF(C532&lt;&gt;"",VLOOKUP($C532,Carpetas!$C$5:$L$2060,9,FALSE),"")</f>
        <v>0</v>
      </c>
      <c r="I532" s="51" t="str">
        <f>IF(C532&lt;&gt;"",VLOOKUP($C532,Carpetas!$C$5:$L$2060,5,FALSE),"")</f>
        <v>Andino</v>
      </c>
      <c r="J532" s="51"/>
      <c r="K532" s="50">
        <v>45761</v>
      </c>
      <c r="L532" s="39" t="str">
        <f>VLOOKUP($C532,Carpetas!$C$5:$L$2060,4,FALSE)</f>
        <v>Fray Bentos</v>
      </c>
      <c r="M532" s="55">
        <f t="shared" si="38"/>
        <v>45762</v>
      </c>
      <c r="N532" s="53">
        <f t="shared" si="39"/>
        <v>3</v>
      </c>
      <c r="O532" s="51">
        <v>1920</v>
      </c>
      <c r="P532" s="51"/>
      <c r="Q532" s="51">
        <v>1920</v>
      </c>
      <c r="R532" s="51">
        <v>20</v>
      </c>
      <c r="S532" s="51">
        <v>11</v>
      </c>
      <c r="T532" s="65"/>
      <c r="U532" s="65"/>
      <c r="V532" s="65" t="s">
        <v>1209</v>
      </c>
      <c r="W532" s="51" t="s">
        <v>1210</v>
      </c>
      <c r="X532" s="66" t="s">
        <v>1211</v>
      </c>
    </row>
    <row r="533" hidden="1" ht="27.75" customHeight="1" s="32" customFormat="1">
      <c r="A533" s="37"/>
      <c r="B533" s="31" t="s">
        <v>32</v>
      </c>
      <c r="C533" s="59" t="s">
        <v>1212</v>
      </c>
      <c r="D533" s="121" t="s">
        <v>30</v>
      </c>
      <c r="E533" s="57">
        <v>45748</v>
      </c>
      <c r="F533" s="38" t="str">
        <f>IF(C533&lt;&gt;"",VLOOKUP($C533,Carpetas!$C$5:$L$2060,2,FALSE),"")</f>
        <v>ECE022</v>
      </c>
      <c r="G533" s="38" t="s">
        <v>43</v>
      </c>
      <c r="H533" s="44">
        <f>IF(C533&lt;&gt;"",VLOOKUP($C533,Carpetas!$C$5:$L$2060,9,FALSE),"")</f>
        <v>1520609</v>
      </c>
      <c r="I533" s="51" t="str">
        <f>IF(C533&lt;&gt;"",VLOOKUP($C533,Carpetas!$C$5:$L$2060,5,FALSE),"")</f>
        <v>Andino</v>
      </c>
      <c r="J533" s="51"/>
      <c r="K533" s="50">
        <v>45764</v>
      </c>
      <c r="L533" s="39" t="str">
        <f>VLOOKUP($C533,Carpetas!$C$5:$L$2060,4,FALSE)</f>
        <v>Fray Bentos</v>
      </c>
      <c r="M533" s="55">
        <f t="shared" si="38"/>
        <v>45765</v>
      </c>
      <c r="N533" s="53">
        <f t="shared" si="39"/>
        <v>17</v>
      </c>
      <c r="O533" s="51">
        <v>1112</v>
      </c>
      <c r="P533" s="51"/>
      <c r="Q533" s="51">
        <v>1112</v>
      </c>
      <c r="R533" s="51">
        <v>20</v>
      </c>
      <c r="S533" s="51">
        <v>21</v>
      </c>
      <c r="T533" s="65"/>
      <c r="U533" s="65"/>
      <c r="V533" s="65" t="s">
        <v>479</v>
      </c>
      <c r="W533" s="51"/>
      <c r="X533" s="66" t="s">
        <v>1213</v>
      </c>
    </row>
    <row r="534" hidden="1" ht="27.75" customHeight="1" s="32" customFormat="1">
      <c r="A534" s="37"/>
      <c r="B534" s="31" t="s">
        <v>32</v>
      </c>
      <c r="C534" s="59" t="s">
        <v>1214</v>
      </c>
      <c r="D534" s="121" t="s">
        <v>30</v>
      </c>
      <c r="E534" s="57">
        <v>45748</v>
      </c>
      <c r="F534" s="38" t="e">
        <f>IF(C534&lt;&gt;"",VLOOKUP($C534,Carpetas!$C$5:$L$2060,2,FALSE),"")</f>
        <v>#N/A</v>
      </c>
      <c r="G534" s="38" t="s">
        <v>43</v>
      </c>
      <c r="H534" s="44" t="e">
        <f>IF(C534&lt;&gt;"",VLOOKUP($C534,Carpetas!$C$5:$L$2060,9,FALSE),"")</f>
        <v>#N/A</v>
      </c>
      <c r="I534" s="51" t="e">
        <f>IF(C534&lt;&gt;"",VLOOKUP($C534,Carpetas!$C$5:$L$2060,5,FALSE),"")</f>
        <v>#N/A</v>
      </c>
      <c r="J534" s="51"/>
      <c r="K534" s="50">
        <v>45764</v>
      </c>
      <c r="L534" s="39" t="e">
        <f>VLOOKUP($C534,Carpetas!$C$5:$L$2060,4,FALSE)</f>
        <v>#N/A</v>
      </c>
      <c r="M534" s="55">
        <f t="shared" si="38"/>
        <v>45765</v>
      </c>
      <c r="N534" s="53">
        <f t="shared" si="39"/>
        <v>17</v>
      </c>
      <c r="O534" s="51">
        <v>3240</v>
      </c>
      <c r="P534" s="51"/>
      <c r="Q534" s="51">
        <v>3240</v>
      </c>
      <c r="R534" s="51">
        <v>60</v>
      </c>
      <c r="S534" s="51">
        <v>21</v>
      </c>
      <c r="T534" s="65"/>
      <c r="U534" s="65"/>
      <c r="V534" s="65" t="s">
        <v>124</v>
      </c>
      <c r="W534" s="51" t="s">
        <v>1215</v>
      </c>
      <c r="X534" s="66" t="s">
        <v>1216</v>
      </c>
    </row>
    <row r="535" hidden="1" ht="27.75" customHeight="1" s="32" customFormat="1">
      <c r="A535" s="37"/>
      <c r="B535" s="31" t="s">
        <v>32</v>
      </c>
      <c r="C535" s="59" t="s">
        <v>1217</v>
      </c>
      <c r="D535" s="121" t="s">
        <v>30</v>
      </c>
      <c r="E535" s="57">
        <v>45748</v>
      </c>
      <c r="F535" s="38" t="str">
        <f>IF(C535&lt;&gt;"",VLOOKUP($C535,Carpetas!$C$5:$L$2060,2,FALSE),"")</f>
        <v>ECB016</v>
      </c>
      <c r="G535" s="38" t="s">
        <v>43</v>
      </c>
      <c r="H535" s="44">
        <f>IF(C535&lt;&gt;"",VLOOKUP($C535,Carpetas!$C$5:$L$2060,9,FALSE),"")</f>
        <v>1520606</v>
      </c>
      <c r="I535" s="51" t="str">
        <f>IF(C535&lt;&gt;"",VLOOKUP($C535,Carpetas!$C$5:$L$2060,5,FALSE),"")</f>
        <v>Andino</v>
      </c>
      <c r="J535" s="51"/>
      <c r="K535" s="50">
        <v>45764</v>
      </c>
      <c r="L535" s="39" t="str">
        <f>VLOOKUP($C535,Carpetas!$C$5:$L$2060,4,FALSE)</f>
        <v>Fray Bentos</v>
      </c>
      <c r="M535" s="55">
        <f t="shared" si="38"/>
        <v>45765</v>
      </c>
      <c r="N535" s="53">
        <f t="shared" si="39"/>
        <v>17</v>
      </c>
      <c r="O535" s="51">
        <v>4320</v>
      </c>
      <c r="P535" s="51"/>
      <c r="Q535" s="51">
        <v>4320</v>
      </c>
      <c r="R535" s="51">
        <v>80</v>
      </c>
      <c r="S535" s="51">
        <v>21</v>
      </c>
      <c r="T535" s="65"/>
      <c r="U535" s="65"/>
      <c r="V535" s="65" t="s">
        <v>89</v>
      </c>
      <c r="W535" s="51" t="s">
        <v>1218</v>
      </c>
      <c r="X535" s="66" t="s">
        <v>1219</v>
      </c>
    </row>
    <row r="536" hidden="1" ht="27.75" customHeight="1" s="32" customFormat="1">
      <c r="A536" s="37"/>
      <c r="B536" s="31" t="s">
        <v>32</v>
      </c>
      <c r="C536" s="59" t="s">
        <v>1220</v>
      </c>
      <c r="D536" s="121" t="s">
        <v>30</v>
      </c>
      <c r="E536" s="57">
        <v>45745</v>
      </c>
      <c r="F536" s="38" t="str">
        <f>IF(C536&lt;&gt;"",VLOOKUP($C536,Carpetas!$C$5:$L$2060,2,FALSE),"")</f>
        <v>COB006</v>
      </c>
      <c r="G536" s="38" t="s">
        <v>267</v>
      </c>
      <c r="H536" s="44">
        <f>IF(C536&lt;&gt;"",VLOOKUP($C536,Carpetas!$C$5:$L$2060,9,FALSE),"")</f>
        <v>0</v>
      </c>
      <c r="I536" s="51" t="str">
        <f>IF(C536&lt;&gt;"",VLOOKUP($C536,Carpetas!$C$5:$L$2060,5,FALSE),"")</f>
        <v>Andino</v>
      </c>
      <c r="J536" s="51"/>
      <c r="K536" s="50">
        <v>45768</v>
      </c>
      <c r="L536" s="39" t="str">
        <f>VLOOKUP($C536,Carpetas!$C$5:$L$2060,4,FALSE)</f>
        <v>Fray Bentos</v>
      </c>
      <c r="M536" s="55">
        <f t="shared" si="38"/>
        <v>45769</v>
      </c>
      <c r="N536" s="53">
        <f t="shared" si="39"/>
        <v>24</v>
      </c>
      <c r="O536" s="51">
        <v>1080</v>
      </c>
      <c r="P536" s="51"/>
      <c r="Q536" s="51">
        <v>1080</v>
      </c>
      <c r="R536" s="51">
        <v>20</v>
      </c>
      <c r="S536" s="51">
        <v>20</v>
      </c>
      <c r="T536" s="65"/>
      <c r="U536" s="65"/>
      <c r="V536" s="65" t="s">
        <v>690</v>
      </c>
      <c r="W536" s="51" t="s">
        <v>1053</v>
      </c>
      <c r="X536" s="66" t="s">
        <v>1221</v>
      </c>
    </row>
    <row r="537" hidden="1" ht="27.75" customHeight="1" s="32" customFormat="1">
      <c r="A537" s="37"/>
      <c r="B537" s="31" t="s">
        <v>32</v>
      </c>
      <c r="C537" s="59" t="s">
        <v>1222</v>
      </c>
      <c r="D537" s="121" t="s">
        <v>432</v>
      </c>
      <c r="E537" s="57">
        <v>45765</v>
      </c>
      <c r="F537" s="38" t="str">
        <f>IF(C537&lt;&gt;"",VLOOKUP($C537,Carpetas!$C$5:$L$2060,2,FALSE),"")</f>
        <v>CLK003</v>
      </c>
      <c r="G537" s="38" t="s">
        <v>35</v>
      </c>
      <c r="H537" s="44">
        <f>IF(C537&lt;&gt;"",VLOOKUP($C537,Carpetas!$C$5:$L$2060,9,FALSE),"")</f>
        <v>0</v>
      </c>
      <c r="I537" s="51" t="str">
        <f>IF(C537&lt;&gt;"",VLOOKUP($C537,Carpetas!$C$5:$L$2060,5,FALSE),"")</f>
        <v>Nihuil</v>
      </c>
      <c r="J537" s="51"/>
      <c r="K537" s="50">
        <v>45769</v>
      </c>
      <c r="L537" s="39" t="str">
        <f>VLOOKUP($C537,Carpetas!$C$5:$L$2060,4,FALSE)</f>
        <v>Fray Bentos</v>
      </c>
      <c r="M537" s="55">
        <f t="shared" si="38"/>
        <v>45770</v>
      </c>
      <c r="N537" s="53">
        <f t="shared" si="39"/>
        <v>5</v>
      </c>
      <c r="O537" s="51">
        <v>2288</v>
      </c>
      <c r="P537" s="51"/>
      <c r="Q537" s="51">
        <v>2288</v>
      </c>
      <c r="R537" s="51">
        <v>22</v>
      </c>
      <c r="S537" s="51">
        <v>10</v>
      </c>
      <c r="T537" s="65"/>
      <c r="U537" s="65"/>
      <c r="V537" s="65" t="s">
        <v>432</v>
      </c>
      <c r="W537" s="51" t="s">
        <v>1223</v>
      </c>
      <c r="X537" s="66" t="s">
        <v>1224</v>
      </c>
    </row>
    <row r="538" hidden="1" ht="27.75" customHeight="1" s="32" customFormat="1">
      <c r="A538" s="37"/>
      <c r="B538" s="31" t="s">
        <v>32</v>
      </c>
      <c r="C538" s="59" t="s">
        <v>1225</v>
      </c>
      <c r="D538" s="121" t="s">
        <v>48</v>
      </c>
      <c r="E538" s="57">
        <v>45765</v>
      </c>
      <c r="F538" s="38" t="str">
        <f>IF(C538&lt;&gt;"",VLOOKUP($C538,Carpetas!$C$5:$L$2060,2,FALSE),"")</f>
        <v>PEP005</v>
      </c>
      <c r="G538" s="38" t="s">
        <v>216</v>
      </c>
      <c r="H538" s="44">
        <f>IF(C538&lt;&gt;"",VLOOKUP($C538,Carpetas!$C$5:$L$2060,9,FALSE),"")</f>
        <v>0</v>
      </c>
      <c r="I538" s="51" t="str">
        <f>IF(C538&lt;&gt;"",VLOOKUP($C538,Carpetas!$C$5:$L$2060,5,FALSE),"")</f>
        <v>Andino</v>
      </c>
      <c r="J538" s="51"/>
      <c r="K538" s="50">
        <f>E538+5</f>
        <v>45770</v>
      </c>
      <c r="L538" s="39" t="str">
        <f>VLOOKUP($C538,Carpetas!$C$5:$L$2060,4,FALSE)</f>
        <v>Fray Bentos</v>
      </c>
      <c r="M538" s="55">
        <f t="shared" si="38"/>
        <v>45771</v>
      </c>
      <c r="N538" s="53">
        <f t="shared" si="39"/>
        <v>6</v>
      </c>
      <c r="O538" s="51">
        <v>1920</v>
      </c>
      <c r="P538" s="51"/>
      <c r="Q538" s="51">
        <v>1920</v>
      </c>
      <c r="R538" s="51">
        <v>20</v>
      </c>
      <c r="S538" s="51">
        <v>12</v>
      </c>
      <c r="T538" s="65"/>
      <c r="U538" s="65"/>
      <c r="V538" s="65" t="s">
        <v>486</v>
      </c>
      <c r="W538" s="51" t="s">
        <v>101</v>
      </c>
      <c r="X538" s="66" t="s">
        <v>1226</v>
      </c>
    </row>
    <row r="539" hidden="1" ht="15.75" customHeight="1" s="32" customFormat="1">
      <c r="A539" s="37"/>
      <c r="B539" s="31" t="s">
        <v>32</v>
      </c>
      <c r="C539" s="59" t="s">
        <v>1227</v>
      </c>
      <c r="D539" s="121" t="s">
        <v>48</v>
      </c>
      <c r="E539" s="57">
        <v>45765</v>
      </c>
      <c r="F539" s="38" t="str">
        <f>IF(C539&lt;&gt;"",VLOOKUP($C539,Carpetas!$C$5:$L$2060,2,FALSE),"")</f>
        <v>PEP006</v>
      </c>
      <c r="G539" s="38" t="s">
        <v>216</v>
      </c>
      <c r="H539" s="44">
        <f>IF(C539&lt;&gt;"",VLOOKUP($C539,Carpetas!$C$5:$L$2060,9,FALSE),"")</f>
        <v>0</v>
      </c>
      <c r="I539" s="51" t="str">
        <f>IF(C539&lt;&gt;"",VLOOKUP($C539,Carpetas!$C$5:$L$2060,5,FALSE),"")</f>
        <v>Andino</v>
      </c>
      <c r="J539" s="51"/>
      <c r="K539" s="50">
        <f>E539+5</f>
        <v>45770</v>
      </c>
      <c r="L539" s="39" t="str">
        <f>VLOOKUP($C539,Carpetas!$C$5:$L$2060,4,FALSE)</f>
        <v>Fray Bentos</v>
      </c>
      <c r="M539" s="55">
        <f t="shared" si="38"/>
        <v>45771</v>
      </c>
      <c r="N539" s="53">
        <f t="shared" si="39"/>
        <v>6</v>
      </c>
      <c r="O539" s="51">
        <v>1920</v>
      </c>
      <c r="P539" s="51"/>
      <c r="Q539" s="51">
        <v>1920</v>
      </c>
      <c r="R539" s="51">
        <v>20</v>
      </c>
      <c r="S539" s="51">
        <v>12</v>
      </c>
      <c r="T539" s="65"/>
      <c r="U539" s="65"/>
      <c r="V539" s="65" t="s">
        <v>486</v>
      </c>
      <c r="W539" s="51" t="s">
        <v>318</v>
      </c>
      <c r="X539" s="66" t="s">
        <v>1228</v>
      </c>
    </row>
    <row r="540" hidden="1" ht="27.75" customHeight="1" s="32" customFormat="1">
      <c r="A540" s="37"/>
      <c r="B540" s="31" t="s">
        <v>32</v>
      </c>
      <c r="C540" s="59" t="s">
        <v>1229</v>
      </c>
      <c r="D540" s="121" t="s">
        <v>30</v>
      </c>
      <c r="E540" s="57">
        <v>45754</v>
      </c>
      <c r="F540" s="38" t="str">
        <f>IF(C540&lt;&gt;"",VLOOKUP($C540,Carpetas!$C$5:$L$2060,2,FALSE),"")</f>
        <v>ECE024</v>
      </c>
      <c r="G540" s="38" t="s">
        <v>43</v>
      </c>
      <c r="H540" s="44">
        <f>IF(C540&lt;&gt;"",VLOOKUP($C540,Carpetas!$C$5:$L$2060,9,FALSE),"")</f>
        <v>1411463</v>
      </c>
      <c r="I540" s="51" t="str">
        <f>IF(C540&lt;&gt;"",VLOOKUP($C540,Carpetas!$C$5:$L$2060,5,FALSE),"")</f>
        <v>Andino</v>
      </c>
      <c r="J540" s="51"/>
      <c r="K540" s="50">
        <v>45771</v>
      </c>
      <c r="L540" s="39" t="str">
        <f>VLOOKUP($C540,Carpetas!$C$5:$L$2060,4,FALSE)</f>
        <v>Fray Bentos</v>
      </c>
      <c r="M540" s="55">
        <f t="shared" si="38"/>
        <v>45772</v>
      </c>
      <c r="N540" s="53">
        <f t="shared" si="39"/>
        <v>18</v>
      </c>
      <c r="O540" s="51">
        <v>1128</v>
      </c>
      <c r="P540" s="51"/>
      <c r="Q540" s="51">
        <v>1112</v>
      </c>
      <c r="R540" s="51">
        <v>20</v>
      </c>
      <c r="S540" s="51">
        <v>20</v>
      </c>
      <c r="T540" s="65"/>
      <c r="U540" s="65"/>
      <c r="V540" s="65" t="s">
        <v>187</v>
      </c>
      <c r="W540" s="51" t="s">
        <v>97</v>
      </c>
      <c r="X540" s="66" t="s">
        <v>1230</v>
      </c>
    </row>
    <row r="541" hidden="1" ht="27.75" customHeight="1" s="32" customFormat="1">
      <c r="A541" s="37"/>
      <c r="B541" s="31" t="s">
        <v>32</v>
      </c>
      <c r="C541" s="59" t="s">
        <v>1231</v>
      </c>
      <c r="D541" s="121" t="s">
        <v>30</v>
      </c>
      <c r="E541" s="57">
        <v>45754</v>
      </c>
      <c r="F541" s="38" t="str">
        <f>IF(C541&lt;&gt;"",VLOOKUP($C541,Carpetas!$C$5:$L$2060,2,FALSE),"")</f>
        <v>ECB017</v>
      </c>
      <c r="G541" s="38" t="s">
        <v>43</v>
      </c>
      <c r="H541" s="44">
        <f>IF(C541&lt;&gt;"",VLOOKUP($C541,Carpetas!$C$5:$L$2060,9,FALSE),"")</f>
        <v>1521464</v>
      </c>
      <c r="I541" s="51" t="str">
        <f>IF(C541&lt;&gt;"",VLOOKUP($C541,Carpetas!$C$5:$L$2060,5,FALSE),"")</f>
        <v>Andino</v>
      </c>
      <c r="J541" s="51"/>
      <c r="K541" s="50">
        <v>45771</v>
      </c>
      <c r="L541" s="39" t="str">
        <f>VLOOKUP($C541,Carpetas!$C$5:$L$2060,4,FALSE)</f>
        <v>Fray Bentos</v>
      </c>
      <c r="M541" s="55">
        <f t="shared" si="38"/>
        <v>45772</v>
      </c>
      <c r="N541" s="53">
        <f t="shared" si="39"/>
        <v>18</v>
      </c>
      <c r="O541" s="51">
        <v>4320</v>
      </c>
      <c r="P541" s="51"/>
      <c r="Q541" s="51">
        <v>4320</v>
      </c>
      <c r="R541" s="51">
        <v>80</v>
      </c>
      <c r="S541" s="51">
        <v>20</v>
      </c>
      <c r="T541" s="65"/>
      <c r="U541" s="65"/>
      <c r="V541" s="65" t="s">
        <v>55</v>
      </c>
      <c r="W541" s="51" t="s">
        <v>1232</v>
      </c>
      <c r="X541" s="66" t="s">
        <v>1233</v>
      </c>
    </row>
    <row r="542" hidden="1" ht="27.75" customHeight="1" s="32" customFormat="1">
      <c r="A542" s="37"/>
      <c r="B542" s="31" t="s">
        <v>32</v>
      </c>
      <c r="C542" s="59" t="s">
        <v>1234</v>
      </c>
      <c r="D542" s="121" t="s">
        <v>30</v>
      </c>
      <c r="E542" s="57">
        <v>45754</v>
      </c>
      <c r="F542" s="38" t="str">
        <f>IF(C542&lt;&gt;"",VLOOKUP($C542,Carpetas!$C$5:$L$2060,2,FALSE),"")</f>
        <v>ECE023</v>
      </c>
      <c r="G542" s="38" t="s">
        <v>43</v>
      </c>
      <c r="H542" s="44">
        <f>IF(C542&lt;&gt;"",VLOOKUP($C542,Carpetas!$C$5:$L$2060,9,FALSE),"")</f>
        <v>1511463</v>
      </c>
      <c r="I542" s="51" t="str">
        <f>IF(C542&lt;&gt;"",VLOOKUP($C542,Carpetas!$C$5:$L$2060,5,FALSE),"")</f>
        <v>Andino</v>
      </c>
      <c r="J542" s="51"/>
      <c r="K542" s="50">
        <v>45771</v>
      </c>
      <c r="L542" s="39" t="str">
        <f>VLOOKUP($C542,Carpetas!$C$5:$L$2060,4,FALSE)</f>
        <v>Fray Bentos</v>
      </c>
      <c r="M542" s="55">
        <f t="shared" si="38"/>
        <v>45772</v>
      </c>
      <c r="N542" s="53">
        <f t="shared" si="39"/>
        <v>18</v>
      </c>
      <c r="O542" s="51">
        <v>3240</v>
      </c>
      <c r="P542" s="51"/>
      <c r="Q542" s="51">
        <v>3240</v>
      </c>
      <c r="R542" s="51">
        <v>40</v>
      </c>
      <c r="S542" s="51">
        <v>20</v>
      </c>
      <c r="T542" s="65"/>
      <c r="U542" s="65"/>
      <c r="V542" s="65" t="s">
        <v>60</v>
      </c>
      <c r="W542" s="51" t="s">
        <v>1235</v>
      </c>
      <c r="X542" s="66" t="s">
        <v>1236</v>
      </c>
    </row>
    <row r="543" hidden="1" ht="27.75" customHeight="1" s="32" customFormat="1">
      <c r="A543" s="37"/>
      <c r="B543" s="31" t="s">
        <v>288</v>
      </c>
      <c r="C543" s="59" t="s">
        <v>1237</v>
      </c>
      <c r="D543" s="57" t="s">
        <v>34</v>
      </c>
      <c r="E543" s="57">
        <v>45766</v>
      </c>
      <c r="F543" s="38" t="str">
        <f>IF(C543&lt;&gt;"",VLOOKUP($C543,Carpetas!$C$5:$L$2060,2,FALSE),"")</f>
        <v>PEA002</v>
      </c>
      <c r="G543" s="38" t="s">
        <v>216</v>
      </c>
      <c r="H543" s="44">
        <f>IF(C543&lt;&gt;"",VLOOKUP($C543,Carpetas!$C$5:$L$2060,9,FALSE),"")</f>
        <v>1521238</v>
      </c>
      <c r="I543" s="51" t="str">
        <f>IF(C543&lt;&gt;"",VLOOKUP($C543,Carpetas!$C$5:$L$2060,5,FALSE),"")</f>
        <v>Andino</v>
      </c>
      <c r="J543" s="51"/>
      <c r="K543" s="50">
        <v>45773</v>
      </c>
      <c r="L543" s="39" t="str">
        <f>VLOOKUP($C543,Carpetas!$C$5:$L$2060,4,FALSE)</f>
        <v>Fray Bentos</v>
      </c>
      <c r="M543" s="55">
        <f t="shared" si="38"/>
        <v>45774</v>
      </c>
      <c r="N543" s="53">
        <f t="shared" si="39"/>
        <v>8</v>
      </c>
      <c r="O543" s="51">
        <v>7800</v>
      </c>
      <c r="P543" s="51"/>
      <c r="Q543" s="51"/>
      <c r="R543" s="51"/>
      <c r="S543" s="51"/>
      <c r="T543" s="65"/>
      <c r="U543" s="65"/>
      <c r="V543" s="65"/>
      <c r="W543" s="51"/>
      <c r="X543" s="66"/>
    </row>
    <row r="544" hidden="1" ht="27.75" customHeight="1" s="32" customFormat="1">
      <c r="A544" s="37"/>
      <c r="B544" s="31" t="s">
        <v>32</v>
      </c>
      <c r="C544" s="59" t="s">
        <v>1238</v>
      </c>
      <c r="D544" s="121" t="s">
        <v>30</v>
      </c>
      <c r="E544" s="57">
        <v>45766</v>
      </c>
      <c r="F544" s="38" t="str">
        <f>IF(C544&lt;&gt;"",VLOOKUP($C544,Carpetas!$C$5:$L$2060,2,FALSE),"")</f>
        <v>ECE026</v>
      </c>
      <c r="G544" s="38" t="s">
        <v>43</v>
      </c>
      <c r="H544" s="44">
        <f>IF(C544&lt;&gt;"",VLOOKUP($C544,Carpetas!$C$5:$L$2060,9,FALSE),"")</f>
        <v>1521908</v>
      </c>
      <c r="I544" s="51" t="str">
        <f>IF(C544&lt;&gt;"",VLOOKUP($C544,Carpetas!$C$5:$L$2060,5,FALSE),"")</f>
        <v>Andino</v>
      </c>
      <c r="J544" s="51"/>
      <c r="K544" s="50">
        <v>45779</v>
      </c>
      <c r="L544" s="39" t="str">
        <f>VLOOKUP($C544,Carpetas!$C$5:$L$2060,4,FALSE)</f>
        <v>Fray Bentos</v>
      </c>
      <c r="M544" s="55">
        <f t="shared" si="38"/>
        <v>45780</v>
      </c>
      <c r="N544" s="53">
        <f t="shared" si="39"/>
        <v>14</v>
      </c>
      <c r="O544" s="51">
        <v>1112</v>
      </c>
      <c r="P544" s="51"/>
      <c r="Q544" s="51">
        <v>1112</v>
      </c>
      <c r="R544" s="51">
        <v>20</v>
      </c>
      <c r="S544" s="51">
        <v>21</v>
      </c>
      <c r="T544" s="65"/>
      <c r="U544" s="65"/>
      <c r="V544" s="65" t="s">
        <v>187</v>
      </c>
      <c r="W544" s="123" t="s">
        <v>94</v>
      </c>
      <c r="X544" s="132" t="s">
        <v>1239</v>
      </c>
    </row>
    <row r="545" hidden="1" ht="27.75" customHeight="1" s="32" customFormat="1">
      <c r="A545" s="37"/>
      <c r="B545" s="31" t="s">
        <v>32</v>
      </c>
      <c r="C545" s="59" t="s">
        <v>1240</v>
      </c>
      <c r="D545" s="121" t="s">
        <v>30</v>
      </c>
      <c r="E545" s="57">
        <v>45754</v>
      </c>
      <c r="F545" s="38" t="str">
        <f>IF(C545&lt;&gt;"",VLOOKUP($C545,Carpetas!$C$5:$L$2060,2,FALSE),"")</f>
        <v>COB007</v>
      </c>
      <c r="G545" s="38" t="s">
        <v>43</v>
      </c>
      <c r="H545" s="44">
        <f>IF(C545&lt;&gt;"",VLOOKUP($C545,Carpetas!$C$5:$L$2060,9,FALSE),"")</f>
        <v>1520051</v>
      </c>
      <c r="I545" s="51" t="str">
        <f>IF(C545&lt;&gt;"",VLOOKUP($C545,Carpetas!$C$5:$L$2060,5,FALSE),"")</f>
        <v>Andino</v>
      </c>
      <c r="J545" s="51"/>
      <c r="K545" s="50">
        <v>45779</v>
      </c>
      <c r="L545" s="39" t="str">
        <f>VLOOKUP($C545,Carpetas!$C$5:$L$2060,4,FALSE)</f>
        <v>Fray Bentos</v>
      </c>
      <c r="M545" s="55">
        <f t="shared" si="38"/>
        <v>45780</v>
      </c>
      <c r="N545" s="53">
        <f t="shared" si="39"/>
        <v>26</v>
      </c>
      <c r="O545" s="51">
        <v>1080</v>
      </c>
      <c r="P545" s="51"/>
      <c r="Q545" s="51">
        <v>1059</v>
      </c>
      <c r="R545" s="51">
        <v>20</v>
      </c>
      <c r="S545" s="51">
        <v>21</v>
      </c>
      <c r="T545" s="65"/>
      <c r="U545" s="65"/>
      <c r="V545" s="65" t="s">
        <v>690</v>
      </c>
      <c r="W545" s="51" t="s">
        <v>318</v>
      </c>
      <c r="X545" s="66" t="s">
        <v>1241</v>
      </c>
    </row>
    <row r="546" hidden="1" ht="15.75" customHeight="1" s="32" customFormat="1">
      <c r="A546" s="37"/>
      <c r="B546" s="31" t="s">
        <v>32</v>
      </c>
      <c r="C546" s="59" t="s">
        <v>1242</v>
      </c>
      <c r="D546" s="121" t="s">
        <v>42</v>
      </c>
      <c r="E546" s="57">
        <v>45762</v>
      </c>
      <c r="F546" s="38" t="str">
        <f>IF(C546&lt;&gt;"",VLOOKUP($C546,Carpetas!$C$5:$L$2060,2,FALSE),"")</f>
        <v>ECA012</v>
      </c>
      <c r="G546" s="38" t="s">
        <v>43</v>
      </c>
      <c r="H546" s="44">
        <f>IF(C546&lt;&gt;"",VLOOKUP($C546,Carpetas!$C$5:$L$2060,9,FALSE),"")</f>
        <v>1521906</v>
      </c>
      <c r="I546" s="51" t="str">
        <f>IF(C546&lt;&gt;"",VLOOKUP($C546,Carpetas!$C$5:$L$2060,5,FALSE),"")</f>
        <v>Andino</v>
      </c>
      <c r="J546" s="51"/>
      <c r="K546" s="50">
        <v>45779</v>
      </c>
      <c r="L546" s="39" t="str">
        <f>VLOOKUP($C546,Carpetas!$C$5:$L$2060,4,FALSE)</f>
        <v>Fray Bentos</v>
      </c>
      <c r="M546" s="55">
        <f t="shared" si="38"/>
        <v>45780</v>
      </c>
      <c r="N546" s="53">
        <f t="shared" si="39"/>
        <v>18</v>
      </c>
      <c r="O546" s="51">
        <v>1680</v>
      </c>
      <c r="P546" s="51"/>
      <c r="Q546" s="51"/>
      <c r="R546" s="51"/>
      <c r="S546" s="51"/>
      <c r="T546" s="65"/>
      <c r="U546" s="65"/>
      <c r="V546" s="65"/>
      <c r="W546" s="51"/>
      <c r="X546" s="66"/>
    </row>
    <row r="547" hidden="1" ht="27.75" customHeight="1" s="32" customFormat="1">
      <c r="A547" s="37"/>
      <c r="B547" s="31" t="s">
        <v>32</v>
      </c>
      <c r="C547" s="59" t="s">
        <v>1243</v>
      </c>
      <c r="D547" s="121" t="s">
        <v>30</v>
      </c>
      <c r="E547" s="57">
        <v>45762</v>
      </c>
      <c r="F547" s="38" t="str">
        <f>IF(C547&lt;&gt;"",VLOOKUP($C547,Carpetas!$C$5:$L$2060,2,FALSE),"")</f>
        <v>ECB018</v>
      </c>
      <c r="G547" s="38" t="s">
        <v>43</v>
      </c>
      <c r="H547" s="44">
        <f>IF(C547&lt;&gt;"",VLOOKUP($C547,Carpetas!$C$5:$L$2060,9,FALSE),"")</f>
        <v>1521907</v>
      </c>
      <c r="I547" s="51" t="str">
        <f>IF(C547&lt;&gt;"",VLOOKUP($C547,Carpetas!$C$5:$L$2060,5,FALSE),"")</f>
        <v>Andino</v>
      </c>
      <c r="J547" s="51"/>
      <c r="K547" s="50">
        <v>45779</v>
      </c>
      <c r="L547" s="39" t="str">
        <f>VLOOKUP($C547,Carpetas!$C$5:$L$2060,4,FALSE)</f>
        <v>Fray Bentos</v>
      </c>
      <c r="M547" s="55">
        <f t="shared" si="38"/>
        <v>45780</v>
      </c>
      <c r="N547" s="53">
        <f t="shared" si="39"/>
        <v>18</v>
      </c>
      <c r="O547" s="51">
        <v>3240</v>
      </c>
      <c r="P547" s="51"/>
      <c r="Q547" s="51">
        <v>3240</v>
      </c>
      <c r="R547" s="51">
        <v>60</v>
      </c>
      <c r="S547" s="51">
        <v>21</v>
      </c>
      <c r="T547" s="65"/>
      <c r="U547" s="65"/>
      <c r="V547" s="65" t="s">
        <v>55</v>
      </c>
      <c r="W547" s="51" t="s">
        <v>1244</v>
      </c>
      <c r="X547" s="66" t="s">
        <v>1245</v>
      </c>
    </row>
    <row r="548" hidden="1" ht="27.75" customHeight="1" s="32" customFormat="1">
      <c r="A548" s="37"/>
      <c r="B548" s="31" t="s">
        <v>32</v>
      </c>
      <c r="C548" s="59" t="s">
        <v>1246</v>
      </c>
      <c r="D548" s="121" t="s">
        <v>30</v>
      </c>
      <c r="E548" s="57">
        <v>45766</v>
      </c>
      <c r="F548" s="38" t="str">
        <f>IF(C548&lt;&gt;"",VLOOKUP($C548,Carpetas!$C$5:$L$2060,2,FALSE),"")</f>
        <v>ECE025</v>
      </c>
      <c r="G548" s="38" t="s">
        <v>43</v>
      </c>
      <c r="H548" s="44">
        <f>IF(C548&lt;&gt;"",VLOOKUP($C548,Carpetas!$C$5:$L$2060,9,FALSE),"")</f>
        <v>1521909</v>
      </c>
      <c r="I548" s="51" t="str">
        <f>IF(C548&lt;&gt;"",VLOOKUP($C548,Carpetas!$C$5:$L$2060,5,FALSE),"")</f>
        <v>Andino</v>
      </c>
      <c r="J548" s="51"/>
      <c r="K548" s="50">
        <v>45779</v>
      </c>
      <c r="L548" s="39" t="str">
        <f>VLOOKUP($C548,Carpetas!$C$5:$L$2060,4,FALSE)</f>
        <v>Fray Bentos</v>
      </c>
      <c r="M548" s="55">
        <f ref="M548:M565" t="shared" si="40">K548+1</f>
        <v>45780</v>
      </c>
      <c r="N548" s="53">
        <f t="shared" si="39"/>
        <v>14</v>
      </c>
      <c r="O548" s="51">
        <v>4320</v>
      </c>
      <c r="P548" s="51"/>
      <c r="Q548" s="51">
        <v>4320</v>
      </c>
      <c r="R548" s="51">
        <v>80</v>
      </c>
      <c r="S548" s="51">
        <v>21</v>
      </c>
      <c r="T548" s="65"/>
      <c r="U548" s="65"/>
      <c r="V548" s="65" t="s">
        <v>60</v>
      </c>
      <c r="W548" s="51" t="s">
        <v>1247</v>
      </c>
      <c r="X548" s="124" t="s">
        <v>1248</v>
      </c>
    </row>
    <row r="549" hidden="1" ht="27.75" customHeight="1" s="32" customFormat="1">
      <c r="A549" s="37"/>
      <c r="B549" s="31" t="s">
        <v>32</v>
      </c>
      <c r="C549" s="59" t="s">
        <v>1249</v>
      </c>
      <c r="D549" s="121" t="s">
        <v>30</v>
      </c>
      <c r="E549" s="57">
        <v>45769</v>
      </c>
      <c r="F549" s="38" t="str">
        <f>IF(C549&lt;&gt;"",VLOOKUP($C549,Carpetas!$C$5:$L$2060,2,FALSE),"")</f>
        <v>ECE028</v>
      </c>
      <c r="G549" s="38" t="s">
        <v>43</v>
      </c>
      <c r="H549" s="44">
        <f>IF(C549&lt;&gt;"",VLOOKUP($C549,Carpetas!$C$5:$L$2060,9,FALSE),"")</f>
        <v>1522697</v>
      </c>
      <c r="I549" s="51" t="str">
        <f>IF(C549&lt;&gt;"",VLOOKUP($C549,Carpetas!$C$5:$L$2060,5,FALSE),"")</f>
        <v>Andino</v>
      </c>
      <c r="J549" s="51"/>
      <c r="K549" s="50">
        <v>45785</v>
      </c>
      <c r="L549" s="39" t="str">
        <f>VLOOKUP($C549,Carpetas!$C$5:$L$2060,4,FALSE)</f>
        <v>Fray Bentos</v>
      </c>
      <c r="M549" s="55">
        <f t="shared" si="40"/>
        <v>45786</v>
      </c>
      <c r="N549" s="53"/>
      <c r="O549" s="51">
        <v>1112</v>
      </c>
      <c r="P549" s="51"/>
      <c r="Q549" s="51">
        <v>1112</v>
      </c>
      <c r="R549" s="51">
        <v>20</v>
      </c>
      <c r="S549" s="51">
        <v>21</v>
      </c>
      <c r="T549" s="65"/>
      <c r="U549" s="65"/>
      <c r="V549" s="65" t="s">
        <v>1250</v>
      </c>
      <c r="W549" s="51"/>
      <c r="X549" s="66" t="s">
        <v>1251</v>
      </c>
    </row>
    <row r="550" hidden="1" ht="15.75" customHeight="1" s="32" customFormat="1">
      <c r="A550" s="37"/>
      <c r="B550" s="31" t="s">
        <v>32</v>
      </c>
      <c r="C550" s="59" t="s">
        <v>1252</v>
      </c>
      <c r="D550" s="121" t="s">
        <v>30</v>
      </c>
      <c r="E550" s="57">
        <v>45769</v>
      </c>
      <c r="F550" s="38" t="str">
        <f>IF(C550&lt;&gt;"",VLOOKUP($C550,Carpetas!$C$5:$L$2060,2,FALSE),"")</f>
        <v>ECE027</v>
      </c>
      <c r="G550" s="38" t="s">
        <v>43</v>
      </c>
      <c r="H550" s="44">
        <f>IF(C550&lt;&gt;"",VLOOKUP($C550,Carpetas!$C$5:$L$2060,9,FALSE),"")</f>
        <v>1522696</v>
      </c>
      <c r="I550" s="51" t="str">
        <f>IF(C550&lt;&gt;"",VLOOKUP($C550,Carpetas!$C$5:$L$2060,5,FALSE),"")</f>
        <v>Andino</v>
      </c>
      <c r="J550" s="51"/>
      <c r="K550" s="50">
        <v>45785</v>
      </c>
      <c r="L550" s="39" t="str">
        <f>VLOOKUP($C550,Carpetas!$C$5:$L$2060,4,FALSE)</f>
        <v>Fray Bentos</v>
      </c>
      <c r="M550" s="55">
        <f t="shared" si="40"/>
        <v>45786</v>
      </c>
      <c r="N550" s="53">
        <f>IF(M550&lt;&gt;"",M550-E550,"-")</f>
        <v>17</v>
      </c>
      <c r="O550" s="51">
        <v>3240</v>
      </c>
      <c r="P550" s="51"/>
      <c r="Q550" s="51">
        <v>3240</v>
      </c>
      <c r="R550" s="51">
        <v>60</v>
      </c>
      <c r="S550" s="51">
        <v>21</v>
      </c>
      <c r="T550" s="65"/>
      <c r="U550" s="65"/>
      <c r="V550" s="65" t="s">
        <v>60</v>
      </c>
      <c r="W550" s="51" t="s">
        <v>1253</v>
      </c>
      <c r="X550" s="66" t="s">
        <v>1254</v>
      </c>
    </row>
    <row r="551" hidden="1" ht="27.75" customHeight="1" s="32" customFormat="1">
      <c r="A551" s="37"/>
      <c r="B551" s="31" t="s">
        <v>32</v>
      </c>
      <c r="C551" s="59" t="s">
        <v>1255</v>
      </c>
      <c r="D551" s="121" t="s">
        <v>30</v>
      </c>
      <c r="E551" s="57">
        <v>45769</v>
      </c>
      <c r="F551" s="38" t="str">
        <f>IF(C551&lt;&gt;"",VLOOKUP($C551,Carpetas!$C$5:$L$2060,2,FALSE),"")</f>
        <v>ECB019</v>
      </c>
      <c r="G551" s="38" t="s">
        <v>43</v>
      </c>
      <c r="H551" s="44">
        <f>IF(C551&lt;&gt;"",VLOOKUP($C551,Carpetas!$C$5:$L$2060,9,FALSE),"")</f>
        <v>1522695</v>
      </c>
      <c r="I551" s="51" t="str">
        <f>IF(C551&lt;&gt;"",VLOOKUP($C551,Carpetas!$C$5:$L$2060,5,FALSE),"")</f>
        <v>Andino</v>
      </c>
      <c r="J551" s="51"/>
      <c r="K551" s="50">
        <v>45785</v>
      </c>
      <c r="L551" s="39" t="str">
        <f>VLOOKUP($C551,Carpetas!$C$5:$L$2060,4,FALSE)</f>
        <v>Fray Bentos</v>
      </c>
      <c r="M551" s="55">
        <f t="shared" si="40"/>
        <v>45786</v>
      </c>
      <c r="N551" s="53">
        <f>IF(M551&lt;&gt;"",M551-E551,"-")</f>
        <v>17</v>
      </c>
      <c r="O551" s="51">
        <v>4320</v>
      </c>
      <c r="P551" s="51"/>
      <c r="Q551" s="51">
        <v>4320</v>
      </c>
      <c r="R551" s="51">
        <v>80</v>
      </c>
      <c r="S551" s="51">
        <v>21</v>
      </c>
      <c r="T551" s="65"/>
      <c r="U551" s="65"/>
      <c r="V551" s="65" t="s">
        <v>55</v>
      </c>
      <c r="W551" s="51" t="s">
        <v>1256</v>
      </c>
      <c r="X551" s="66" t="s">
        <v>1257</v>
      </c>
    </row>
    <row r="552" hidden="1" ht="27.75" customHeight="1" s="32" customFormat="1">
      <c r="A552" s="37"/>
      <c r="B552" s="31" t="s">
        <v>32</v>
      </c>
      <c r="C552" s="59" t="s">
        <v>1258</v>
      </c>
      <c r="D552" s="121" t="s">
        <v>432</v>
      </c>
      <c r="E552" s="57">
        <v>45786</v>
      </c>
      <c r="F552" s="38" t="str">
        <f>IF(C552&lt;&gt;"",VLOOKUP($C552,Carpetas!$C$5:$L$2060,2,FALSE),"")</f>
        <v>CLK004</v>
      </c>
      <c r="G552" s="38" t="s">
        <v>35</v>
      </c>
      <c r="H552" s="44">
        <f>IF(C552&lt;&gt;"",VLOOKUP($C552,Carpetas!$C$5:$L$2060,9,FALSE),"")</f>
        <v>0</v>
      </c>
      <c r="I552" s="51" t="str">
        <f>IF(C552&lt;&gt;"",VLOOKUP($C552,Carpetas!$C$5:$L$2060,5,FALSE),"")</f>
        <v>Sarla Y Ramón</v>
      </c>
      <c r="J552" s="51"/>
      <c r="K552" s="50">
        <v>45790</v>
      </c>
      <c r="L552" s="39" t="str">
        <f>VLOOKUP($C552,Carpetas!$C$5:$L$2060,4,FALSE)</f>
        <v>Fray Bentos</v>
      </c>
      <c r="M552" s="55">
        <f t="shared" si="40"/>
        <v>45791</v>
      </c>
      <c r="N552" s="53">
        <f>IF(M552&lt;&gt;"",M552-E552,"-")</f>
        <v>5</v>
      </c>
      <c r="O552" s="51">
        <v>2288</v>
      </c>
      <c r="P552" s="51"/>
      <c r="Q552" s="51">
        <v>2288</v>
      </c>
      <c r="R552" s="51">
        <v>20</v>
      </c>
      <c r="S552" s="51"/>
      <c r="T552" s="65"/>
      <c r="U552" s="65"/>
      <c r="V552" s="65"/>
      <c r="W552" s="51" t="s">
        <v>1016</v>
      </c>
      <c r="X552" s="66" t="s">
        <v>1259</v>
      </c>
    </row>
    <row r="553" hidden="1" ht="27.75" customHeight="1" s="32" customFormat="1">
      <c r="A553" s="37"/>
      <c r="B553" s="31" t="s">
        <v>32</v>
      </c>
      <c r="C553" s="59" t="s">
        <v>1260</v>
      </c>
      <c r="D553" s="121" t="s">
        <v>30</v>
      </c>
      <c r="E553" s="57">
        <v>45776</v>
      </c>
      <c r="F553" s="38" t="str">
        <f>IF(C553&lt;&gt;"",VLOOKUP($C553,Carpetas!$C$5:$L$2060,2,FALSE),"")</f>
        <v>ECE029</v>
      </c>
      <c r="G553" s="38" t="s">
        <v>43</v>
      </c>
      <c r="H553" s="44">
        <f>IF(C553&lt;&gt;"",VLOOKUP($C553,Carpetas!$C$5:$L$2060,9,FALSE),"")</f>
        <v>1522953</v>
      </c>
      <c r="I553" s="51" t="str">
        <f>IF(C553&lt;&gt;"",VLOOKUP($C553,Carpetas!$C$5:$L$2060,5,FALSE),"")</f>
        <v>Andino</v>
      </c>
      <c r="J553" s="51"/>
      <c r="K553" s="50">
        <v>45792</v>
      </c>
      <c r="L553" s="39" t="str">
        <f>VLOOKUP($C553,Carpetas!$C$5:$L$2060,4,FALSE)</f>
        <v>Fray Bentos</v>
      </c>
      <c r="M553" s="55">
        <f t="shared" si="40"/>
        <v>45793</v>
      </c>
      <c r="N553" s="53"/>
      <c r="O553" s="51">
        <v>1144</v>
      </c>
      <c r="P553" s="51"/>
      <c r="Q553" s="51">
        <v>1144</v>
      </c>
      <c r="R553" s="51">
        <v>20</v>
      </c>
      <c r="S553" s="51">
        <v>21</v>
      </c>
      <c r="T553" s="65"/>
      <c r="U553" s="65"/>
      <c r="V553" s="65" t="s">
        <v>1129</v>
      </c>
      <c r="W553" s="51" t="s">
        <v>1261</v>
      </c>
      <c r="X553" s="66" t="s">
        <v>1262</v>
      </c>
    </row>
    <row r="554" hidden="1" ht="27.75" customHeight="1" s="32" customFormat="1">
      <c r="A554" s="37"/>
      <c r="B554" s="31" t="s">
        <v>32</v>
      </c>
      <c r="C554" s="59" t="s">
        <v>1263</v>
      </c>
      <c r="D554" s="121" t="s">
        <v>30</v>
      </c>
      <c r="E554" s="57">
        <v>45776</v>
      </c>
      <c r="F554" s="38" t="str">
        <f>IF(C554&lt;&gt;"",VLOOKUP($C554,Carpetas!$C$5:$L$2060,2,FALSE),"")</f>
        <v>ECB020</v>
      </c>
      <c r="G554" s="38" t="s">
        <v>43</v>
      </c>
      <c r="H554" s="44">
        <f>IF(C554&lt;&gt;"",VLOOKUP($C554,Carpetas!$C$5:$L$2060,9,FALSE),"")</f>
        <v>1522952</v>
      </c>
      <c r="I554" s="51" t="str">
        <f>IF(C554&lt;&gt;"",VLOOKUP($C554,Carpetas!$C$5:$L$2060,5,FALSE),"")</f>
        <v>Andino</v>
      </c>
      <c r="J554" s="51"/>
      <c r="K554" s="50">
        <v>45793</v>
      </c>
      <c r="L554" s="39" t="str">
        <f>VLOOKUP($C554,Carpetas!$C$5:$L$2060,4,FALSE)</f>
        <v>Fray Bentos</v>
      </c>
      <c r="M554" s="55">
        <f t="shared" si="40"/>
        <v>45794</v>
      </c>
      <c r="N554" s="53"/>
      <c r="O554" s="51">
        <v>4320</v>
      </c>
      <c r="P554" s="51"/>
      <c r="Q554" s="51">
        <v>4320</v>
      </c>
      <c r="R554" s="51">
        <v>80</v>
      </c>
      <c r="S554" s="51">
        <v>21</v>
      </c>
      <c r="T554" s="65"/>
      <c r="U554" s="65"/>
      <c r="V554" s="65" t="s">
        <v>55</v>
      </c>
      <c r="W554" s="51" t="s">
        <v>1264</v>
      </c>
      <c r="X554" s="66" t="s">
        <v>1265</v>
      </c>
    </row>
    <row r="555" hidden="1" ht="15.75" customHeight="1" s="32" customFormat="1">
      <c r="A555" s="37"/>
      <c r="B555" s="31" t="s">
        <v>32</v>
      </c>
      <c r="C555" s="59" t="s">
        <v>1266</v>
      </c>
      <c r="D555" s="121" t="s">
        <v>30</v>
      </c>
      <c r="E555" s="57">
        <v>45768</v>
      </c>
      <c r="F555" s="38" t="str">
        <f>IF(C555&lt;&gt;"",VLOOKUP($C555,Carpetas!$C$5:$L$2060,2,FALSE),"")</f>
        <v>COB008</v>
      </c>
      <c r="G555" s="38" t="s">
        <v>43</v>
      </c>
      <c r="H555" s="44" t="str">
        <f>IF(C555&lt;&gt;"",VLOOKUP($C555,Carpetas!$C$5:$L$2060,9,FALSE),"")</f>
        <v>xx</v>
      </c>
      <c r="I555" s="51" t="str">
        <f>IF(C555&lt;&gt;"",VLOOKUP($C555,Carpetas!$C$5:$L$2060,5,FALSE),"")</f>
        <v>Andino</v>
      </c>
      <c r="J555" s="51"/>
      <c r="K555" s="50">
        <v>45796</v>
      </c>
      <c r="L555" s="39" t="str">
        <f>VLOOKUP($C555,Carpetas!$C$5:$L$2060,4,FALSE)</f>
        <v>Fray Bentos</v>
      </c>
      <c r="M555" s="55">
        <f t="shared" si="40"/>
        <v>45797</v>
      </c>
      <c r="N555" s="53"/>
      <c r="O555" s="51">
        <v>1080</v>
      </c>
      <c r="P555" s="51"/>
      <c r="Q555" s="51">
        <v>1080</v>
      </c>
      <c r="R555" s="51">
        <v>20</v>
      </c>
      <c r="S555" s="51">
        <v>20</v>
      </c>
      <c r="T555" s="65"/>
      <c r="U555" s="65"/>
      <c r="V555" s="65" t="s">
        <v>268</v>
      </c>
      <c r="W555" s="51" t="s">
        <v>233</v>
      </c>
      <c r="X555" s="66" t="s">
        <v>1267</v>
      </c>
    </row>
    <row r="556" hidden="1" ht="27.75" customHeight="1" s="32" customFormat="1">
      <c r="A556" s="37"/>
      <c r="B556" s="31" t="s">
        <v>32</v>
      </c>
      <c r="C556" s="59" t="s">
        <v>1268</v>
      </c>
      <c r="D556" s="57" t="s">
        <v>34</v>
      </c>
      <c r="E556" s="57">
        <v>45793</v>
      </c>
      <c r="F556" s="38" t="str">
        <f>IF(C556&lt;&gt;"",VLOOKUP($C556,Carpetas!$C$5:$L$2060,2,FALSE),"")</f>
        <v>PEA003</v>
      </c>
      <c r="G556" s="38" t="s">
        <v>216</v>
      </c>
      <c r="H556" s="44">
        <f>IF(C556&lt;&gt;"",VLOOKUP($C556,Carpetas!$C$5:$L$2060,9,FALSE),"")</f>
        <v>1523816</v>
      </c>
      <c r="I556" s="51" t="str">
        <f>IF(C556&lt;&gt;"",VLOOKUP($C556,Carpetas!$C$5:$L$2060,5,FALSE),"")</f>
        <v>Andino</v>
      </c>
      <c r="J556" s="51"/>
      <c r="K556" s="50">
        <v>45804</v>
      </c>
      <c r="L556" s="39" t="str">
        <f>VLOOKUP($C556,Carpetas!$C$5:$L$2060,4,FALSE)</f>
        <v>Fray Bentos</v>
      </c>
      <c r="M556" s="55">
        <f t="shared" si="40"/>
        <v>45805</v>
      </c>
      <c r="N556" s="53">
        <f ref="N556:N619" t="shared" si="41">IF(M556&lt;&gt;"",M556-E556,"-")</f>
        <v>12</v>
      </c>
      <c r="O556" s="51">
        <v>7800</v>
      </c>
      <c r="P556" s="51"/>
      <c r="Q556" s="51">
        <v>7800</v>
      </c>
      <c r="R556" s="51">
        <v>20</v>
      </c>
      <c r="S556" s="51">
        <v>1.8</v>
      </c>
      <c r="T556" s="65"/>
      <c r="U556" s="65"/>
      <c r="V556" s="65" t="s">
        <v>1269</v>
      </c>
      <c r="W556" s="51" t="s">
        <v>110</v>
      </c>
      <c r="X556" s="66" t="s">
        <v>1270</v>
      </c>
    </row>
    <row r="557" hidden="1" ht="27.75" customHeight="1" s="32" customFormat="1">
      <c r="A557" s="37"/>
      <c r="B557" s="31" t="s">
        <v>32</v>
      </c>
      <c r="C557" s="59" t="s">
        <v>1271</v>
      </c>
      <c r="D557" s="121" t="s">
        <v>42</v>
      </c>
      <c r="E557" s="57">
        <v>45783</v>
      </c>
      <c r="F557" s="38" t="str">
        <f>IF(C557&lt;&gt;"",VLOOKUP($C557,Carpetas!$C$5:$L$2060,2,FALSE),"")</f>
        <v>ECA013</v>
      </c>
      <c r="G557" s="38" t="s">
        <v>43</v>
      </c>
      <c r="H557" s="44">
        <f>IF(C557&lt;&gt;"",VLOOKUP($C557,Carpetas!$C$5:$L$2060,9,FALSE),"")</f>
        <v>1523565</v>
      </c>
      <c r="I557" s="51" t="str">
        <f>IF(C557&lt;&gt;"",VLOOKUP($C557,Carpetas!$C$5:$L$2060,5,FALSE),"")</f>
        <v>Andino</v>
      </c>
      <c r="J557" s="51"/>
      <c r="K557" s="50">
        <v>45804</v>
      </c>
      <c r="L557" s="39" t="str">
        <f>VLOOKUP($C557,Carpetas!$C$5:$L$2060,4,FALSE)</f>
        <v>Fray Bentos</v>
      </c>
      <c r="M557" s="55">
        <f t="shared" si="40"/>
        <v>45805</v>
      </c>
      <c r="N557" s="53">
        <f t="shared" si="41"/>
        <v>22</v>
      </c>
      <c r="O557" s="51">
        <v>1680</v>
      </c>
      <c r="P557" s="51"/>
      <c r="Q557" s="51">
        <v>1680</v>
      </c>
      <c r="R557" s="51">
        <v>21</v>
      </c>
      <c r="S557" s="51">
        <v>12.5</v>
      </c>
      <c r="T557" s="65"/>
      <c r="U557" s="65"/>
      <c r="V557" s="65" t="s">
        <v>1203</v>
      </c>
      <c r="W557" s="51" t="s">
        <v>112</v>
      </c>
      <c r="X557" s="66" t="s">
        <v>1272</v>
      </c>
    </row>
    <row r="558" hidden="1" ht="27.75" customHeight="1" s="32" customFormat="1">
      <c r="A558" s="37"/>
      <c r="B558" s="31" t="s">
        <v>32</v>
      </c>
      <c r="C558" s="59" t="s">
        <v>1273</v>
      </c>
      <c r="D558" s="121" t="s">
        <v>48</v>
      </c>
      <c r="E558" s="57">
        <v>45787</v>
      </c>
      <c r="F558" s="38" t="str">
        <f>IF(C558&lt;&gt;"",VLOOKUP($C558,Carpetas!$C$5:$L$2060,2,FALSE),"")</f>
        <v>PEP007</v>
      </c>
      <c r="G558" s="38" t="s">
        <v>43</v>
      </c>
      <c r="H558" s="44">
        <f>IF(C558&lt;&gt;"",VLOOKUP($C558,Carpetas!$C$5:$L$2060,9,FALSE),"")</f>
        <v>0</v>
      </c>
      <c r="I558" s="51" t="str">
        <f>IF(C558&lt;&gt;"",VLOOKUP($C558,Carpetas!$C$5:$L$2060,5,FALSE),"")</f>
        <v>Andino</v>
      </c>
      <c r="J558" s="51"/>
      <c r="K558" s="50">
        <v>45805</v>
      </c>
      <c r="L558" s="39" t="str">
        <f>VLOOKUP($C558,Carpetas!$C$5:$L$2060,4,FALSE)</f>
        <v>Fray Bentos</v>
      </c>
      <c r="M558" s="55">
        <f t="shared" si="40"/>
        <v>45806</v>
      </c>
      <c r="N558" s="53">
        <f t="shared" si="41"/>
        <v>19</v>
      </c>
      <c r="O558" s="51">
        <v>1920</v>
      </c>
      <c r="P558" s="51"/>
      <c r="Q558" s="51">
        <v>1920</v>
      </c>
      <c r="R558" s="51">
        <v>20</v>
      </c>
      <c r="S558" s="51">
        <v>12.4</v>
      </c>
      <c r="T558" s="65"/>
      <c r="U558" s="65"/>
      <c r="V558" s="65" t="s">
        <v>518</v>
      </c>
      <c r="W558" s="51" t="s">
        <v>1274</v>
      </c>
      <c r="X558" s="66" t="s">
        <v>1275</v>
      </c>
    </row>
    <row r="559" hidden="1" ht="27.75" customHeight="1" s="32" customFormat="1">
      <c r="A559" s="37"/>
      <c r="B559" s="31" t="s">
        <v>32</v>
      </c>
      <c r="C559" s="59" t="s">
        <v>1276</v>
      </c>
      <c r="D559" s="121" t="s">
        <v>30</v>
      </c>
      <c r="E559" s="57">
        <v>45783</v>
      </c>
      <c r="F559" s="38" t="str">
        <f>IF(C559&lt;&gt;"",VLOOKUP($C559,Carpetas!$C$5:$L$2060,2,FALSE),"")</f>
        <v>ECB021</v>
      </c>
      <c r="G559" s="38" t="s">
        <v>43</v>
      </c>
      <c r="H559" s="44">
        <f>IF(C559&lt;&gt;"",VLOOKUP($C559,Carpetas!$C$5:$L$2060,9,FALSE),"")</f>
        <v>1523567</v>
      </c>
      <c r="I559" s="51" t="str">
        <f>IF(C559&lt;&gt;"",VLOOKUP($C559,Carpetas!$C$5:$L$2060,5,FALSE),"")</f>
        <v>Andino</v>
      </c>
      <c r="J559" s="51"/>
      <c r="K559" s="50">
        <v>45805</v>
      </c>
      <c r="L559" s="39" t="str">
        <f>VLOOKUP($C559,Carpetas!$C$5:$L$2060,4,FALSE)</f>
        <v>Fray Bentos</v>
      </c>
      <c r="M559" s="55">
        <f t="shared" si="40"/>
        <v>45806</v>
      </c>
      <c r="N559" s="53">
        <f t="shared" si="41"/>
        <v>23</v>
      </c>
      <c r="O559" s="51">
        <v>3240</v>
      </c>
      <c r="P559" s="51"/>
      <c r="Q559" s="51">
        <v>3240</v>
      </c>
      <c r="R559" s="51">
        <v>60</v>
      </c>
      <c r="S559" s="51">
        <v>21</v>
      </c>
      <c r="T559" s="65"/>
      <c r="U559" s="65"/>
      <c r="V559" s="65" t="s">
        <v>55</v>
      </c>
      <c r="W559" s="51" t="s">
        <v>1277</v>
      </c>
      <c r="X559" s="66" t="s">
        <v>1278</v>
      </c>
    </row>
    <row r="560" hidden="1" ht="27.75" customHeight="1" s="32" customFormat="1">
      <c r="A560" s="37"/>
      <c r="B560" s="31" t="s">
        <v>32</v>
      </c>
      <c r="C560" s="59" t="s">
        <v>1276</v>
      </c>
      <c r="D560" s="121" t="s">
        <v>30</v>
      </c>
      <c r="E560" s="57">
        <v>45783</v>
      </c>
      <c r="F560" s="38" t="str">
        <f>IF(C560&lt;&gt;"",VLOOKUP($C560,Carpetas!$C$5:$L$2060,2,FALSE),"")</f>
        <v>ECB021</v>
      </c>
      <c r="G560" s="38" t="s">
        <v>43</v>
      </c>
      <c r="H560" s="44">
        <f>IF(C560&lt;&gt;"",VLOOKUP($C560,Carpetas!$C$5:$L$2060,9,FALSE),"")</f>
        <v>1523567</v>
      </c>
      <c r="I560" s="51" t="str">
        <f>IF(C560&lt;&gt;"",VLOOKUP($C560,Carpetas!$C$5:$L$2060,5,FALSE),"")</f>
        <v>Andino</v>
      </c>
      <c r="J560" s="51"/>
      <c r="K560" s="50">
        <v>45806</v>
      </c>
      <c r="L560" s="39" t="str">
        <f>VLOOKUP($C560,Carpetas!$C$5:$L$2060,4,FALSE)</f>
        <v>Fray Bentos</v>
      </c>
      <c r="M560" s="55">
        <f t="shared" si="40"/>
        <v>45807</v>
      </c>
      <c r="N560" s="53">
        <f t="shared" si="41"/>
        <v>24</v>
      </c>
      <c r="O560" s="51">
        <v>1080</v>
      </c>
      <c r="P560" s="51"/>
      <c r="Q560" s="51">
        <v>1080</v>
      </c>
      <c r="R560" s="51">
        <v>20</v>
      </c>
      <c r="S560" s="51">
        <v>21</v>
      </c>
      <c r="T560" s="65"/>
      <c r="U560" s="65"/>
      <c r="V560" s="65" t="s">
        <v>55</v>
      </c>
      <c r="W560" s="51"/>
      <c r="X560" s="66" t="s">
        <v>1279</v>
      </c>
    </row>
    <row r="561" hidden="1" ht="27.75" customHeight="1" s="32" customFormat="1">
      <c r="A561" s="37"/>
      <c r="B561" s="31" t="s">
        <v>32</v>
      </c>
      <c r="C561" s="59" t="s">
        <v>1280</v>
      </c>
      <c r="D561" s="121" t="s">
        <v>30</v>
      </c>
      <c r="E561" s="57">
        <v>45783</v>
      </c>
      <c r="F561" s="38" t="str">
        <f>IF(C561&lt;&gt;"",VLOOKUP($C561,Carpetas!$C$5:$L$2060,2,FALSE),"")</f>
        <v>ECE030</v>
      </c>
      <c r="G561" s="38" t="s">
        <v>43</v>
      </c>
      <c r="H561" s="44">
        <f>IF(C561&lt;&gt;"",VLOOKUP($C561,Carpetas!$C$5:$L$2060,9,FALSE),"")</f>
        <v>1523566</v>
      </c>
      <c r="I561" s="51" t="str">
        <f>IF(C561&lt;&gt;"",VLOOKUP($C561,Carpetas!$C$5:$L$2060,5,FALSE),"")</f>
        <v>Andino</v>
      </c>
      <c r="J561" s="51"/>
      <c r="K561" s="50">
        <v>45807</v>
      </c>
      <c r="L561" s="39" t="str">
        <f>VLOOKUP($C561,Carpetas!$C$5:$L$2060,4,FALSE)</f>
        <v>Fray Bentos</v>
      </c>
      <c r="M561" s="55">
        <f t="shared" si="40"/>
        <v>45808</v>
      </c>
      <c r="N561" s="53">
        <f t="shared" si="41"/>
        <v>25</v>
      </c>
      <c r="O561" s="51">
        <v>1144</v>
      </c>
      <c r="P561" s="51"/>
      <c r="Q561" s="51">
        <v>1144</v>
      </c>
      <c r="R561" s="51">
        <v>20</v>
      </c>
      <c r="S561" s="51">
        <v>21</v>
      </c>
      <c r="T561" s="65"/>
      <c r="U561" s="65"/>
      <c r="V561" s="65" t="s">
        <v>200</v>
      </c>
      <c r="W561" s="51" t="s">
        <v>318</v>
      </c>
      <c r="X561" s="66" t="s">
        <v>1281</v>
      </c>
    </row>
    <row r="562" hidden="1" ht="27.75" customHeight="1" s="32" customFormat="1">
      <c r="A562" s="37"/>
      <c r="B562" s="31" t="s">
        <v>32</v>
      </c>
      <c r="C562" s="59" t="s">
        <v>1282</v>
      </c>
      <c r="D562" s="121" t="s">
        <v>30</v>
      </c>
      <c r="E562" s="57">
        <v>45790</v>
      </c>
      <c r="F562" s="38" t="str">
        <f>IF(C562&lt;&gt;"",VLOOKUP($C562,Carpetas!$C$5:$L$2060,2,FALSE),"")</f>
        <v>ECB022</v>
      </c>
      <c r="G562" s="38" t="s">
        <v>43</v>
      </c>
      <c r="H562" s="44">
        <f>IF(C562&lt;&gt;"",VLOOKUP($C562,Carpetas!$C$5:$L$2060,9,FALSE),"")</f>
        <v>1523935</v>
      </c>
      <c r="I562" s="51" t="str">
        <f>IF(C562&lt;&gt;"",VLOOKUP($C562,Carpetas!$C$5:$L$2060,5,FALSE),"")</f>
        <v>Andino</v>
      </c>
      <c r="J562" s="51"/>
      <c r="K562" s="50">
        <v>45807</v>
      </c>
      <c r="L562" s="39" t="str">
        <f>VLOOKUP($C562,Carpetas!$C$5:$L$2060,4,FALSE)</f>
        <v>Fray Bentos</v>
      </c>
      <c r="M562" s="55">
        <f t="shared" si="40"/>
        <v>45808</v>
      </c>
      <c r="N562" s="53">
        <f t="shared" si="41"/>
        <v>18</v>
      </c>
      <c r="O562" s="51">
        <v>4320</v>
      </c>
      <c r="P562" s="51"/>
      <c r="Q562" s="51">
        <v>4320</v>
      </c>
      <c r="R562" s="51">
        <v>80</v>
      </c>
      <c r="S562" s="51">
        <v>21</v>
      </c>
      <c r="T562" s="65"/>
      <c r="U562" s="65"/>
      <c r="V562" s="65" t="s">
        <v>55</v>
      </c>
      <c r="W562" s="51" t="s">
        <v>1283</v>
      </c>
      <c r="X562" s="66" t="s">
        <v>1284</v>
      </c>
    </row>
    <row r="563" hidden="1" ht="27.75" customHeight="1" s="32" customFormat="1">
      <c r="A563" s="37"/>
      <c r="B563" s="31" t="s">
        <v>32</v>
      </c>
      <c r="C563" s="59" t="s">
        <v>1285</v>
      </c>
      <c r="D563" s="121" t="s">
        <v>30</v>
      </c>
      <c r="E563" s="57">
        <v>45783</v>
      </c>
      <c r="F563" s="38" t="str">
        <f>IF(C563&lt;&gt;"",VLOOKUP($C563,Carpetas!$C$5:$L$2060,2,FALSE),"")</f>
        <v>COB009</v>
      </c>
      <c r="G563" s="38" t="s">
        <v>267</v>
      </c>
      <c r="H563" s="44">
        <f>IF(C563&lt;&gt;"",VLOOKUP($C563,Carpetas!$C$5:$L$2060,9,FALSE),"")</f>
        <v>0</v>
      </c>
      <c r="I563" s="51" t="str">
        <f>IF(C563&lt;&gt;"",VLOOKUP($C563,Carpetas!$C$5:$L$2060,5,FALSE),"")</f>
        <v>Andino</v>
      </c>
      <c r="J563" s="51"/>
      <c r="K563" s="50">
        <v>45807</v>
      </c>
      <c r="L563" s="39" t="str">
        <f>VLOOKUP($C563,Carpetas!$C$5:$L$2060,4,FALSE)</f>
        <v>Fray Bentos</v>
      </c>
      <c r="M563" s="55">
        <f t="shared" si="40"/>
        <v>45808</v>
      </c>
      <c r="N563" s="53">
        <f t="shared" si="41"/>
        <v>25</v>
      </c>
      <c r="O563" s="51">
        <v>1080</v>
      </c>
      <c r="P563" s="51"/>
      <c r="Q563" s="51">
        <v>1080</v>
      </c>
      <c r="R563" s="51">
        <v>20</v>
      </c>
      <c r="S563" s="51">
        <v>20</v>
      </c>
      <c r="T563" s="65"/>
      <c r="U563" s="65"/>
      <c r="V563" s="65" t="s">
        <v>268</v>
      </c>
      <c r="W563" s="51" t="s">
        <v>198</v>
      </c>
      <c r="X563" s="66" t="s">
        <v>1286</v>
      </c>
    </row>
    <row r="564" hidden="1" ht="27.75" customHeight="1" s="32" customFormat="1">
      <c r="A564" s="37"/>
      <c r="B564" s="31" t="s">
        <v>32</v>
      </c>
      <c r="C564" s="59" t="s">
        <v>1287</v>
      </c>
      <c r="D564" s="121" t="s">
        <v>30</v>
      </c>
      <c r="E564" s="57">
        <v>45790</v>
      </c>
      <c r="F564" s="38" t="str">
        <f>IF(C564&lt;&gt;"",VLOOKUP($C564,Carpetas!$C$5:$L$2060,2,FALSE),"")</f>
        <v>ECE031</v>
      </c>
      <c r="G564" s="38" t="s">
        <v>43</v>
      </c>
      <c r="H564" s="44">
        <f>IF(C564&lt;&gt;"",VLOOKUP($C564,Carpetas!$C$5:$L$2060,9,FALSE),"")</f>
        <v>1523936</v>
      </c>
      <c r="I564" s="51" t="str">
        <f>IF(C564&lt;&gt;"",VLOOKUP($C564,Carpetas!$C$5:$L$2060,5,FALSE),"")</f>
        <v>Andino</v>
      </c>
      <c r="J564" s="51"/>
      <c r="K564" s="50">
        <v>45810</v>
      </c>
      <c r="L564" s="39" t="str">
        <f>VLOOKUP($C564,Carpetas!$C$5:$L$2060,4,FALSE)</f>
        <v>Fray Bentos</v>
      </c>
      <c r="M564" s="55">
        <f t="shared" si="40"/>
        <v>45811</v>
      </c>
      <c r="N564" s="53">
        <f t="shared" si="41"/>
        <v>21</v>
      </c>
      <c r="O564" s="51">
        <v>1144</v>
      </c>
      <c r="P564" s="51"/>
      <c r="Q564" s="51">
        <v>1144</v>
      </c>
      <c r="R564" s="51">
        <v>20</v>
      </c>
      <c r="S564" s="51">
        <v>21</v>
      </c>
      <c r="T564" s="65"/>
      <c r="U564" s="65"/>
      <c r="V564" s="65" t="s">
        <v>1288</v>
      </c>
      <c r="W564" s="50" t="s">
        <v>1289</v>
      </c>
      <c r="X564" s="66" t="s">
        <v>1290</v>
      </c>
    </row>
    <row r="565" hidden="1" ht="27.75" customHeight="1" s="32" customFormat="1">
      <c r="A565" s="37"/>
      <c r="B565" s="31" t="s">
        <v>32</v>
      </c>
      <c r="C565" s="59" t="s">
        <v>1291</v>
      </c>
      <c r="D565" s="121" t="s">
        <v>42</v>
      </c>
      <c r="E565" s="57">
        <v>45797</v>
      </c>
      <c r="F565" s="38" t="str">
        <f>IF(C565&lt;&gt;"",VLOOKUP($C565,Carpetas!$C$5:$L$2060,2,FALSE),"")</f>
        <v>ECA014</v>
      </c>
      <c r="G565" s="38" t="s">
        <v>43</v>
      </c>
      <c r="H565" s="44">
        <f>IF(C565&lt;&gt;"",VLOOKUP($C565,Carpetas!$C$5:$L$2060,9,FALSE),"")</f>
        <v>1525299</v>
      </c>
      <c r="I565" s="51" t="str">
        <f>IF(C565&lt;&gt;"",VLOOKUP($C565,Carpetas!$C$5:$L$2060,5,FALSE),"")</f>
        <v>Andino</v>
      </c>
      <c r="J565" s="51"/>
      <c r="K565" s="50">
        <v>45811</v>
      </c>
      <c r="L565" s="39" t="str">
        <f>VLOOKUP($C565,Carpetas!$C$5:$L$2060,4,FALSE)</f>
        <v>Fray Bentos</v>
      </c>
      <c r="M565" s="55">
        <f t="shared" si="40"/>
        <v>45812</v>
      </c>
      <c r="N565" s="53">
        <f t="shared" si="41"/>
        <v>15</v>
      </c>
      <c r="O565" s="51">
        <v>1680</v>
      </c>
      <c r="P565" s="51"/>
      <c r="Q565" s="51">
        <v>1680</v>
      </c>
      <c r="R565" s="51">
        <v>21</v>
      </c>
      <c r="S565" s="51">
        <v>13.5</v>
      </c>
      <c r="T565" s="65"/>
      <c r="U565" s="65"/>
      <c r="V565" s="65" t="s">
        <v>1292</v>
      </c>
      <c r="W565" s="50" t="s">
        <v>146</v>
      </c>
      <c r="X565" s="66" t="s">
        <v>1293</v>
      </c>
    </row>
    <row r="566" hidden="1" ht="27.75" customHeight="1" s="32" customFormat="1">
      <c r="A566" s="37"/>
      <c r="B566" s="31" t="s">
        <v>32</v>
      </c>
      <c r="C566" s="59" t="s">
        <v>1294</v>
      </c>
      <c r="D566" s="121" t="s">
        <v>30</v>
      </c>
      <c r="E566" s="57">
        <v>45797</v>
      </c>
      <c r="F566" s="38" t="str">
        <f>IF(C566&lt;&gt;"",VLOOKUP($C566,Carpetas!$C$5:$L$2060,2,FALSE),"")</f>
        <v>ECE032</v>
      </c>
      <c r="G566" s="38" t="s">
        <v>43</v>
      </c>
      <c r="H566" s="44">
        <f>IF(C566&lt;&gt;"",VLOOKUP($C566,Carpetas!$C$5:$L$2060,9,FALSE),"")</f>
        <v>1525297</v>
      </c>
      <c r="I566" s="51" t="str">
        <f>IF(C566&lt;&gt;"",VLOOKUP($C566,Carpetas!$C$5:$L$2060,5,FALSE),"")</f>
        <v>Andino</v>
      </c>
      <c r="J566" s="51"/>
      <c r="K566" s="50">
        <v>45814</v>
      </c>
      <c r="L566" s="39" t="str">
        <f>VLOOKUP($C566,Carpetas!$C$5:$L$2060,4,FALSE)</f>
        <v>Fray Bentos</v>
      </c>
      <c r="M566" s="55">
        <v>45817</v>
      </c>
      <c r="N566" s="53">
        <f t="shared" si="41"/>
        <v>20</v>
      </c>
      <c r="O566" s="51">
        <v>1144</v>
      </c>
      <c r="P566" s="51"/>
      <c r="Q566" s="51">
        <v>1144</v>
      </c>
      <c r="R566" s="51">
        <v>20</v>
      </c>
      <c r="S566" s="51">
        <v>21</v>
      </c>
      <c r="T566" s="65"/>
      <c r="U566" s="65"/>
      <c r="V566" s="65" t="s">
        <v>1295</v>
      </c>
      <c r="W566" s="50" t="s">
        <v>112</v>
      </c>
      <c r="X566" s="66" t="s">
        <v>1296</v>
      </c>
    </row>
    <row r="567" hidden="1" ht="27.75" customHeight="1" s="32" customFormat="1">
      <c r="A567" s="37"/>
      <c r="B567" s="31" t="s">
        <v>32</v>
      </c>
      <c r="C567" s="59" t="s">
        <v>1297</v>
      </c>
      <c r="D567" s="121" t="s">
        <v>30</v>
      </c>
      <c r="E567" s="57">
        <v>45797</v>
      </c>
      <c r="F567" s="38" t="str">
        <f>IF(C567&lt;&gt;"",VLOOKUP($C567,Carpetas!$C$5:$L$2060,2,FALSE),"")</f>
        <v>ECB023</v>
      </c>
      <c r="G567" s="38" t="s">
        <v>43</v>
      </c>
      <c r="H567" s="44">
        <f>IF(C567&lt;&gt;"",VLOOKUP($C567,Carpetas!$C$5:$L$2060,9,FALSE),"")</f>
        <v>1525290</v>
      </c>
      <c r="I567" s="51" t="str">
        <f>IF(C567&lt;&gt;"",VLOOKUP($C567,Carpetas!$C$5:$L$2060,5,FALSE),"")</f>
        <v>Andino</v>
      </c>
      <c r="J567" s="51"/>
      <c r="K567" s="50">
        <v>45817</v>
      </c>
      <c r="L567" s="39" t="str">
        <f>VLOOKUP($C567,Carpetas!$C$5:$L$2060,4,FALSE)</f>
        <v>Fray Bentos</v>
      </c>
      <c r="M567" s="55">
        <f>K567+1</f>
        <v>45818</v>
      </c>
      <c r="N567" s="53">
        <f t="shared" si="41"/>
        <v>21</v>
      </c>
      <c r="O567" s="51">
        <v>4320</v>
      </c>
      <c r="P567" s="51"/>
      <c r="Q567" s="51">
        <v>4320</v>
      </c>
      <c r="R567" s="51">
        <v>80</v>
      </c>
      <c r="S567" s="51">
        <v>21</v>
      </c>
      <c r="T567" s="65"/>
      <c r="U567" s="65"/>
      <c r="V567" s="65" t="s">
        <v>55</v>
      </c>
      <c r="W567" s="50" t="s">
        <v>1298</v>
      </c>
      <c r="X567" s="66" t="s">
        <v>1299</v>
      </c>
    </row>
    <row r="568" hidden="1" ht="27.75" customHeight="1" s="32" customFormat="1">
      <c r="A568" s="37"/>
      <c r="B568" s="31" t="s">
        <v>32</v>
      </c>
      <c r="C568" s="59" t="s">
        <v>1300</v>
      </c>
      <c r="D568" s="121" t="s">
        <v>37</v>
      </c>
      <c r="E568" s="57">
        <v>45797</v>
      </c>
      <c r="F568" s="38" t="str">
        <f>IF(C568&lt;&gt;"",VLOOKUP($C568,Carpetas!$C$5:$L$2060,2,FALSE),"")</f>
        <v>CLK005</v>
      </c>
      <c r="G568" s="38" t="s">
        <v>35</v>
      </c>
      <c r="H568" s="44">
        <f>IF(C568&lt;&gt;"",VLOOKUP($C568,Carpetas!$C$5:$L$2060,9,FALSE),"")</f>
        <v>0</v>
      </c>
      <c r="I568" s="51" t="str">
        <f>IF(C568&lt;&gt;"",VLOOKUP($C568,Carpetas!$C$5:$L$2060,5,FALSE),"")</f>
        <v>Nihuil</v>
      </c>
      <c r="J568" s="51"/>
      <c r="K568" s="50">
        <v>45818</v>
      </c>
      <c r="L568" s="39" t="str">
        <f>VLOOKUP($C568,Carpetas!$C$5:$L$2060,4,FALSE)</f>
        <v>Fray Bentos</v>
      </c>
      <c r="M568" s="55">
        <f>K568+1</f>
        <v>45819</v>
      </c>
      <c r="N568" s="53">
        <f t="shared" si="41"/>
        <v>22</v>
      </c>
      <c r="O568" s="51">
        <v>2288</v>
      </c>
      <c r="P568" s="51"/>
      <c r="Q568" s="51">
        <v>2288</v>
      </c>
      <c r="R568" s="51">
        <v>22</v>
      </c>
      <c r="S568" s="51">
        <v>10.4</v>
      </c>
      <c r="T568" s="65"/>
      <c r="U568" s="65"/>
      <c r="V568" s="65" t="s">
        <v>459</v>
      </c>
      <c r="W568" s="50" t="s">
        <v>1301</v>
      </c>
      <c r="X568" s="66"/>
    </row>
    <row r="569" hidden="1" ht="27.75" customHeight="1" s="32" customFormat="1">
      <c r="A569" s="37"/>
      <c r="B569" s="31" t="s">
        <v>32</v>
      </c>
      <c r="C569" s="59" t="s">
        <v>1302</v>
      </c>
      <c r="D569" s="121" t="s">
        <v>30</v>
      </c>
      <c r="E569" s="57">
        <v>45804</v>
      </c>
      <c r="F569" s="38" t="str">
        <f>IF(C569&lt;&gt;"",VLOOKUP($C569,Carpetas!$C$5:$L$2060,2,FALSE),"")</f>
        <v>ECB024</v>
      </c>
      <c r="G569" s="38" t="s">
        <v>43</v>
      </c>
      <c r="H569" s="44">
        <f>IF(C569&lt;&gt;"",VLOOKUP($C569,Carpetas!$C$5:$L$2060,9,FALSE),"")</f>
        <v>1525905</v>
      </c>
      <c r="I569" s="51" t="str">
        <f>IF(C569&lt;&gt;"",VLOOKUP($C569,Carpetas!$C$5:$L$2060,5,FALSE),"")</f>
        <v>Andino</v>
      </c>
      <c r="J569" s="51"/>
      <c r="K569" s="50">
        <v>45820</v>
      </c>
      <c r="L569" s="39" t="str">
        <f>VLOOKUP($C569,Carpetas!$C$5:$L$2060,4,FALSE)</f>
        <v>Fray Bentos</v>
      </c>
      <c r="M569" s="55">
        <v>45820</v>
      </c>
      <c r="N569" s="53">
        <f t="shared" si="41"/>
        <v>16</v>
      </c>
      <c r="O569" s="51">
        <v>1080</v>
      </c>
      <c r="P569" s="51"/>
      <c r="Q569" s="51">
        <v>1080</v>
      </c>
      <c r="R569" s="51">
        <v>20</v>
      </c>
      <c r="S569" s="51">
        <v>21</v>
      </c>
      <c r="T569" s="65"/>
      <c r="U569" s="65"/>
      <c r="V569" s="65" t="s">
        <v>55</v>
      </c>
      <c r="W569" s="50" t="s">
        <v>1261</v>
      </c>
      <c r="X569" s="66" t="s">
        <v>1303</v>
      </c>
    </row>
    <row r="570" hidden="1" ht="27.75" customHeight="1" s="32" customFormat="1">
      <c r="A570" s="37"/>
      <c r="B570" s="31" t="s">
        <v>32</v>
      </c>
      <c r="C570" s="59" t="s">
        <v>1304</v>
      </c>
      <c r="D570" s="121" t="s">
        <v>30</v>
      </c>
      <c r="E570" s="57">
        <v>45804</v>
      </c>
      <c r="F570" s="38" t="str">
        <f>IF(C570&lt;&gt;"",VLOOKUP($C570,Carpetas!$C$5:$L$2060,2,FALSE),"")</f>
        <v>ECE033</v>
      </c>
      <c r="G570" s="38" t="s">
        <v>43</v>
      </c>
      <c r="H570" s="44">
        <f>IF(C570&lt;&gt;"",VLOOKUP($C570,Carpetas!$C$5:$L$2060,9,FALSE),"")</f>
        <v>1525904</v>
      </c>
      <c r="I570" s="51" t="str">
        <f>IF(C570&lt;&gt;"",VLOOKUP($C570,Carpetas!$C$5:$L$2060,5,FALSE),"")</f>
        <v>Andino</v>
      </c>
      <c r="J570" s="51"/>
      <c r="K570" s="50">
        <v>45821</v>
      </c>
      <c r="L570" s="39" t="str">
        <f>VLOOKUP($C570,Carpetas!$C$5:$L$2060,4,FALSE)</f>
        <v>Fray Bentos</v>
      </c>
      <c r="M570" s="55">
        <f>K570+1</f>
        <v>45822</v>
      </c>
      <c r="N570" s="53">
        <f t="shared" si="41"/>
        <v>18</v>
      </c>
      <c r="O570" s="51">
        <v>1144</v>
      </c>
      <c r="P570" s="51"/>
      <c r="Q570" s="51">
        <v>1144</v>
      </c>
      <c r="R570" s="51">
        <v>80</v>
      </c>
      <c r="S570" s="51">
        <v>21</v>
      </c>
      <c r="T570" s="65"/>
      <c r="U570" s="65"/>
      <c r="V570" s="65" t="s">
        <v>317</v>
      </c>
      <c r="W570" s="50" t="s">
        <v>318</v>
      </c>
      <c r="X570" s="66" t="s">
        <v>1305</v>
      </c>
    </row>
    <row r="571" hidden="1" ht="27.75" customHeight="1" s="32" customFormat="1">
      <c r="A571" s="37"/>
      <c r="B571" s="31" t="s">
        <v>32</v>
      </c>
      <c r="C571" s="59" t="s">
        <v>1302</v>
      </c>
      <c r="D571" s="121" t="s">
        <v>30</v>
      </c>
      <c r="E571" s="57">
        <v>45804</v>
      </c>
      <c r="F571" s="38" t="str">
        <f>IF(C571&lt;&gt;"",VLOOKUP($C571,Carpetas!$C$5:$L$2060,2,FALSE),"")</f>
        <v>ECB024</v>
      </c>
      <c r="G571" s="38" t="s">
        <v>43</v>
      </c>
      <c r="H571" s="44">
        <f>IF(C571&lt;&gt;"",VLOOKUP($C571,Carpetas!$C$5:$L$2060,9,FALSE),"")</f>
        <v>1525905</v>
      </c>
      <c r="I571" s="51" t="str">
        <f>IF(C571&lt;&gt;"",VLOOKUP($C571,Carpetas!$C$5:$L$2060,5,FALSE),"")</f>
        <v>Andino</v>
      </c>
      <c r="J571" s="51"/>
      <c r="K571" s="50">
        <v>45821</v>
      </c>
      <c r="L571" s="39" t="str">
        <f>VLOOKUP($C571,Carpetas!$C$5:$L$2060,4,FALSE)</f>
        <v>Fray Bentos</v>
      </c>
      <c r="M571" s="55">
        <f>K571+1</f>
        <v>45822</v>
      </c>
      <c r="N571" s="53">
        <f t="shared" si="41"/>
        <v>18</v>
      </c>
      <c r="O571" s="51">
        <v>3240</v>
      </c>
      <c r="P571" s="51"/>
      <c r="Q571" s="51">
        <v>2160</v>
      </c>
      <c r="R571" s="51">
        <v>40</v>
      </c>
      <c r="S571" s="51">
        <v>21</v>
      </c>
      <c r="T571" s="65"/>
      <c r="U571" s="65"/>
      <c r="V571" s="65" t="s">
        <v>55</v>
      </c>
      <c r="W571" s="50" t="s">
        <v>1306</v>
      </c>
      <c r="X571" s="66" t="s">
        <v>1307</v>
      </c>
    </row>
    <row r="572" hidden="1" ht="27.75" customHeight="1" s="32" customFormat="1">
      <c r="A572" s="37"/>
      <c r="B572" s="31" t="s">
        <v>32</v>
      </c>
      <c r="C572" s="59" t="s">
        <v>1308</v>
      </c>
      <c r="D572" s="121" t="s">
        <v>30</v>
      </c>
      <c r="E572" s="57">
        <v>45801</v>
      </c>
      <c r="F572" s="38" t="str">
        <f>IF(C572&lt;&gt;"",VLOOKUP($C572,Carpetas!$C$5:$L$2060,2,FALSE),"")</f>
        <v>COB010</v>
      </c>
      <c r="G572" s="38" t="s">
        <v>43</v>
      </c>
      <c r="H572" s="44">
        <f>IF(C572&lt;&gt;"",VLOOKUP($C572,Carpetas!$C$5:$L$2060,9,FALSE),"")</f>
        <v>0</v>
      </c>
      <c r="I572" s="51" t="str">
        <f>IF(C572&lt;&gt;"",VLOOKUP($C572,Carpetas!$C$5:$L$2060,5,FALSE),"")</f>
        <v>Andino</v>
      </c>
      <c r="J572" s="51"/>
      <c r="K572" s="50">
        <v>45821</v>
      </c>
      <c r="L572" s="39" t="str">
        <f>VLOOKUP($C572,Carpetas!$C$5:$L$2060,4,FALSE)</f>
        <v>Fray Bentos</v>
      </c>
      <c r="M572" s="55">
        <f>K572+1</f>
        <v>45822</v>
      </c>
      <c r="N572" s="53">
        <f t="shared" si="41"/>
        <v>21</v>
      </c>
      <c r="O572" s="51">
        <v>1080</v>
      </c>
      <c r="P572" s="51"/>
      <c r="Q572" s="51">
        <v>1080</v>
      </c>
      <c r="R572" s="51">
        <v>20</v>
      </c>
      <c r="S572" s="51">
        <v>21</v>
      </c>
      <c r="T572" s="65"/>
      <c r="U572" s="65"/>
      <c r="V572" s="65" t="s">
        <v>268</v>
      </c>
      <c r="W572" s="50" t="s">
        <v>146</v>
      </c>
      <c r="X572" s="66" t="s">
        <v>1309</v>
      </c>
    </row>
    <row r="573" hidden="1" ht="27.75" customHeight="1" s="32" customFormat="1">
      <c r="A573" s="37"/>
      <c r="B573" s="31" t="s">
        <v>32</v>
      </c>
      <c r="C573" s="59" t="s">
        <v>1310</v>
      </c>
      <c r="D573" s="121" t="s">
        <v>30</v>
      </c>
      <c r="E573" s="57">
        <v>45811</v>
      </c>
      <c r="F573" s="38" t="str">
        <f>IF(C573&lt;&gt;"",VLOOKUP($C573,Carpetas!$C$5:$L$2060,2,FALSE),"")</f>
        <v>ECE034</v>
      </c>
      <c r="G573" s="38" t="s">
        <v>43</v>
      </c>
      <c r="H573" s="44">
        <f>IF(C573&lt;&gt;"",VLOOKUP($C573,Carpetas!$C$5:$L$2060,9,FALSE),"")</f>
        <v>1523485</v>
      </c>
      <c r="I573" s="51" t="str">
        <f>IF(C573&lt;&gt;"",VLOOKUP($C573,Carpetas!$C$5:$L$2060,5,FALSE),"")</f>
        <v>Andino</v>
      </c>
      <c r="J573" s="51"/>
      <c r="K573" s="50">
        <v>45829</v>
      </c>
      <c r="L573" s="39" t="str">
        <f>VLOOKUP($C573,Carpetas!$C$5:$L$2060,4,FALSE)</f>
        <v>Fray Bentos</v>
      </c>
      <c r="M573" s="55">
        <v>45831</v>
      </c>
      <c r="N573" s="53">
        <f t="shared" si="41"/>
        <v>20</v>
      </c>
      <c r="O573" s="51">
        <v>1144</v>
      </c>
      <c r="P573" s="51"/>
      <c r="Q573" s="51">
        <v>1144</v>
      </c>
      <c r="R573" s="51">
        <v>20</v>
      </c>
      <c r="S573" s="51">
        <v>21</v>
      </c>
      <c r="T573" s="65"/>
      <c r="U573" s="65"/>
      <c r="V573" s="65" t="s">
        <v>1311</v>
      </c>
      <c r="W573" s="50" t="s">
        <v>112</v>
      </c>
      <c r="X573" s="66" t="s">
        <v>1312</v>
      </c>
    </row>
    <row r="574" hidden="1" ht="27.75" customHeight="1" s="32" customFormat="1">
      <c r="A574" s="37"/>
      <c r="B574" s="31" t="s">
        <v>32</v>
      </c>
      <c r="C574" s="59" t="s">
        <v>1313</v>
      </c>
      <c r="D574" s="121" t="s">
        <v>48</v>
      </c>
      <c r="E574" s="57">
        <v>45811</v>
      </c>
      <c r="F574" s="38" t="str">
        <f>IF(C574&lt;&gt;"",VLOOKUP($C574,Carpetas!$C$5:$L$2060,2,FALSE),"")</f>
        <v>PEP008</v>
      </c>
      <c r="G574" s="38" t="s">
        <v>216</v>
      </c>
      <c r="H574" s="44">
        <f>IF(C574&lt;&gt;"",VLOOKUP($C574,Carpetas!$C$5:$L$2060,9,FALSE),"")</f>
        <v>0</v>
      </c>
      <c r="I574" s="51" t="str">
        <f>IF(C574&lt;&gt;"",VLOOKUP($C574,Carpetas!$C$5:$L$2060,5,FALSE),"")</f>
        <v>Andino</v>
      </c>
      <c r="J574" s="51"/>
      <c r="K574" s="50">
        <v>45831</v>
      </c>
      <c r="L574" s="39" t="str">
        <f>VLOOKUP($C574,Carpetas!$C$5:$L$2060,4,FALSE)</f>
        <v>Fray Bentos</v>
      </c>
      <c r="M574" s="55">
        <f>K574+1</f>
        <v>45832</v>
      </c>
      <c r="N574" s="53">
        <f t="shared" si="41"/>
        <v>21</v>
      </c>
      <c r="O574" s="51">
        <v>1920</v>
      </c>
      <c r="P574" s="51"/>
      <c r="Q574" s="51">
        <v>1920</v>
      </c>
      <c r="R574" s="51">
        <v>20</v>
      </c>
      <c r="S574" s="51">
        <v>12.5</v>
      </c>
      <c r="T574" s="65"/>
      <c r="U574" s="65"/>
      <c r="V574" s="65" t="s">
        <v>333</v>
      </c>
      <c r="W574" s="50" t="s">
        <v>143</v>
      </c>
      <c r="X574" s="66" t="s">
        <v>1314</v>
      </c>
    </row>
    <row r="575" hidden="1" ht="27.75" customHeight="1" s="32" customFormat="1">
      <c r="A575" s="37"/>
      <c r="B575" s="31" t="s">
        <v>32</v>
      </c>
      <c r="C575" s="59" t="s">
        <v>1315</v>
      </c>
      <c r="D575" s="121" t="s">
        <v>30</v>
      </c>
      <c r="E575" s="57">
        <v>45811</v>
      </c>
      <c r="F575" s="38" t="str">
        <f>IF(C575&lt;&gt;"",VLOOKUP($C575,Carpetas!$C$5:$L$2060,2,FALSE),"")</f>
        <v>ECB025</v>
      </c>
      <c r="G575" s="38" t="s">
        <v>43</v>
      </c>
      <c r="H575" s="44">
        <f>IF(C575&lt;&gt;"",VLOOKUP($C575,Carpetas!$C$5:$L$2060,9,FALSE),"")</f>
        <v>1526486</v>
      </c>
      <c r="I575" s="51" t="str">
        <f>IF(C575&lt;&gt;"",VLOOKUP($C575,Carpetas!$C$5:$L$2060,5,FALSE),"")</f>
        <v>Andino</v>
      </c>
      <c r="J575" s="51"/>
      <c r="K575" s="50">
        <v>45832</v>
      </c>
      <c r="L575" s="39" t="str">
        <f>VLOOKUP($C575,Carpetas!$C$5:$L$2060,4,FALSE)</f>
        <v>Fray Bentos</v>
      </c>
      <c r="M575" s="55">
        <f>K575+1</f>
        <v>45833</v>
      </c>
      <c r="N575" s="53">
        <f t="shared" si="41"/>
        <v>22</v>
      </c>
      <c r="O575" s="51">
        <v>4320</v>
      </c>
      <c r="P575" s="51"/>
      <c r="Q575" s="51">
        <v>4320</v>
      </c>
      <c r="R575" s="51">
        <v>80</v>
      </c>
      <c r="S575" s="51">
        <v>21</v>
      </c>
      <c r="T575" s="65"/>
      <c r="U575" s="65"/>
      <c r="V575" s="65" t="s">
        <v>55</v>
      </c>
      <c r="W575" s="50" t="s">
        <v>1316</v>
      </c>
      <c r="X575" s="66" t="s">
        <v>1317</v>
      </c>
    </row>
    <row r="576" hidden="1" ht="27.75" customHeight="1" s="32" customFormat="1">
      <c r="A576" s="37"/>
      <c r="B576" s="31" t="s">
        <v>32</v>
      </c>
      <c r="C576" s="59" t="s">
        <v>1318</v>
      </c>
      <c r="D576" s="121" t="s">
        <v>42</v>
      </c>
      <c r="E576" s="57">
        <v>45818</v>
      </c>
      <c r="F576" s="38" t="str">
        <f>IF(C576&lt;&gt;"",VLOOKUP($C576,Carpetas!$C$5:$L$2060,2,FALSE),"")</f>
        <v>ECA015</v>
      </c>
      <c r="G576" s="38" t="s">
        <v>43</v>
      </c>
      <c r="H576" s="44">
        <f>IF(C576&lt;&gt;"",VLOOKUP($C576,Carpetas!$C$5:$L$2060,9,FALSE),"")</f>
        <v>1526487</v>
      </c>
      <c r="I576" s="51" t="str">
        <f>IF(C576&lt;&gt;"",VLOOKUP($C576,Carpetas!$C$5:$L$2060,5,FALSE),"")</f>
        <v>Andino</v>
      </c>
      <c r="J576" s="51"/>
      <c r="K576" s="50">
        <v>45832</v>
      </c>
      <c r="L576" s="39" t="str">
        <f>VLOOKUP($C576,Carpetas!$C$5:$L$2060,4,FALSE)</f>
        <v>Fray Bentos</v>
      </c>
      <c r="M576" s="55">
        <f>K576+1</f>
        <v>45833</v>
      </c>
      <c r="N576" s="53">
        <f t="shared" si="41"/>
        <v>15</v>
      </c>
      <c r="O576" s="51">
        <v>1680</v>
      </c>
      <c r="P576" s="51"/>
      <c r="Q576" s="51">
        <v>1680</v>
      </c>
      <c r="R576" s="51">
        <v>21</v>
      </c>
      <c r="S576" s="51">
        <v>12.5</v>
      </c>
      <c r="T576" s="65"/>
      <c r="U576" s="65"/>
      <c r="V576" s="65" t="s">
        <v>1203</v>
      </c>
      <c r="W576" s="50" t="s">
        <v>56</v>
      </c>
      <c r="X576" s="66" t="s">
        <v>1319</v>
      </c>
    </row>
    <row r="577" hidden="1" ht="27.75" customHeight="1" s="32" customFormat="1">
      <c r="A577" s="37"/>
      <c r="B577" s="31" t="s">
        <v>32</v>
      </c>
      <c r="C577" s="59" t="s">
        <v>1320</v>
      </c>
      <c r="D577" s="121" t="s">
        <v>632</v>
      </c>
      <c r="E577" s="57">
        <v>45832</v>
      </c>
      <c r="F577" s="38" t="str">
        <f>IF(C577&lt;&gt;"",VLOOKUP($C577,Carpetas!$C$5:$L$2060,2,FALSE),"")</f>
        <v>ECES003</v>
      </c>
      <c r="G577" s="38" t="s">
        <v>43</v>
      </c>
      <c r="H577" s="44">
        <f>IF(C577&lt;&gt;"",VLOOKUP($C577,Carpetas!$C$5:$L$2060,9,FALSE),"")</f>
        <v>0</v>
      </c>
      <c r="I577" s="51" t="str">
        <f>IF(C577&lt;&gt;"",VLOOKUP($C577,Carpetas!$C$5:$L$2060,5,FALSE),"")</f>
        <v>Ciatran</v>
      </c>
      <c r="J577" s="51"/>
      <c r="K577" s="50">
        <v>45832</v>
      </c>
      <c r="L577" s="39" t="str">
        <f>VLOOKUP($C577,Carpetas!$C$5:$L$2060,4,FALSE)</f>
        <v>Carrasco</v>
      </c>
      <c r="M577" s="55">
        <v>45834</v>
      </c>
      <c r="N577" s="53">
        <f t="shared" si="41"/>
        <v>2</v>
      </c>
      <c r="O577" s="51">
        <v>100</v>
      </c>
      <c r="P577" s="51"/>
      <c r="Q577" s="51"/>
      <c r="R577" s="51"/>
      <c r="S577" s="51"/>
      <c r="T577" s="65"/>
      <c r="U577" s="65"/>
      <c r="V577" s="65"/>
      <c r="W577" s="50"/>
      <c r="X577" s="66"/>
    </row>
    <row r="578" hidden="1" ht="27.75" customHeight="1" s="32" customFormat="1">
      <c r="A578" s="37"/>
      <c r="B578" s="31" t="s">
        <v>32</v>
      </c>
      <c r="C578" s="59" t="s">
        <v>1321</v>
      </c>
      <c r="D578" s="121" t="s">
        <v>30</v>
      </c>
      <c r="E578" s="57">
        <v>45818</v>
      </c>
      <c r="F578" s="38" t="str">
        <f>IF(C578&lt;&gt;"",VLOOKUP($C578,Carpetas!$C$5:$L$2060,2,FALSE),"")</f>
        <v>ECB026</v>
      </c>
      <c r="G578" s="38" t="s">
        <v>43</v>
      </c>
      <c r="H578" s="44">
        <f>IF(C578&lt;&gt;"",VLOOKUP($C578,Carpetas!$C$5:$L$2060,9,FALSE),"")</f>
        <v>1527012</v>
      </c>
      <c r="I578" s="51" t="str">
        <f>IF(C578&lt;&gt;"",VLOOKUP($C578,Carpetas!$C$5:$L$2060,5,FALSE),"")</f>
        <v>Andino</v>
      </c>
      <c r="J578" s="51"/>
      <c r="K578" s="50">
        <v>45838</v>
      </c>
      <c r="L578" s="39" t="str">
        <f>VLOOKUP($C578,Carpetas!$C$5:$L$2060,4,FALSE)</f>
        <v>Fray Bentos</v>
      </c>
      <c r="M578" s="55">
        <f ref="M578:M588" t="shared" si="42">K578+1</f>
        <v>45839</v>
      </c>
      <c r="N578" s="53">
        <f t="shared" si="41"/>
        <v>21</v>
      </c>
      <c r="O578" s="51">
        <v>2160</v>
      </c>
      <c r="P578" s="51"/>
      <c r="Q578" s="51">
        <v>2160</v>
      </c>
      <c r="R578" s="51">
        <v>40</v>
      </c>
      <c r="S578" s="51">
        <v>21</v>
      </c>
      <c r="T578" s="65"/>
      <c r="U578" s="65"/>
      <c r="V578" s="65" t="s">
        <v>55</v>
      </c>
      <c r="W578" s="50" t="s">
        <v>1322</v>
      </c>
      <c r="X578" s="66" t="s">
        <v>1323</v>
      </c>
    </row>
    <row r="579" hidden="1" ht="27.75" customHeight="1" s="32" customFormat="1">
      <c r="A579" s="37"/>
      <c r="B579" s="31" t="s">
        <v>32</v>
      </c>
      <c r="C579" s="59" t="s">
        <v>1321</v>
      </c>
      <c r="D579" s="121" t="s">
        <v>30</v>
      </c>
      <c r="E579" s="57">
        <v>45818</v>
      </c>
      <c r="F579" s="38" t="str">
        <f>IF(C579&lt;&gt;"",VLOOKUP($C579,Carpetas!$C$5:$L$2060,2,FALSE),"")</f>
        <v>ECB026</v>
      </c>
      <c r="G579" s="38" t="s">
        <v>43</v>
      </c>
      <c r="H579" s="44">
        <f>IF(C579&lt;&gt;"",VLOOKUP($C579,Carpetas!$C$5:$L$2060,9,FALSE),"")</f>
        <v>1527012</v>
      </c>
      <c r="I579" s="51" t="str">
        <f>IF(C579&lt;&gt;"",VLOOKUP($C579,Carpetas!$C$5:$L$2060,5,FALSE),"")</f>
        <v>Andino</v>
      </c>
      <c r="J579" s="51"/>
      <c r="K579" s="50">
        <v>45839</v>
      </c>
      <c r="L579" s="39" t="str">
        <f>VLOOKUP($C579,Carpetas!$C$5:$L$2060,4,FALSE)</f>
        <v>Fray Bentos</v>
      </c>
      <c r="M579" s="55">
        <f t="shared" si="42"/>
        <v>45840</v>
      </c>
      <c r="N579" s="53">
        <f t="shared" si="41"/>
        <v>22</v>
      </c>
      <c r="O579" s="51">
        <v>2160</v>
      </c>
      <c r="P579" s="51"/>
      <c r="Q579" s="51">
        <v>2160</v>
      </c>
      <c r="R579" s="51">
        <v>40</v>
      </c>
      <c r="S579" s="51">
        <v>21.5</v>
      </c>
      <c r="T579" s="65"/>
      <c r="U579" s="65"/>
      <c r="V579" s="65" t="s">
        <v>55</v>
      </c>
      <c r="W579" s="50" t="s">
        <v>1324</v>
      </c>
      <c r="X579" s="66" t="s">
        <v>1325</v>
      </c>
    </row>
    <row r="580" hidden="1" ht="27.75" customHeight="1" s="32" customFormat="1">
      <c r="A580" s="37"/>
      <c r="B580" s="31" t="s">
        <v>32</v>
      </c>
      <c r="C580" s="59" t="s">
        <v>1326</v>
      </c>
      <c r="D580" s="57" t="s">
        <v>30</v>
      </c>
      <c r="E580" s="57">
        <v>45817</v>
      </c>
      <c r="F580" s="38" t="str">
        <f>IF(C580&lt;&gt;"",VLOOKUP($C580,Carpetas!$C$5:$L$2060,2,FALSE),"")</f>
        <v>COB011</v>
      </c>
      <c r="G580" s="38" t="s">
        <v>267</v>
      </c>
      <c r="H580" s="44">
        <f>IF(C580&lt;&gt;"",VLOOKUP($C580,Carpetas!$C$5:$L$2060,9,FALSE),"")</f>
        <v>1525843</v>
      </c>
      <c r="I580" s="51" t="str">
        <f>IF(C580&lt;&gt;"",VLOOKUP($C580,Carpetas!$C$5:$L$2060,5,FALSE),"")</f>
        <v>Andino</v>
      </c>
      <c r="J580" s="51"/>
      <c r="K580" s="50">
        <v>45840</v>
      </c>
      <c r="L580" s="39" t="str">
        <f>VLOOKUP($C580,Carpetas!$C$5:$L$2060,4,FALSE)</f>
        <v>Fray Bentos</v>
      </c>
      <c r="M580" s="55">
        <f t="shared" si="42"/>
        <v>45841</v>
      </c>
      <c r="N580" s="53">
        <f t="shared" si="41"/>
        <v>24</v>
      </c>
      <c r="O580" s="51">
        <v>1080</v>
      </c>
      <c r="P580" s="51"/>
      <c r="Q580" s="51">
        <v>1080</v>
      </c>
      <c r="R580" s="51">
        <v>20</v>
      </c>
      <c r="S580" s="51">
        <v>21</v>
      </c>
      <c r="T580" s="65"/>
      <c r="U580" s="65"/>
      <c r="V580" s="65" t="s">
        <v>690</v>
      </c>
      <c r="W580" s="51" t="s">
        <v>1327</v>
      </c>
      <c r="X580" s="66" t="s">
        <v>1328</v>
      </c>
    </row>
    <row r="581" hidden="1" ht="27.75" customHeight="1" s="32" customFormat="1">
      <c r="A581" s="37"/>
      <c r="B581" s="31" t="s">
        <v>32</v>
      </c>
      <c r="C581" s="59" t="s">
        <v>1329</v>
      </c>
      <c r="D581" s="57" t="s">
        <v>48</v>
      </c>
      <c r="E581" s="57">
        <v>45829</v>
      </c>
      <c r="F581" s="38" t="str">
        <f>IF(C581&lt;&gt;"",VLOOKUP($C581,Carpetas!$C$5:$L$2060,2,FALSE),"")</f>
        <v>PEP009</v>
      </c>
      <c r="G581" s="38" t="s">
        <v>216</v>
      </c>
      <c r="H581" s="44">
        <f>IF(C581&lt;&gt;"",VLOOKUP($C581,Carpetas!$C$5:$L$2060,9,FALSE),"")</f>
        <v>0</v>
      </c>
      <c r="I581" s="51" t="str">
        <f>IF(C581&lt;&gt;"",VLOOKUP($C581,Carpetas!$C$5:$L$2060,5,FALSE),"")</f>
        <v>Andino</v>
      </c>
      <c r="J581" s="51"/>
      <c r="K581" s="50">
        <v>45840</v>
      </c>
      <c r="L581" s="39" t="str">
        <f>VLOOKUP($C581,Carpetas!$C$5:$L$2060,4,FALSE)</f>
        <v>Fray Bentos</v>
      </c>
      <c r="M581" s="55">
        <f t="shared" si="42"/>
        <v>45841</v>
      </c>
      <c r="N581" s="53">
        <f t="shared" si="41"/>
        <v>12</v>
      </c>
      <c r="O581" s="51">
        <v>1920</v>
      </c>
      <c r="P581" s="51"/>
      <c r="Q581" s="51">
        <v>1920</v>
      </c>
      <c r="R581" s="51">
        <v>12.4</v>
      </c>
      <c r="S581" s="51">
        <v>20</v>
      </c>
      <c r="T581" s="65"/>
      <c r="U581" s="65"/>
      <c r="V581" s="65" t="s">
        <v>333</v>
      </c>
      <c r="W581" s="51" t="s">
        <v>198</v>
      </c>
      <c r="X581" s="66" t="s">
        <v>1330</v>
      </c>
    </row>
    <row r="582" hidden="1" ht="27.75" customHeight="1" s="32" customFormat="1">
      <c r="A582" s="37"/>
      <c r="B582" s="31" t="s">
        <v>32</v>
      </c>
      <c r="C582" s="59" t="s">
        <v>1331</v>
      </c>
      <c r="D582" s="57" t="s">
        <v>30</v>
      </c>
      <c r="E582" s="57">
        <v>45825</v>
      </c>
      <c r="F582" s="38" t="str">
        <f>IF(C582&lt;&gt;"",VLOOKUP($C582,Carpetas!$C$5:$L$2060,2,FALSE),"")</f>
        <v>ECB027</v>
      </c>
      <c r="G582" s="38" t="s">
        <v>43</v>
      </c>
      <c r="H582" s="44">
        <f>IF(C582&lt;&gt;"",VLOOKUP($C582,Carpetas!$C$5:$L$2060,9,FALSE),"")</f>
        <v>1527589</v>
      </c>
      <c r="I582" s="51" t="str">
        <f>IF(C582&lt;&gt;"",VLOOKUP($C582,Carpetas!$C$5:$L$2060,5,FALSE),"")</f>
        <v>Andino</v>
      </c>
      <c r="J582" s="51"/>
      <c r="K582" s="50">
        <v>45845</v>
      </c>
      <c r="L582" s="39" t="str">
        <f>VLOOKUP($C582,Carpetas!$C$5:$L$2060,4,FALSE)</f>
        <v>Fray Bentos</v>
      </c>
      <c r="M582" s="55">
        <f t="shared" si="42"/>
        <v>45846</v>
      </c>
      <c r="N582" s="53">
        <f t="shared" si="41"/>
        <v>21</v>
      </c>
      <c r="O582" s="51">
        <v>4320</v>
      </c>
      <c r="P582" s="51"/>
      <c r="Q582" s="51">
        <v>2160</v>
      </c>
      <c r="R582" s="51">
        <v>80</v>
      </c>
      <c r="S582" s="51">
        <v>21</v>
      </c>
      <c r="T582" s="65"/>
      <c r="U582" s="65"/>
      <c r="V582" s="65" t="s">
        <v>55</v>
      </c>
      <c r="W582" s="51" t="s">
        <v>1332</v>
      </c>
      <c r="X582" s="66" t="s">
        <v>1333</v>
      </c>
    </row>
    <row r="583" hidden="1" ht="27.75" customHeight="1" s="32" customFormat="1">
      <c r="A583" s="37"/>
      <c r="B583" s="31" t="s">
        <v>32</v>
      </c>
      <c r="C583" s="59" t="s">
        <v>1334</v>
      </c>
      <c r="D583" s="57" t="s">
        <v>432</v>
      </c>
      <c r="E583" s="57">
        <v>45842</v>
      </c>
      <c r="F583" s="38" t="str">
        <f>IF(C583&lt;&gt;"",VLOOKUP($C583,Carpetas!$C$5:$L$2060,2,FALSE),"")</f>
        <v>CLK006</v>
      </c>
      <c r="G583" s="38" t="s">
        <v>35</v>
      </c>
      <c r="H583" s="44">
        <f>IF(C583&lt;&gt;"",VLOOKUP($C583,Carpetas!$C$5:$L$2060,9,FALSE),"")</f>
        <v>1529323</v>
      </c>
      <c r="I583" s="51" t="str">
        <f>IF(C583&lt;&gt;"",VLOOKUP($C583,Carpetas!$C$5:$L$2060,5,FALSE),"")</f>
        <v>Nihuil</v>
      </c>
      <c r="J583" s="51"/>
      <c r="K583" s="50">
        <v>45845</v>
      </c>
      <c r="L583" s="39" t="str">
        <f>VLOOKUP($C583,Carpetas!$C$5:$L$2060,4,FALSE)</f>
        <v>Fray Bentos</v>
      </c>
      <c r="M583" s="55">
        <f t="shared" si="42"/>
        <v>45846</v>
      </c>
      <c r="N583" s="53">
        <f t="shared" si="41"/>
        <v>4</v>
      </c>
      <c r="O583" s="51">
        <v>2288</v>
      </c>
      <c r="P583" s="51"/>
      <c r="Q583" s="51">
        <v>2288</v>
      </c>
      <c r="R583" s="51">
        <v>22</v>
      </c>
      <c r="S583" s="51">
        <v>10.5</v>
      </c>
      <c r="T583" s="65"/>
      <c r="U583" s="65"/>
      <c r="V583" s="65" t="s">
        <v>459</v>
      </c>
      <c r="W583" s="51" t="s">
        <v>1335</v>
      </c>
      <c r="X583" s="66" t="s">
        <v>1336</v>
      </c>
    </row>
    <row r="584" hidden="1" ht="27.75" customHeight="1" s="32" customFormat="1">
      <c r="A584" s="37"/>
      <c r="B584" s="31" t="s">
        <v>32</v>
      </c>
      <c r="C584" s="59" t="s">
        <v>1337</v>
      </c>
      <c r="D584" s="57" t="s">
        <v>48</v>
      </c>
      <c r="E584" s="57">
        <v>45836</v>
      </c>
      <c r="F584" s="38" t="str">
        <f>IF(C584&lt;&gt;"",VLOOKUP($C584,Carpetas!$C$5:$L$2060,2,FALSE),"")</f>
        <v>PEP010</v>
      </c>
      <c r="G584" s="38" t="s">
        <v>216</v>
      </c>
      <c r="H584" s="44">
        <f>IF(C584&lt;&gt;"",VLOOKUP($C584,Carpetas!$C$5:$L$2060,9,FALSE),"")</f>
        <v>0</v>
      </c>
      <c r="I584" s="51" t="str">
        <f>IF(C584&lt;&gt;"",VLOOKUP($C584,Carpetas!$C$5:$L$2060,5,FALSE),"")</f>
        <v>Andino</v>
      </c>
      <c r="J584" s="51"/>
      <c r="K584" s="50">
        <v>45848</v>
      </c>
      <c r="L584" s="39" t="str">
        <f>VLOOKUP($C584,Carpetas!$C$5:$L$2060,4,FALSE)</f>
        <v>Fray Bentos</v>
      </c>
      <c r="M584" s="55">
        <f t="shared" si="42"/>
        <v>45849</v>
      </c>
      <c r="N584" s="53">
        <f t="shared" si="41"/>
        <v>13</v>
      </c>
      <c r="O584" s="51">
        <v>1920</v>
      </c>
      <c r="P584" s="51"/>
      <c r="Q584" s="51">
        <v>1920</v>
      </c>
      <c r="R584" s="51">
        <v>20</v>
      </c>
      <c r="S584" s="51">
        <v>12.5</v>
      </c>
      <c r="T584" s="65"/>
      <c r="U584" s="65"/>
      <c r="V584" s="65" t="s">
        <v>333</v>
      </c>
      <c r="W584" s="51" t="s">
        <v>94</v>
      </c>
      <c r="X584" s="66" t="s">
        <v>1338</v>
      </c>
    </row>
    <row r="585" hidden="1" ht="27.75" customHeight="1" s="32" customFormat="1">
      <c r="A585" s="37"/>
      <c r="B585" s="31" t="s">
        <v>32</v>
      </c>
      <c r="C585" s="59" t="s">
        <v>1339</v>
      </c>
      <c r="D585" s="57" t="s">
        <v>30</v>
      </c>
      <c r="E585" s="57">
        <v>45832</v>
      </c>
      <c r="F585" s="38" t="str">
        <f>IF(C585&lt;&gt;"",VLOOKUP($C585,Carpetas!$C$5:$L$2060,2,FALSE),"")</f>
        <v>ECB028</v>
      </c>
      <c r="G585" s="38" t="s">
        <v>43</v>
      </c>
      <c r="H585" s="44">
        <f>IF(C585&lt;&gt;"",VLOOKUP($C585,Carpetas!$C$5:$L$2060,9,FALSE),"")</f>
        <v>1528133</v>
      </c>
      <c r="I585" s="51" t="str">
        <f>IF(C585&lt;&gt;"",VLOOKUP($C585,Carpetas!$C$5:$L$2060,5,FALSE),"")</f>
        <v>Andino</v>
      </c>
      <c r="J585" s="51"/>
      <c r="K585" s="50">
        <v>45849</v>
      </c>
      <c r="L585" s="39" t="str">
        <f>VLOOKUP($C585,Carpetas!$C$5:$L$2060,4,FALSE)</f>
        <v>Fray Bentos</v>
      </c>
      <c r="M585" s="55">
        <f t="shared" si="42"/>
        <v>45850</v>
      </c>
      <c r="N585" s="53">
        <f t="shared" si="41"/>
        <v>18</v>
      </c>
      <c r="O585" s="51">
        <v>4320</v>
      </c>
      <c r="P585" s="51"/>
      <c r="Q585" s="51">
        <v>4320</v>
      </c>
      <c r="R585" s="51">
        <v>80</v>
      </c>
      <c r="S585" s="51">
        <v>21</v>
      </c>
      <c r="T585" s="65"/>
      <c r="U585" s="65"/>
      <c r="V585" s="65" t="s">
        <v>55</v>
      </c>
      <c r="W585" s="51" t="s">
        <v>1340</v>
      </c>
      <c r="X585" s="66" t="s">
        <v>1341</v>
      </c>
    </row>
    <row r="586" hidden="1" ht="27.75" customHeight="1" s="32" customFormat="1">
      <c r="A586" s="37"/>
      <c r="B586" s="31" t="s">
        <v>32</v>
      </c>
      <c r="C586" s="59" t="s">
        <v>1342</v>
      </c>
      <c r="D586" s="57" t="s">
        <v>30</v>
      </c>
      <c r="E586" s="57">
        <v>45839</v>
      </c>
      <c r="F586" s="38" t="str">
        <f>IF(C586&lt;&gt;"",VLOOKUP($C586,Carpetas!$C$5:$L$2060,2,FALSE),"")</f>
        <v>ECB029</v>
      </c>
      <c r="G586" s="38" t="s">
        <v>43</v>
      </c>
      <c r="H586" s="44">
        <f>IF(C586&lt;&gt;"",VLOOKUP($C586,Carpetas!$C$5:$L$2060,9,FALSE),"")</f>
        <v>1528614</v>
      </c>
      <c r="I586" s="51" t="str">
        <f>IF(C586&lt;&gt;"",VLOOKUP($C586,Carpetas!$C$5:$L$2060,5,FALSE),"")</f>
        <v>Andino</v>
      </c>
      <c r="J586" s="51"/>
      <c r="K586" s="50">
        <v>45859</v>
      </c>
      <c r="L586" s="39" t="str">
        <f>VLOOKUP($C586,Carpetas!$C$5:$L$2060,4,FALSE)</f>
        <v>Fray Bentos</v>
      </c>
      <c r="M586" s="55">
        <f t="shared" si="42"/>
        <v>45860</v>
      </c>
      <c r="N586" s="53">
        <f t="shared" si="41"/>
        <v>21</v>
      </c>
      <c r="O586" s="51">
        <v>4320</v>
      </c>
      <c r="P586" s="51"/>
      <c r="Q586" s="51">
        <v>4320</v>
      </c>
      <c r="R586" s="51">
        <v>80</v>
      </c>
      <c r="S586" s="51">
        <v>21</v>
      </c>
      <c r="T586" s="65"/>
      <c r="U586" s="65"/>
      <c r="V586" s="65" t="s">
        <v>302</v>
      </c>
      <c r="W586" s="51" t="s">
        <v>1343</v>
      </c>
      <c r="X586" s="66" t="s">
        <v>1344</v>
      </c>
    </row>
    <row r="587" hidden="1" ht="27.75" customHeight="1" s="32" customFormat="1">
      <c r="A587" s="37"/>
      <c r="B587" s="31" t="s">
        <v>32</v>
      </c>
      <c r="C587" s="59" t="s">
        <v>1345</v>
      </c>
      <c r="D587" s="57" t="s">
        <v>30</v>
      </c>
      <c r="E587" s="57">
        <v>45841</v>
      </c>
      <c r="F587" s="38" t="str">
        <f>IF(C587&lt;&gt;"",VLOOKUP($C587,Carpetas!$C$5:$L$2060,2,FALSE),"")</f>
        <v>COB012</v>
      </c>
      <c r="G587" s="38" t="s">
        <v>43</v>
      </c>
      <c r="H587" s="44">
        <f>IF(C587&lt;&gt;"",VLOOKUP($C587,Carpetas!$C$5:$L$2060,9,FALSE),"")</f>
        <v>1525844</v>
      </c>
      <c r="I587" s="51" t="str">
        <f>IF(C587&lt;&gt;"",VLOOKUP($C587,Carpetas!$C$5:$L$2060,5,FALSE),"")</f>
        <v>Andino</v>
      </c>
      <c r="J587" s="51"/>
      <c r="K587" s="50">
        <v>45861</v>
      </c>
      <c r="L587" s="39" t="str">
        <f>VLOOKUP($C587,Carpetas!$C$5:$L$2060,4,FALSE)</f>
        <v>Fray Bentos</v>
      </c>
      <c r="M587" s="55">
        <f t="shared" si="42"/>
        <v>45862</v>
      </c>
      <c r="N587" s="53">
        <f t="shared" si="41"/>
        <v>21</v>
      </c>
      <c r="O587" s="51">
        <v>1080</v>
      </c>
      <c r="P587" s="51"/>
      <c r="Q587" s="51">
        <v>1080</v>
      </c>
      <c r="R587" s="51">
        <v>20</v>
      </c>
      <c r="S587" s="51">
        <v>20.5</v>
      </c>
      <c r="T587" s="65"/>
      <c r="U587" s="65"/>
      <c r="V587" s="65" t="s">
        <v>1346</v>
      </c>
      <c r="W587" s="51" t="s">
        <v>1261</v>
      </c>
      <c r="X587" s="66" t="s">
        <v>1347</v>
      </c>
    </row>
    <row r="588" hidden="1" ht="27.75" customHeight="1" s="32" customFormat="1">
      <c r="A588" s="37"/>
      <c r="B588" s="31" t="s">
        <v>32</v>
      </c>
      <c r="C588" s="59" t="s">
        <v>1348</v>
      </c>
      <c r="D588" s="57" t="s">
        <v>37</v>
      </c>
      <c r="E588" s="57">
        <v>45860</v>
      </c>
      <c r="F588" s="38" t="str">
        <f>IF(C588&lt;&gt;"",VLOOKUP($C588,Carpetas!$C$5:$L$2060,2,FALSE),"")</f>
        <v>CLK007</v>
      </c>
      <c r="G588" s="38" t="s">
        <v>35</v>
      </c>
      <c r="H588" s="44">
        <f>IF(C588&lt;&gt;"",VLOOKUP($C588,Carpetas!$C$5:$L$2060,9,FALSE),"")</f>
        <v>1531017</v>
      </c>
      <c r="I588" s="51" t="str">
        <f>IF(C588&lt;&gt;"",VLOOKUP($C588,Carpetas!$C$5:$L$2060,5,FALSE),"")</f>
        <v>Nihuil</v>
      </c>
      <c r="J588" s="51"/>
      <c r="K588" s="50">
        <v>45862</v>
      </c>
      <c r="L588" s="39" t="str">
        <f>VLOOKUP($C588,Carpetas!$C$5:$L$2060,4,FALSE)</f>
        <v>Fray Bentos</v>
      </c>
      <c r="M588" s="55">
        <f t="shared" si="42"/>
        <v>45863</v>
      </c>
      <c r="N588" s="53">
        <f t="shared" si="41"/>
        <v>3</v>
      </c>
      <c r="O588" s="51">
        <v>2288</v>
      </c>
      <c r="P588" s="51"/>
      <c r="Q588" s="51">
        <v>2288</v>
      </c>
      <c r="R588" s="51">
        <v>22</v>
      </c>
      <c r="S588" s="51">
        <v>10.5</v>
      </c>
      <c r="T588" s="65"/>
      <c r="U588" s="65"/>
      <c r="V588" s="65" t="s">
        <v>459</v>
      </c>
      <c r="W588" s="51" t="s">
        <v>1349</v>
      </c>
      <c r="X588" s="66" t="s">
        <v>1350</v>
      </c>
    </row>
    <row r="589" hidden="1" ht="27.75" customHeight="1" s="32" customFormat="1">
      <c r="A589" s="37"/>
      <c r="B589" s="31" t="s">
        <v>32</v>
      </c>
      <c r="C589" s="59" t="s">
        <v>1351</v>
      </c>
      <c r="D589" s="57" t="s">
        <v>42</v>
      </c>
      <c r="E589" s="57">
        <v>45846</v>
      </c>
      <c r="F589" s="38" t="str">
        <f>IF(C589&lt;&gt;"",VLOOKUP($C589,Carpetas!$C$5:$L$2060,2,FALSE),"")</f>
        <v>ECA016</v>
      </c>
      <c r="G589" s="38" t="s">
        <v>43</v>
      </c>
      <c r="H589" s="44">
        <f>IF(C589&lt;&gt;"",VLOOKUP($C589,Carpetas!$C$5:$L$2060,9,FALSE),"")</f>
        <v>1529065</v>
      </c>
      <c r="I589" s="51" t="str">
        <f>IF(C589&lt;&gt;"",VLOOKUP($C589,Carpetas!$C$5:$L$2060,5,FALSE),"")</f>
        <v>Andino</v>
      </c>
      <c r="J589" s="51"/>
      <c r="K589" s="50">
        <v>45864</v>
      </c>
      <c r="L589" s="39" t="str">
        <f>VLOOKUP($C589,Carpetas!$C$5:$L$2060,4,FALSE)</f>
        <v>Fray Bentos</v>
      </c>
      <c r="M589" s="55">
        <v>45866</v>
      </c>
      <c r="N589" s="53">
        <f t="shared" si="41"/>
        <v>20</v>
      </c>
      <c r="O589" s="51">
        <v>1680</v>
      </c>
      <c r="P589" s="51"/>
      <c r="Q589" s="51"/>
      <c r="R589" s="51"/>
      <c r="S589" s="51"/>
      <c r="T589" s="65"/>
      <c r="U589" s="65"/>
      <c r="V589" s="65"/>
      <c r="W589" s="51"/>
      <c r="X589" s="66"/>
    </row>
    <row r="590" hidden="1" ht="27.75" customHeight="1" s="32" customFormat="1">
      <c r="A590" s="37"/>
      <c r="B590" s="31" t="s">
        <v>32</v>
      </c>
      <c r="C590" s="59" t="s">
        <v>1352</v>
      </c>
      <c r="D590" s="57" t="s">
        <v>30</v>
      </c>
      <c r="E590" s="57">
        <v>45846</v>
      </c>
      <c r="F590" s="38" t="str">
        <f>IF(C590&lt;&gt;"",VLOOKUP($C590,Carpetas!$C$5:$L$2060,2,FALSE),"")</f>
        <v>ECB030</v>
      </c>
      <c r="G590" s="38" t="s">
        <v>43</v>
      </c>
      <c r="H590" s="44">
        <f>IF(C590&lt;&gt;"",VLOOKUP($C590,Carpetas!$C$5:$L$2060,9,FALSE),"")</f>
        <v>1529066</v>
      </c>
      <c r="I590" s="51" t="str">
        <f>IF(C590&lt;&gt;"",VLOOKUP($C590,Carpetas!$C$5:$L$2060,5,FALSE),"")</f>
        <v>Andino</v>
      </c>
      <c r="J590" s="51"/>
      <c r="K590" s="50">
        <v>45864</v>
      </c>
      <c r="L590" s="39" t="str">
        <f>VLOOKUP($C590,Carpetas!$C$5:$L$2060,4,FALSE)</f>
        <v>Fray Bentos</v>
      </c>
      <c r="M590" s="55">
        <v>45866</v>
      </c>
      <c r="N590" s="53">
        <f t="shared" si="41"/>
        <v>20</v>
      </c>
      <c r="O590" s="51">
        <v>4320</v>
      </c>
      <c r="P590" s="51"/>
      <c r="Q590" s="51">
        <v>4320</v>
      </c>
      <c r="R590" s="51">
        <v>80</v>
      </c>
      <c r="S590" s="51">
        <v>21.5</v>
      </c>
      <c r="T590" s="65"/>
      <c r="U590" s="65"/>
      <c r="V590" s="65" t="s">
        <v>55</v>
      </c>
      <c r="W590" s="51" t="s">
        <v>1353</v>
      </c>
      <c r="X590" s="66" t="s">
        <v>1354</v>
      </c>
    </row>
    <row r="591" hidden="1" ht="27.75" customHeight="1" s="32" customFormat="1">
      <c r="A591" s="37"/>
      <c r="B591" s="31" t="s">
        <v>32</v>
      </c>
      <c r="C591" s="59" t="s">
        <v>1355</v>
      </c>
      <c r="D591" s="57" t="s">
        <v>571</v>
      </c>
      <c r="E591" s="57">
        <v>45834</v>
      </c>
      <c r="F591" s="38" t="str">
        <f>IF(C591&lt;&gt;"",VLOOKUP($C591,Carpetas!$C$5:$L$2060,2,FALSE),"")</f>
        <v>ESC001</v>
      </c>
      <c r="G591" s="38" t="s">
        <v>361</v>
      </c>
      <c r="H591" s="44">
        <f>IF(C591&lt;&gt;"",VLOOKUP($C591,Carpetas!$C$5:$L$2060,9,FALSE),"")</f>
        <v>0</v>
      </c>
      <c r="I591" s="51" t="str">
        <f>IF(C591&lt;&gt;"",VLOOKUP($C591,Carpetas!$C$5:$L$2060,5,FALSE),"")</f>
        <v>Ciatran</v>
      </c>
      <c r="J591" s="51"/>
      <c r="K591" s="50">
        <v>45864</v>
      </c>
      <c r="L591" s="39" t="str">
        <f>VLOOKUP($C591,Carpetas!$C$5:$L$2060,4,FALSE)</f>
        <v>Montevide</v>
      </c>
      <c r="M591" s="55">
        <v>45867</v>
      </c>
      <c r="N591" s="53">
        <f t="shared" si="41"/>
        <v>33</v>
      </c>
      <c r="O591" s="51">
        <v>2324</v>
      </c>
      <c r="P591" s="51"/>
      <c r="Q591" s="51"/>
      <c r="R591" s="51"/>
      <c r="S591" s="51"/>
      <c r="T591" s="65"/>
      <c r="U591" s="65"/>
      <c r="V591" s="65"/>
      <c r="W591" s="51"/>
      <c r="X591" s="66"/>
    </row>
    <row r="592" hidden="1" ht="27.75" customHeight="1" s="32" customFormat="1">
      <c r="A592" s="37"/>
      <c r="B592" s="31" t="s">
        <v>32</v>
      </c>
      <c r="C592" s="59" t="s">
        <v>1356</v>
      </c>
      <c r="D592" s="57" t="s">
        <v>34</v>
      </c>
      <c r="E592" s="57">
        <v>45865</v>
      </c>
      <c r="F592" s="38" t="str">
        <f>IF(C592&lt;&gt;"",VLOOKUP($C592,Carpetas!$C$5:$L$2060,2,FALSE),"")</f>
        <v>PEA004</v>
      </c>
      <c r="G592" s="38" t="s">
        <v>216</v>
      </c>
      <c r="H592" s="44">
        <f>IF(C592&lt;&gt;"",VLOOKUP($C592,Carpetas!$C$5:$L$2060,9,FALSE),"")</f>
        <v>1529787</v>
      </c>
      <c r="I592" s="51" t="str">
        <f>IF(C592&lt;&gt;"",VLOOKUP($C592,Carpetas!$C$5:$L$2060,5,FALSE),"")</f>
        <v>Ciatran</v>
      </c>
      <c r="J592" s="51"/>
      <c r="K592" s="50">
        <v>45866</v>
      </c>
      <c r="L592" s="39" t="str">
        <f>VLOOKUP($C592,Carpetas!$C$5:$L$2060,4,FALSE)</f>
        <v>Carrasco</v>
      </c>
      <c r="M592" s="55">
        <f>K592+1</f>
        <v>45867</v>
      </c>
      <c r="N592" s="53">
        <f t="shared" si="41"/>
        <v>2</v>
      </c>
      <c r="O592" s="51">
        <v>600</v>
      </c>
      <c r="P592" s="51"/>
      <c r="Q592" s="51"/>
      <c r="R592" s="51"/>
      <c r="S592" s="51"/>
      <c r="T592" s="65"/>
      <c r="U592" s="65"/>
      <c r="V592" s="65"/>
      <c r="W592" s="51"/>
      <c r="X592" s="66"/>
    </row>
    <row r="593" hidden="1" ht="27.75" customHeight="1" s="32" customFormat="1">
      <c r="A593" s="37"/>
      <c r="B593" s="31" t="s">
        <v>32</v>
      </c>
      <c r="C593" s="59" t="s">
        <v>1357</v>
      </c>
      <c r="D593" s="57" t="s">
        <v>37</v>
      </c>
      <c r="E593" s="57">
        <v>45864</v>
      </c>
      <c r="F593" s="38" t="str">
        <f>IF(C593&lt;&gt;"",VLOOKUP($C593,Carpetas!$C$5:$L$2060,2,FALSE),"")</f>
        <v>CLK008</v>
      </c>
      <c r="G593" s="38" t="s">
        <v>35</v>
      </c>
      <c r="H593" s="44">
        <f>IF(C593&lt;&gt;"",VLOOKUP($C593,Carpetas!$C$5:$L$2060,9,FALSE),"")</f>
        <v>1531418</v>
      </c>
      <c r="I593" s="51" t="str">
        <f>IF(C593&lt;&gt;"",VLOOKUP($C593,Carpetas!$C$5:$L$2060,5,FALSE),"")</f>
        <v>Nihuil</v>
      </c>
      <c r="J593" s="51"/>
      <c r="K593" s="50">
        <v>45866</v>
      </c>
      <c r="L593" s="39" t="str">
        <f>VLOOKUP($C593,Carpetas!$C$5:$L$2060,4,FALSE)</f>
        <v>Fray Bentos</v>
      </c>
      <c r="M593" s="55">
        <v>45868</v>
      </c>
      <c r="N593" s="53">
        <f t="shared" si="41"/>
        <v>4</v>
      </c>
      <c r="O593" s="51">
        <v>2288</v>
      </c>
      <c r="P593" s="51"/>
      <c r="Q593" s="51">
        <v>2288</v>
      </c>
      <c r="R593" s="51">
        <v>22</v>
      </c>
      <c r="S593" s="51">
        <v>10.5</v>
      </c>
      <c r="T593" s="65"/>
      <c r="U593" s="65"/>
      <c r="V593" s="65" t="s">
        <v>459</v>
      </c>
      <c r="W593" s="51" t="s">
        <v>573</v>
      </c>
      <c r="X593" s="66" t="s">
        <v>1358</v>
      </c>
    </row>
    <row r="594" hidden="1" ht="27.75" customHeight="1" s="32" customFormat="1">
      <c r="A594" s="37"/>
      <c r="B594" s="31" t="s">
        <v>32</v>
      </c>
      <c r="C594" s="59" t="s">
        <v>1359</v>
      </c>
      <c r="D594" s="57" t="s">
        <v>30</v>
      </c>
      <c r="E594" s="57">
        <v>45853</v>
      </c>
      <c r="F594" s="38" t="str">
        <f>IF(C594&lt;&gt;"",VLOOKUP($C594,Carpetas!$C$5:$L$2060,2,FALSE),"")</f>
        <v>ECB031</v>
      </c>
      <c r="G594" s="38" t="s">
        <v>43</v>
      </c>
      <c r="H594" s="44">
        <f>IF(C594&lt;&gt;"",VLOOKUP($C594,Carpetas!$C$5:$L$2060,9,FALSE),"")</f>
        <v>1529726</v>
      </c>
      <c r="I594" s="51" t="str">
        <f>IF(C594&lt;&gt;"",VLOOKUP($C594,Carpetas!$C$5:$L$2060,5,FALSE),"")</f>
        <v>Andino</v>
      </c>
      <c r="J594" s="51"/>
      <c r="K594" s="50">
        <v>45876</v>
      </c>
      <c r="L594" s="39" t="str">
        <f>VLOOKUP($C594,Carpetas!$C$5:$L$2060,4,FALSE)</f>
        <v>Fray Bentos</v>
      </c>
      <c r="M594" s="55">
        <f ref="M594:M625" t="shared" si="43">K594+1</f>
        <v>45877</v>
      </c>
      <c r="N594" s="53">
        <f t="shared" si="41"/>
        <v>24</v>
      </c>
      <c r="O594" s="51">
        <v>4320</v>
      </c>
      <c r="P594" s="51"/>
      <c r="Q594" s="51">
        <v>4320</v>
      </c>
      <c r="R594" s="51">
        <v>80</v>
      </c>
      <c r="S594" s="51">
        <v>21</v>
      </c>
      <c r="T594" s="65"/>
      <c r="U594" s="65"/>
      <c r="V594" s="65" t="s">
        <v>55</v>
      </c>
      <c r="W594" s="51" t="s">
        <v>1360</v>
      </c>
      <c r="X594" s="66" t="s">
        <v>1361</v>
      </c>
    </row>
    <row r="595" hidden="1" ht="27.75" customHeight="1" s="32" customFormat="1">
      <c r="A595" s="37"/>
      <c r="B595" s="31" t="s">
        <v>32</v>
      </c>
      <c r="C595" s="59" t="s">
        <v>1362</v>
      </c>
      <c r="D595" s="57" t="s">
        <v>34</v>
      </c>
      <c r="E595" s="57">
        <v>45874</v>
      </c>
      <c r="F595" s="38" t="str">
        <f>IF(C595&lt;&gt;"",VLOOKUP($C595,Carpetas!$C$5:$L$2060,2,FALSE),"")</f>
        <v>PEA005</v>
      </c>
      <c r="G595" s="38" t="s">
        <v>216</v>
      </c>
      <c r="H595" s="44">
        <f>IF(C595&lt;&gt;"",VLOOKUP($C595,Carpetas!$C$5:$L$2060,9,FALSE),"")</f>
        <v>1532605</v>
      </c>
      <c r="I595" s="51" t="str">
        <f>IF(C595&lt;&gt;"",VLOOKUP($C595,Carpetas!$C$5:$L$2060,5,FALSE),"")</f>
        <v>Ciatran</v>
      </c>
      <c r="J595" s="51"/>
      <c r="K595" s="50">
        <v>45876</v>
      </c>
      <c r="L595" s="39" t="str">
        <f>VLOOKUP($C595,Carpetas!$C$5:$L$2060,4,FALSE)</f>
        <v>Carrasco</v>
      </c>
      <c r="M595" s="55">
        <f t="shared" si="43"/>
        <v>45877</v>
      </c>
      <c r="N595" s="53">
        <f t="shared" si="41"/>
        <v>3</v>
      </c>
      <c r="O595" s="51">
        <f>288*2</f>
        <v>576</v>
      </c>
      <c r="P595" s="51"/>
      <c r="Q595" s="51"/>
      <c r="R595" s="51"/>
      <c r="S595" s="51"/>
      <c r="T595" s="65"/>
      <c r="U595" s="65"/>
      <c r="V595" s="65"/>
      <c r="W595" s="51"/>
      <c r="X595" s="66"/>
    </row>
    <row r="596" hidden="1" ht="27.75" customHeight="1" s="32" customFormat="1">
      <c r="A596" s="37"/>
      <c r="B596" s="31" t="s">
        <v>32</v>
      </c>
      <c r="C596" s="59" t="s">
        <v>1363</v>
      </c>
      <c r="D596" s="57" t="s">
        <v>30</v>
      </c>
      <c r="E596" s="57">
        <v>45860</v>
      </c>
      <c r="F596" s="38" t="str">
        <f>IF(C596&lt;&gt;"",VLOOKUP($C596,Carpetas!$C$5:$L$2060,2,FALSE),"")</f>
        <v>ECE035</v>
      </c>
      <c r="G596" s="38" t="s">
        <v>43</v>
      </c>
      <c r="H596" s="44">
        <f>IF(C596&lt;&gt;"",VLOOKUP($C596,Carpetas!$C$5:$L$2060,9,FALSE),"")</f>
        <v>1530578</v>
      </c>
      <c r="I596" s="51" t="str">
        <f>IF(C596&lt;&gt;"",VLOOKUP($C596,Carpetas!$C$5:$L$2060,5,FALSE),"")</f>
        <v>Andino</v>
      </c>
      <c r="J596" s="51"/>
      <c r="K596" s="50">
        <v>45877</v>
      </c>
      <c r="L596" s="39" t="str">
        <f>VLOOKUP($C596,Carpetas!$C$5:$L$2060,4,FALSE)</f>
        <v>Fray Bentos</v>
      </c>
      <c r="M596" s="55">
        <f t="shared" si="43"/>
        <v>45878</v>
      </c>
      <c r="N596" s="53">
        <f t="shared" si="41"/>
        <v>18</v>
      </c>
      <c r="O596" s="51">
        <v>1080</v>
      </c>
      <c r="P596" s="51"/>
      <c r="Q596" s="51">
        <v>1080</v>
      </c>
      <c r="R596" s="51">
        <v>20</v>
      </c>
      <c r="S596" s="51"/>
      <c r="T596" s="65"/>
      <c r="U596" s="65"/>
      <c r="V596" s="65"/>
      <c r="W596" s="51"/>
      <c r="X596" s="66" t="s">
        <v>1364</v>
      </c>
    </row>
    <row r="597" hidden="1" ht="27.75" customHeight="1" s="32" customFormat="1">
      <c r="A597" s="37"/>
      <c r="B597" s="31" t="s">
        <v>32</v>
      </c>
      <c r="C597" s="59" t="s">
        <v>1365</v>
      </c>
      <c r="D597" s="57" t="s">
        <v>30</v>
      </c>
      <c r="E597" s="57">
        <v>45860</v>
      </c>
      <c r="F597" s="38" t="str">
        <f>IF(C597&lt;&gt;"",VLOOKUP($C597,Carpetas!$C$5:$L$2060,2,FALSE),"")</f>
        <v>ECB032</v>
      </c>
      <c r="G597" s="38" t="s">
        <v>43</v>
      </c>
      <c r="H597" s="44">
        <f>IF(C597&lt;&gt;"",VLOOKUP($C597,Carpetas!$C$5:$L$2060,9,FALSE),"")</f>
        <v>1530577</v>
      </c>
      <c r="I597" s="51" t="str">
        <f>IF(C597&lt;&gt;"",VLOOKUP($C597,Carpetas!$C$5:$L$2060,5,FALSE),"")</f>
        <v>Andino</v>
      </c>
      <c r="J597" s="51"/>
      <c r="K597" s="50">
        <v>45880</v>
      </c>
      <c r="L597" s="39" t="str">
        <f>VLOOKUP($C597,Carpetas!$C$5:$L$2060,4,FALSE)</f>
        <v>Fray Bentos</v>
      </c>
      <c r="M597" s="55">
        <f t="shared" si="43"/>
        <v>45881</v>
      </c>
      <c r="N597" s="53">
        <f t="shared" si="41"/>
        <v>21</v>
      </c>
      <c r="O597" s="51">
        <v>4320</v>
      </c>
      <c r="P597" s="51"/>
      <c r="Q597" s="51">
        <v>4320</v>
      </c>
      <c r="R597" s="51">
        <v>80</v>
      </c>
      <c r="S597" s="51"/>
      <c r="T597" s="65"/>
      <c r="U597" s="65"/>
      <c r="V597" s="65"/>
      <c r="W597" s="51" t="s">
        <v>1366</v>
      </c>
      <c r="X597" s="66" t="s">
        <v>1367</v>
      </c>
    </row>
    <row r="598" hidden="1" ht="27.75" customHeight="1" s="32" customFormat="1">
      <c r="A598" s="37"/>
      <c r="B598" s="31" t="s">
        <v>32</v>
      </c>
      <c r="C598" s="59" t="s">
        <v>1368</v>
      </c>
      <c r="D598" s="57" t="s">
        <v>30</v>
      </c>
      <c r="E598" s="57">
        <v>45852</v>
      </c>
      <c r="F598" s="38" t="str">
        <f>IF(C598&lt;&gt;"",VLOOKUP($C598,Carpetas!$C$5:$L$2060,2,FALSE),"")</f>
        <v>COB013</v>
      </c>
      <c r="G598" s="38" t="s">
        <v>267</v>
      </c>
      <c r="H598" s="44">
        <f>IF(C598&lt;&gt;"",VLOOKUP($C598,Carpetas!$C$5:$L$2060,9,FALSE),"")</f>
        <v>1525845</v>
      </c>
      <c r="I598" s="51" t="str">
        <f>IF(C598&lt;&gt;"",VLOOKUP($C598,Carpetas!$C$5:$L$2060,5,FALSE),"")</f>
        <v>Andino</v>
      </c>
      <c r="J598" s="51"/>
      <c r="K598" s="50">
        <v>45883</v>
      </c>
      <c r="L598" s="39" t="str">
        <f>VLOOKUP($C598,Carpetas!$C$5:$L$2060,4,FALSE)</f>
        <v>Fray Bentos</v>
      </c>
      <c r="M598" s="55">
        <f t="shared" si="43"/>
        <v>45884</v>
      </c>
      <c r="N598" s="53">
        <f t="shared" si="41"/>
        <v>32</v>
      </c>
      <c r="O598" s="51">
        <v>1080</v>
      </c>
      <c r="P598" s="51"/>
      <c r="Q598" s="51">
        <v>1080</v>
      </c>
      <c r="R598" s="51">
        <v>20</v>
      </c>
      <c r="S598" s="51"/>
      <c r="T598" s="65"/>
      <c r="U598" s="65"/>
      <c r="V598" s="65"/>
      <c r="W598" s="51" t="s">
        <v>101</v>
      </c>
      <c r="X598" s="66" t="s">
        <v>1369</v>
      </c>
    </row>
    <row r="599" hidden="1" ht="27.75" customHeight="1" s="32" customFormat="1">
      <c r="A599" s="37"/>
      <c r="B599" s="31" t="s">
        <v>32</v>
      </c>
      <c r="C599" s="59" t="s">
        <v>1370</v>
      </c>
      <c r="D599" s="57" t="s">
        <v>30</v>
      </c>
      <c r="E599" s="57">
        <v>45867</v>
      </c>
      <c r="F599" s="38" t="str">
        <f>IF(C599&lt;&gt;"",VLOOKUP($C599,Carpetas!$C$5:$L$2060,2,FALSE),"")</f>
        <v>ECE036</v>
      </c>
      <c r="G599" s="38" t="s">
        <v>43</v>
      </c>
      <c r="H599" s="44">
        <f>IF(C599&lt;&gt;"",VLOOKUP($C599,Carpetas!$C$5:$L$2060,9,FALSE),"")</f>
        <v>1531192</v>
      </c>
      <c r="I599" s="51" t="str">
        <f>IF(C599&lt;&gt;"",VLOOKUP($C599,Carpetas!$C$5:$L$2060,5,FALSE),"")</f>
        <v>Andino</v>
      </c>
      <c r="J599" s="51"/>
      <c r="K599" s="50">
        <v>45883</v>
      </c>
      <c r="L599" s="39" t="str">
        <f>VLOOKUP($C599,Carpetas!$C$5:$L$2060,4,FALSE)</f>
        <v>Fray Bentos</v>
      </c>
      <c r="M599" s="55">
        <f t="shared" si="43"/>
        <v>45884</v>
      </c>
      <c r="N599" s="53">
        <f t="shared" si="41"/>
        <v>17</v>
      </c>
      <c r="O599" s="51">
        <v>2160</v>
      </c>
      <c r="P599" s="51"/>
      <c r="Q599" s="51">
        <v>2160</v>
      </c>
      <c r="R599" s="51">
        <v>40</v>
      </c>
      <c r="S599" s="51"/>
      <c r="T599" s="65"/>
      <c r="U599" s="65"/>
      <c r="V599" s="65"/>
      <c r="W599" s="51" t="s">
        <v>1371</v>
      </c>
      <c r="X599" s="66" t="s">
        <v>1372</v>
      </c>
    </row>
    <row r="600" hidden="1" ht="27.75" customHeight="1" s="32" customFormat="1">
      <c r="A600" s="37"/>
      <c r="B600" s="31" t="s">
        <v>32</v>
      </c>
      <c r="C600" s="59" t="s">
        <v>1373</v>
      </c>
      <c r="D600" s="57" t="s">
        <v>48</v>
      </c>
      <c r="E600" s="57">
        <v>45880</v>
      </c>
      <c r="F600" s="38" t="str">
        <f>IF(C600&lt;&gt;"",VLOOKUP($C600,Carpetas!$C$5:$L$2060,2,FALSE),"")</f>
        <v>CLP014</v>
      </c>
      <c r="G600" s="38" t="s">
        <v>35</v>
      </c>
      <c r="H600" s="44">
        <f>IF(C600&lt;&gt;"",VLOOKUP($C600,Carpetas!$C$5:$L$2060,9,FALSE),"")</f>
        <v>0</v>
      </c>
      <c r="I600" s="51" t="str">
        <f>IF(C600&lt;&gt;"",VLOOKUP($C600,Carpetas!$C$5:$L$2060,5,FALSE),"")</f>
        <v>Cisterna</v>
      </c>
      <c r="J600" s="51"/>
      <c r="K600" s="50">
        <v>45883</v>
      </c>
      <c r="L600" s="39" t="str">
        <f>VLOOKUP($C600,Carpetas!$C$5:$L$2060,4,FALSE)</f>
        <v>Fray Bentos</v>
      </c>
      <c r="M600" s="55">
        <f t="shared" si="43"/>
        <v>45884</v>
      </c>
      <c r="N600" s="53">
        <f t="shared" si="41"/>
        <v>4</v>
      </c>
      <c r="O600" s="51">
        <v>2112</v>
      </c>
      <c r="P600" s="51"/>
      <c r="Q600" s="51">
        <v>2112</v>
      </c>
      <c r="R600" s="51">
        <v>24</v>
      </c>
      <c r="S600" s="51"/>
      <c r="T600" s="65"/>
      <c r="U600" s="65"/>
      <c r="V600" s="65"/>
      <c r="W600" s="51" t="s">
        <v>1374</v>
      </c>
      <c r="X600" s="66" t="s">
        <v>1375</v>
      </c>
    </row>
    <row r="601" hidden="1" ht="27.75" customHeight="1" s="32" customFormat="1">
      <c r="A601" s="37"/>
      <c r="B601" s="31" t="s">
        <v>32</v>
      </c>
      <c r="C601" s="59" t="s">
        <v>1376</v>
      </c>
      <c r="D601" s="57" t="s">
        <v>42</v>
      </c>
      <c r="E601" s="57">
        <v>45867</v>
      </c>
      <c r="F601" s="38" t="str">
        <f>IF(C601&lt;&gt;"",VLOOKUP($C601,Carpetas!$C$5:$L$2060,2,FALSE),"")</f>
        <v>ECA017</v>
      </c>
      <c r="G601" s="38" t="s">
        <v>43</v>
      </c>
      <c r="H601" s="44">
        <f>IF(C601&lt;&gt;"",VLOOKUP($C601,Carpetas!$C$5:$L$2060,9,FALSE),"")</f>
        <v>1531024</v>
      </c>
      <c r="I601" s="51" t="str">
        <f>IF(C601&lt;&gt;"",VLOOKUP($C601,Carpetas!$C$5:$L$2060,5,FALSE),"")</f>
        <v>Andino</v>
      </c>
      <c r="J601" s="51"/>
      <c r="K601" s="50">
        <v>45884</v>
      </c>
      <c r="L601" s="39" t="str">
        <f>VLOOKUP($C601,Carpetas!$C$5:$L$2060,4,FALSE)</f>
        <v>Fray Bentos</v>
      </c>
      <c r="M601" s="55">
        <f t="shared" si="43"/>
        <v>45885</v>
      </c>
      <c r="N601" s="53">
        <f t="shared" si="41"/>
        <v>18</v>
      </c>
      <c r="O601" s="51">
        <v>1680</v>
      </c>
      <c r="P601" s="51"/>
      <c r="Q601" s="51">
        <v>1680</v>
      </c>
      <c r="R601" s="51">
        <v>21</v>
      </c>
      <c r="S601" s="51"/>
      <c r="T601" s="65"/>
      <c r="U601" s="65"/>
      <c r="V601" s="65"/>
      <c r="W601" s="51"/>
      <c r="X601" s="130" t="s">
        <v>1377</v>
      </c>
    </row>
    <row r="602" hidden="1" ht="27.75" customHeight="1" s="32" customFormat="1">
      <c r="A602" s="37"/>
      <c r="B602" s="31" t="s">
        <v>32</v>
      </c>
      <c r="C602" s="59" t="s">
        <v>1378</v>
      </c>
      <c r="D602" s="57" t="s">
        <v>30</v>
      </c>
      <c r="E602" s="57">
        <v>45867</v>
      </c>
      <c r="F602" s="38" t="str">
        <f>IF(C602&lt;&gt;"",VLOOKUP($C602,Carpetas!$C$5:$L$2060,2,FALSE),"")</f>
        <v>ECB033</v>
      </c>
      <c r="G602" s="38" t="s">
        <v>43</v>
      </c>
      <c r="H602" s="44">
        <f>IF(C602&lt;&gt;"",VLOOKUP($C602,Carpetas!$C$5:$L$2060,9,FALSE),"")</f>
        <v>1531022</v>
      </c>
      <c r="I602" s="51" t="str">
        <f>IF(C602&lt;&gt;"",VLOOKUP($C602,Carpetas!$C$5:$L$2060,5,FALSE),"")</f>
        <v>Andino</v>
      </c>
      <c r="J602" s="51"/>
      <c r="K602" s="50">
        <v>45884</v>
      </c>
      <c r="L602" s="39" t="str">
        <f>VLOOKUP($C602,Carpetas!$C$5:$L$2060,4,FALSE)</f>
        <v>Fray Bentos</v>
      </c>
      <c r="M602" s="55">
        <f t="shared" si="43"/>
        <v>45885</v>
      </c>
      <c r="N602" s="53">
        <f t="shared" si="41"/>
        <v>18</v>
      </c>
      <c r="O602" s="51">
        <v>4320</v>
      </c>
      <c r="P602" s="51"/>
      <c r="Q602" s="51">
        <v>4320</v>
      </c>
      <c r="R602" s="51">
        <v>80</v>
      </c>
      <c r="S602" s="51"/>
      <c r="T602" s="65"/>
      <c r="U602" s="65"/>
      <c r="V602" s="65"/>
      <c r="W602" s="51" t="s">
        <v>1379</v>
      </c>
      <c r="X602" s="66" t="s">
        <v>1380</v>
      </c>
    </row>
    <row r="603" hidden="1" ht="27.75" customHeight="1" s="32" customFormat="1">
      <c r="A603" s="37"/>
      <c r="B603" s="31" t="s">
        <v>32</v>
      </c>
      <c r="C603" s="59" t="s">
        <v>1381</v>
      </c>
      <c r="D603" s="57" t="s">
        <v>34</v>
      </c>
      <c r="E603" s="57">
        <v>45887</v>
      </c>
      <c r="F603" s="38" t="str">
        <f>IF(C603&lt;&gt;"",VLOOKUP($C603,Carpetas!$C$5:$L$2060,2,FALSE),"")</f>
        <v>PEA006</v>
      </c>
      <c r="G603" s="38" t="s">
        <v>216</v>
      </c>
      <c r="H603" s="44">
        <f>IF(C603&lt;&gt;"",VLOOKUP($C603,Carpetas!$C$5:$L$2060,9,FALSE),"")</f>
        <v>1532605</v>
      </c>
      <c r="I603" s="51" t="str">
        <f>IF(C603&lt;&gt;"",VLOOKUP($C603,Carpetas!$C$5:$L$2060,5,FALSE),"")</f>
        <v>Ciatran</v>
      </c>
      <c r="J603" s="51"/>
      <c r="K603" s="50">
        <v>45887</v>
      </c>
      <c r="L603" s="39" t="str">
        <f>VLOOKUP($C603,Carpetas!$C$5:$L$2060,4,FALSE)</f>
        <v>Carrasco</v>
      </c>
      <c r="M603" s="55">
        <f t="shared" si="43"/>
        <v>45888</v>
      </c>
      <c r="N603" s="53">
        <f t="shared" si="41"/>
        <v>1</v>
      </c>
      <c r="O603" s="51">
        <v>600</v>
      </c>
      <c r="P603" s="51"/>
      <c r="Q603" s="51"/>
      <c r="R603" s="51"/>
      <c r="S603" s="51"/>
      <c r="T603" s="65"/>
      <c r="U603" s="65"/>
      <c r="V603" s="65"/>
      <c r="W603" s="51"/>
      <c r="X603" s="66"/>
    </row>
    <row r="604" hidden="1" ht="27.75" customHeight="1" s="32" customFormat="1">
      <c r="A604" s="37"/>
      <c r="B604" s="31" t="s">
        <v>32</v>
      </c>
      <c r="C604" s="59" t="s">
        <v>1382</v>
      </c>
      <c r="D604" s="57" t="s">
        <v>37</v>
      </c>
      <c r="E604" s="57">
        <v>45884</v>
      </c>
      <c r="F604" s="38" t="str">
        <f>IF(C604&lt;&gt;"",VLOOKUP($C604,Carpetas!$C$5:$L$2060,2,FALSE),"")</f>
        <v>CLK009</v>
      </c>
      <c r="G604" s="38" t="s">
        <v>35</v>
      </c>
      <c r="H604" s="44">
        <f>IF(C604&lt;&gt;"",VLOOKUP($C604,Carpetas!$C$5:$L$2060,9,FALSE),"")</f>
        <v>1533269</v>
      </c>
      <c r="I604" s="51" t="str">
        <f>IF(C604&lt;&gt;"",VLOOKUP($C604,Carpetas!$C$5:$L$2060,5,FALSE),"")</f>
        <v>Nihuil</v>
      </c>
      <c r="J604" s="51"/>
      <c r="K604" s="50">
        <v>45888</v>
      </c>
      <c r="L604" s="39" t="str">
        <f>VLOOKUP($C604,Carpetas!$C$5:$L$2060,4,FALSE)</f>
        <v>Fray Bentos</v>
      </c>
      <c r="M604" s="55">
        <f t="shared" si="43"/>
        <v>45889</v>
      </c>
      <c r="N604" s="53">
        <f t="shared" si="41"/>
        <v>5</v>
      </c>
      <c r="O604" s="51">
        <v>2288</v>
      </c>
      <c r="P604" s="51"/>
      <c r="Q604" s="51">
        <v>2288</v>
      </c>
      <c r="R604" s="51">
        <v>22</v>
      </c>
      <c r="S604" s="51">
        <v>10.7</v>
      </c>
      <c r="T604" s="65"/>
      <c r="U604" s="65"/>
      <c r="V604" s="65"/>
      <c r="W604" s="51" t="s">
        <v>1383</v>
      </c>
      <c r="X604" s="66"/>
    </row>
    <row r="605" hidden="1" ht="27.75" customHeight="1" s="32" customFormat="1">
      <c r="A605" s="37"/>
      <c r="B605" s="31" t="s">
        <v>32</v>
      </c>
      <c r="C605" s="59" t="s">
        <v>1384</v>
      </c>
      <c r="D605" s="57" t="s">
        <v>48</v>
      </c>
      <c r="E605" s="57">
        <v>45889</v>
      </c>
      <c r="F605" s="38" t="str">
        <f>IF(C605&lt;&gt;"",VLOOKUP($C605,Carpetas!$C$5:$L$2060,2,FALSE),"")</f>
        <v>CLP015</v>
      </c>
      <c r="G605" s="38" t="s">
        <v>35</v>
      </c>
      <c r="H605" s="44">
        <f>IF(C605&lt;&gt;"",VLOOKUP($C605,Carpetas!$C$5:$L$2060,9,FALSE),"")</f>
        <v>1533689</v>
      </c>
      <c r="I605" s="51" t="str">
        <f>IF(C605&lt;&gt;"",VLOOKUP($C605,Carpetas!$C$5:$L$2060,5,FALSE),"")</f>
        <v>Cisterna</v>
      </c>
      <c r="J605" s="51"/>
      <c r="K605" s="50">
        <v>45892</v>
      </c>
      <c r="L605" s="39" t="str">
        <f>VLOOKUP($C605,Carpetas!$C$5:$L$2060,4,FALSE)</f>
        <v>Fray Bentos</v>
      </c>
      <c r="M605" s="55">
        <f t="shared" si="43"/>
        <v>45893</v>
      </c>
      <c r="N605" s="53">
        <f t="shared" si="41"/>
        <v>4</v>
      </c>
      <c r="O605" s="51">
        <v>2112</v>
      </c>
      <c r="P605" s="51"/>
      <c r="Q605" s="51">
        <v>2112</v>
      </c>
      <c r="R605" s="51">
        <v>24</v>
      </c>
      <c r="S605" s="51"/>
      <c r="T605" s="65"/>
      <c r="U605" s="65"/>
      <c r="V605" s="65"/>
      <c r="W605" s="51" t="s">
        <v>471</v>
      </c>
      <c r="X605" s="66" t="s">
        <v>1385</v>
      </c>
    </row>
    <row r="606" hidden="1" ht="27.75" customHeight="1" s="32" customFormat="1">
      <c r="A606" s="37"/>
      <c r="B606" s="31" t="s">
        <v>32</v>
      </c>
      <c r="C606" s="59" t="s">
        <v>1386</v>
      </c>
      <c r="D606" s="57" t="s">
        <v>30</v>
      </c>
      <c r="E606" s="57">
        <v>45874</v>
      </c>
      <c r="F606" s="38" t="str">
        <f>IF(C606&lt;&gt;"",VLOOKUP($C606,Carpetas!$C$5:$L$2060,2,FALSE),"")</f>
        <v>ECE037</v>
      </c>
      <c r="G606" s="38" t="s">
        <v>43</v>
      </c>
      <c r="H606" s="44">
        <f>IF(C606&lt;&gt;"",VLOOKUP($C606,Carpetas!$C$5:$L$2060,9,FALSE),"")</f>
        <v>1531626</v>
      </c>
      <c r="I606" s="51" t="str">
        <f>IF(C606&lt;&gt;"",VLOOKUP($C606,Carpetas!$C$5:$L$2060,5,FALSE),"")</f>
        <v>Andino</v>
      </c>
      <c r="J606" s="51"/>
      <c r="K606" s="50">
        <v>45896</v>
      </c>
      <c r="L606" s="39" t="str">
        <f>VLOOKUP($C606,Carpetas!$C$5:$L$2060,4,FALSE)</f>
        <v>Fray Bentos</v>
      </c>
      <c r="M606" s="55">
        <f t="shared" si="43"/>
        <v>45897</v>
      </c>
      <c r="N606" s="53">
        <f t="shared" si="41"/>
        <v>23</v>
      </c>
      <c r="O606" s="51">
        <v>2192</v>
      </c>
      <c r="P606" s="51"/>
      <c r="Q606" s="51">
        <v>2222</v>
      </c>
      <c r="R606" s="51">
        <v>40</v>
      </c>
      <c r="S606" s="51"/>
      <c r="T606" s="65"/>
      <c r="U606" s="65"/>
      <c r="V606" s="65"/>
      <c r="W606" s="51" t="s">
        <v>1387</v>
      </c>
      <c r="X606" s="66" t="s">
        <v>1388</v>
      </c>
    </row>
    <row r="607" hidden="1" ht="27.75" customHeight="1" s="32" customFormat="1">
      <c r="A607" s="37"/>
      <c r="B607" s="31" t="s">
        <v>32</v>
      </c>
      <c r="C607" s="59" t="s">
        <v>1389</v>
      </c>
      <c r="D607" s="57" t="s">
        <v>30</v>
      </c>
      <c r="E607" s="57">
        <v>45874</v>
      </c>
      <c r="F607" s="38" t="str">
        <f>IF(C607&lt;&gt;"",VLOOKUP($C607,Carpetas!$C$5:$L$2060,2,FALSE),"")</f>
        <v>ECB034</v>
      </c>
      <c r="G607" s="38" t="s">
        <v>43</v>
      </c>
      <c r="H607" s="44">
        <f>IF(C607&lt;&gt;"",VLOOKUP($C607,Carpetas!$C$5:$L$2060,9,FALSE),"")</f>
        <v>1531625</v>
      </c>
      <c r="I607" s="51" t="str">
        <f>IF(C607&lt;&gt;"",VLOOKUP($C607,Carpetas!$C$5:$L$2060,5,FALSE),"")</f>
        <v>Andino</v>
      </c>
      <c r="J607" s="51"/>
      <c r="K607" s="50">
        <v>45896</v>
      </c>
      <c r="L607" s="39" t="str">
        <f>VLOOKUP($C607,Carpetas!$C$5:$L$2060,4,FALSE)</f>
        <v>Fray Bentos</v>
      </c>
      <c r="M607" s="55">
        <f t="shared" si="43"/>
        <v>45897</v>
      </c>
      <c r="N607" s="53">
        <f t="shared" si="41"/>
        <v>23</v>
      </c>
      <c r="O607" s="51">
        <v>4320</v>
      </c>
      <c r="P607" s="51"/>
      <c r="Q607" s="51">
        <v>4320</v>
      </c>
      <c r="R607" s="51">
        <v>80</v>
      </c>
      <c r="S607" s="51"/>
      <c r="T607" s="65"/>
      <c r="U607" s="65"/>
      <c r="V607" s="65"/>
      <c r="W607" s="51" t="s">
        <v>1390</v>
      </c>
      <c r="X607" s="131" t="s">
        <v>1380</v>
      </c>
    </row>
    <row r="608" hidden="1" ht="27.75" customHeight="1" s="32" customFormat="1">
      <c r="A608" s="37"/>
      <c r="B608" s="31" t="s">
        <v>32</v>
      </c>
      <c r="C608" s="59" t="s">
        <v>1391</v>
      </c>
      <c r="D608" s="57" t="s">
        <v>30</v>
      </c>
      <c r="E608" s="57">
        <v>45865</v>
      </c>
      <c r="F608" s="38" t="str">
        <f>IF(C608&lt;&gt;"",VLOOKUP($C608,Carpetas!$C$5:$L$2060,2,FALSE),"")</f>
        <v>COB014</v>
      </c>
      <c r="G608" s="38" t="s">
        <v>35</v>
      </c>
      <c r="H608" s="44">
        <f>IF(C608&lt;&gt;"",VLOOKUP($C608,Carpetas!$C$5:$L$2060,9,FALSE),"")</f>
        <v>1525847</v>
      </c>
      <c r="I608" s="51" t="str">
        <f>IF(C608&lt;&gt;"",VLOOKUP($C608,Carpetas!$C$5:$L$2060,5,FALSE),"")</f>
        <v>Andino</v>
      </c>
      <c r="J608" s="51"/>
      <c r="K608" s="50">
        <v>45896</v>
      </c>
      <c r="L608" s="39" t="str">
        <f>VLOOKUP($C608,Carpetas!$C$5:$L$2060,4,FALSE)</f>
        <v>Fray Bentos</v>
      </c>
      <c r="M608" s="55">
        <f t="shared" si="43"/>
        <v>45897</v>
      </c>
      <c r="N608" s="53">
        <f t="shared" si="41"/>
        <v>32</v>
      </c>
      <c r="O608" s="51">
        <v>1080</v>
      </c>
      <c r="P608" s="51"/>
      <c r="Q608" s="51">
        <v>1080</v>
      </c>
      <c r="R608" s="51">
        <v>20</v>
      </c>
      <c r="S608" s="51"/>
      <c r="T608" s="65"/>
      <c r="U608" s="65"/>
      <c r="V608" s="65"/>
      <c r="W608" s="51" t="s">
        <v>94</v>
      </c>
      <c r="X608" s="66" t="s">
        <v>1392</v>
      </c>
    </row>
    <row r="609" hidden="1" ht="27.75" customHeight="1" s="32" customFormat="1">
      <c r="A609" s="37"/>
      <c r="B609" s="31" t="s">
        <v>32</v>
      </c>
      <c r="C609" s="59" t="s">
        <v>1393</v>
      </c>
      <c r="D609" s="57" t="s">
        <v>42</v>
      </c>
      <c r="E609" s="57">
        <v>45881</v>
      </c>
      <c r="F609" s="38" t="str">
        <f>IF(C609&lt;&gt;"",VLOOKUP($C609,Carpetas!$C$5:$L$2060,2,FALSE),"")</f>
        <v>ECA018</v>
      </c>
      <c r="G609" s="38" t="s">
        <v>43</v>
      </c>
      <c r="H609" s="44">
        <f>IF(C609&lt;&gt;"",VLOOKUP($C609,Carpetas!$C$5:$L$2060,9,FALSE),"")</f>
        <v>1532396</v>
      </c>
      <c r="I609" s="51" t="str">
        <f>IF(C609&lt;&gt;"",VLOOKUP($C609,Carpetas!$C$5:$L$2060,5,FALSE),"")</f>
        <v>Andino</v>
      </c>
      <c r="J609" s="51"/>
      <c r="K609" s="50">
        <v>45897</v>
      </c>
      <c r="L609" s="39" t="str">
        <f>VLOOKUP($C609,Carpetas!$C$5:$L$2060,4,FALSE)</f>
        <v>Fray Bentos</v>
      </c>
      <c r="M609" s="55">
        <f t="shared" si="43"/>
        <v>45898</v>
      </c>
      <c r="N609" s="53">
        <f t="shared" si="41"/>
        <v>17</v>
      </c>
      <c r="O609" s="51">
        <v>1680</v>
      </c>
      <c r="P609" s="51"/>
      <c r="Q609" s="51">
        <v>1680</v>
      </c>
      <c r="R609" s="51">
        <v>21</v>
      </c>
      <c r="S609" s="51"/>
      <c r="T609" s="65"/>
      <c r="U609" s="65"/>
      <c r="V609" s="65"/>
      <c r="W609" s="51" t="s">
        <v>1289</v>
      </c>
      <c r="X609" s="66" t="s">
        <v>1394</v>
      </c>
    </row>
    <row r="610" hidden="1" ht="27.75" customHeight="1" s="32" customFormat="1">
      <c r="A610" s="37"/>
      <c r="B610" s="31" t="s">
        <v>32</v>
      </c>
      <c r="C610" s="59" t="s">
        <v>1395</v>
      </c>
      <c r="D610" s="57" t="s">
        <v>30</v>
      </c>
      <c r="E610" s="57">
        <v>45881</v>
      </c>
      <c r="F610" s="38" t="str">
        <f>IF(C610&lt;&gt;"",VLOOKUP($C610,Carpetas!$C$5:$L$2060,2,FALSE),"")</f>
        <v>ECB035</v>
      </c>
      <c r="G610" s="38" t="s">
        <v>43</v>
      </c>
      <c r="H610" s="44">
        <f>IF(C610&lt;&gt;"",VLOOKUP($C610,Carpetas!$C$5:$L$2060,9,FALSE),"")</f>
        <v>1532402</v>
      </c>
      <c r="I610" s="51" t="str">
        <f>IF(C610&lt;&gt;"",VLOOKUP($C610,Carpetas!$C$5:$L$2060,5,FALSE),"")</f>
        <v>Andino</v>
      </c>
      <c r="J610" s="51"/>
      <c r="K610" s="50">
        <v>45898</v>
      </c>
      <c r="L610" s="39" t="str">
        <f>VLOOKUP($C610,Carpetas!$C$5:$L$2060,4,FALSE)</f>
        <v>Fray Bentos</v>
      </c>
      <c r="M610" s="55">
        <f t="shared" si="43"/>
        <v>45899</v>
      </c>
      <c r="N610" s="53">
        <f t="shared" si="41"/>
        <v>18</v>
      </c>
      <c r="O610" s="51">
        <v>3240</v>
      </c>
      <c r="P610" s="51"/>
      <c r="Q610" s="51">
        <v>3240</v>
      </c>
      <c r="R610" s="51">
        <v>60</v>
      </c>
      <c r="S610" s="51"/>
      <c r="T610" s="65"/>
      <c r="U610" s="65"/>
      <c r="V610" s="65"/>
      <c r="W610" s="51"/>
      <c r="X610" s="66" t="s">
        <v>1396</v>
      </c>
    </row>
    <row r="611" hidden="1" ht="27.75" customHeight="1" s="32" customFormat="1">
      <c r="A611" s="37"/>
      <c r="B611" s="31" t="s">
        <v>32</v>
      </c>
      <c r="C611" s="59" t="s">
        <v>1397</v>
      </c>
      <c r="D611" s="57" t="s">
        <v>571</v>
      </c>
      <c r="E611" s="57">
        <v>45873</v>
      </c>
      <c r="F611" s="38" t="str">
        <f>IF(C611&lt;&gt;"",VLOOKUP($C611,Carpetas!$C$5:$L$2060,2,FALSE),"")</f>
        <v>ESC002</v>
      </c>
      <c r="G611" s="38" t="s">
        <v>43</v>
      </c>
      <c r="H611" s="44">
        <f>IF(C611&lt;&gt;"",VLOOKUP($C611,Carpetas!$C$5:$L$2060,9,FALSE),"")</f>
        <v>0</v>
      </c>
      <c r="I611" s="51" t="str">
        <f>IF(C611&lt;&gt;"",VLOOKUP($C611,Carpetas!$C$5:$L$2060,5,FALSE),"")</f>
        <v>Ciatran</v>
      </c>
      <c r="J611" s="51"/>
      <c r="K611" s="50">
        <v>45901</v>
      </c>
      <c r="L611" s="39" t="str">
        <f>VLOOKUP($C611,Carpetas!$C$5:$L$2060,4,FALSE)</f>
        <v>Montevide</v>
      </c>
      <c r="M611" s="55">
        <f t="shared" si="43"/>
        <v>45902</v>
      </c>
      <c r="N611" s="53">
        <f t="shared" si="41"/>
        <v>29</v>
      </c>
      <c r="O611" s="51">
        <v>2324</v>
      </c>
      <c r="P611" s="51"/>
      <c r="Q611" s="51">
        <v>2324</v>
      </c>
      <c r="R611" s="51">
        <v>21</v>
      </c>
      <c r="S611" s="51"/>
      <c r="T611" s="65"/>
      <c r="U611" s="65"/>
      <c r="V611" s="65"/>
      <c r="W611" s="51" t="s">
        <v>1398</v>
      </c>
      <c r="X611" s="66" t="s">
        <v>1399</v>
      </c>
    </row>
    <row r="612" hidden="1" ht="27.75" customHeight="1" s="32" customFormat="1">
      <c r="A612" s="37"/>
      <c r="B612" s="31" t="s">
        <v>32</v>
      </c>
      <c r="C612" s="59" t="s">
        <v>1400</v>
      </c>
      <c r="D612" s="57" t="s">
        <v>48</v>
      </c>
      <c r="E612" s="57">
        <v>45899</v>
      </c>
      <c r="F612" s="38" t="str">
        <f>IF(C612&lt;&gt;"",VLOOKUP($C612,Carpetas!$C$5:$L$2060,2,FALSE),"")</f>
        <v>CLP016</v>
      </c>
      <c r="G612" s="38" t="s">
        <v>35</v>
      </c>
      <c r="H612" s="44">
        <f>IF(C612&lt;&gt;"",VLOOKUP($C612,Carpetas!$C$5:$L$2060,9,FALSE),"")</f>
        <v>1534670</v>
      </c>
      <c r="I612" s="51" t="str">
        <f>IF(C612&lt;&gt;"",VLOOKUP($C612,Carpetas!$C$5:$L$2060,5,FALSE),"")</f>
        <v>Sarla y Ramon</v>
      </c>
      <c r="J612" s="51"/>
      <c r="K612" s="50">
        <v>45903</v>
      </c>
      <c r="L612" s="39" t="str">
        <f>VLOOKUP($C612,Carpetas!$C$5:$L$2060,4,FALSE)</f>
        <v>Fray Bentos</v>
      </c>
      <c r="M612" s="55">
        <f t="shared" si="43"/>
        <v>45904</v>
      </c>
      <c r="N612" s="53">
        <f t="shared" si="41"/>
        <v>5</v>
      </c>
      <c r="O612" s="51">
        <v>2112</v>
      </c>
      <c r="P612" s="51"/>
      <c r="Q612" s="51">
        <v>2112</v>
      </c>
      <c r="R612" s="51">
        <v>24</v>
      </c>
      <c r="S612" s="51"/>
      <c r="T612" s="65"/>
      <c r="U612" s="65"/>
      <c r="V612" s="65"/>
      <c r="W612" s="51" t="s">
        <v>747</v>
      </c>
      <c r="X612" s="66" t="s">
        <v>1401</v>
      </c>
    </row>
    <row r="613" hidden="1" ht="27.75" customHeight="1" s="32" customFormat="1">
      <c r="A613" s="37"/>
      <c r="B613" s="31" t="s">
        <v>32</v>
      </c>
      <c r="C613" s="59" t="s">
        <v>1402</v>
      </c>
      <c r="D613" s="57" t="s">
        <v>48</v>
      </c>
      <c r="E613" s="57">
        <v>45899</v>
      </c>
      <c r="F613" s="38" t="str">
        <f>IF(C613&lt;&gt;"",VLOOKUP($C613,Carpetas!$C$5:$L$2060,2,FALSE),"")</f>
        <v>CLP017</v>
      </c>
      <c r="G613" s="38" t="s">
        <v>35</v>
      </c>
      <c r="H613" s="44">
        <f>IF(C613&lt;&gt;"",VLOOKUP($C613,Carpetas!$C$5:$L$2060,9,FALSE),"")</f>
        <v>1534669</v>
      </c>
      <c r="I613" s="51" t="str">
        <f>IF(C613&lt;&gt;"",VLOOKUP($C613,Carpetas!$C$5:$L$2060,5,FALSE),"")</f>
        <v>Cisterna</v>
      </c>
      <c r="J613" s="51"/>
      <c r="K613" s="50">
        <v>45903</v>
      </c>
      <c r="L613" s="39" t="str">
        <f>VLOOKUP($C613,Carpetas!$C$5:$L$2060,4,FALSE)</f>
        <v>Fray Bentos</v>
      </c>
      <c r="M613" s="55">
        <f t="shared" si="43"/>
        <v>45904</v>
      </c>
      <c r="N613" s="53">
        <f t="shared" si="41"/>
        <v>5</v>
      </c>
      <c r="O613" s="51">
        <v>2112</v>
      </c>
      <c r="P613" s="51"/>
      <c r="Q613" s="51">
        <v>2112</v>
      </c>
      <c r="R613" s="51">
        <v>24</v>
      </c>
      <c r="S613" s="51"/>
      <c r="T613" s="65"/>
      <c r="U613" s="65"/>
      <c r="V613" s="65"/>
      <c r="W613" s="51" t="s">
        <v>1403</v>
      </c>
      <c r="X613" s="66" t="s">
        <v>1404</v>
      </c>
    </row>
    <row r="614" hidden="1" ht="27.75" customHeight="1" s="32" customFormat="1">
      <c r="A614" s="37"/>
      <c r="B614" s="31" t="s">
        <v>32</v>
      </c>
      <c r="C614" s="59" t="s">
        <v>1405</v>
      </c>
      <c r="D614" s="57" t="s">
        <v>30</v>
      </c>
      <c r="E614" s="57">
        <v>45881</v>
      </c>
      <c r="F614" s="38" t="str">
        <f>IF(C614&lt;&gt;"",VLOOKUP($C614,Carpetas!$C$5:$L$2060,2,FALSE),"")</f>
        <v>ECE038</v>
      </c>
      <c r="G614" s="38" t="s">
        <v>43</v>
      </c>
      <c r="H614" s="44">
        <f>IF(C614&lt;&gt;"",VLOOKUP($C614,Carpetas!$C$5:$L$2060,9,FALSE),"")</f>
        <v>1532468</v>
      </c>
      <c r="I614" s="51" t="str">
        <f>IF(C614&lt;&gt;"",VLOOKUP($C614,Carpetas!$C$5:$L$2060,5,FALSE),"")</f>
        <v>Andino</v>
      </c>
      <c r="J614" s="51"/>
      <c r="K614" s="50">
        <v>45904</v>
      </c>
      <c r="L614" s="39" t="str">
        <f>VLOOKUP($C614,Carpetas!$C$5:$L$2060,4,FALSE)</f>
        <v>Fray Bentos</v>
      </c>
      <c r="M614" s="55">
        <f t="shared" si="43"/>
        <v>45905</v>
      </c>
      <c r="N614" s="53">
        <f t="shared" si="41"/>
        <v>24</v>
      </c>
      <c r="O614" s="51">
        <v>2192</v>
      </c>
      <c r="P614" s="51"/>
      <c r="Q614" s="51">
        <v>2192</v>
      </c>
      <c r="R614" s="51">
        <v>40</v>
      </c>
      <c r="S614" s="51"/>
      <c r="T614" s="65"/>
      <c r="U614" s="65"/>
      <c r="V614" s="65"/>
      <c r="W614" s="51" t="s">
        <v>1406</v>
      </c>
      <c r="X614" s="66" t="s">
        <v>1407</v>
      </c>
    </row>
    <row r="615" hidden="1" ht="27.75" customHeight="1" s="32" customFormat="1">
      <c r="A615" s="37"/>
      <c r="B615" s="31" t="s">
        <v>32</v>
      </c>
      <c r="C615" s="59" t="s">
        <v>1408</v>
      </c>
      <c r="D615" s="57" t="s">
        <v>30</v>
      </c>
      <c r="E615" s="57">
        <v>45888</v>
      </c>
      <c r="F615" s="38" t="str">
        <f>IF(C615&lt;&gt;"",VLOOKUP($C615,Carpetas!$C$5:$L$2060,2,FALSE),"")</f>
        <v>ECB036</v>
      </c>
      <c r="G615" s="38" t="s">
        <v>43</v>
      </c>
      <c r="H615" s="44">
        <f>IF(C615&lt;&gt;"",VLOOKUP($C615,Carpetas!$C$5:$L$2060,9,FALSE),"")</f>
        <v>1532991</v>
      </c>
      <c r="I615" s="51" t="str">
        <f>IF(C615&lt;&gt;"",VLOOKUP($C615,Carpetas!$C$5:$L$2060,5,FALSE),"")</f>
        <v>Andino</v>
      </c>
      <c r="J615" s="51"/>
      <c r="K615" s="50">
        <v>45905</v>
      </c>
      <c r="L615" s="39" t="str">
        <f>VLOOKUP($C615,Carpetas!$C$5:$L$2060,4,FALSE)</f>
        <v>Fray Bentos</v>
      </c>
      <c r="M615" s="55">
        <f t="shared" si="43"/>
        <v>45906</v>
      </c>
      <c r="N615" s="53">
        <f t="shared" si="41"/>
        <v>18</v>
      </c>
      <c r="O615" s="51">
        <v>4320</v>
      </c>
      <c r="P615" s="51"/>
      <c r="Q615" s="51">
        <v>4320</v>
      </c>
      <c r="R615" s="51">
        <v>80</v>
      </c>
      <c r="S615" s="51"/>
      <c r="T615" s="65"/>
      <c r="U615" s="65"/>
      <c r="V615" s="65" t="s">
        <v>1409</v>
      </c>
      <c r="W615" s="51" t="s">
        <v>1410</v>
      </c>
      <c r="X615" s="66" t="s">
        <v>1411</v>
      </c>
    </row>
    <row r="616" hidden="1" ht="27.75" customHeight="1" s="32" customFormat="1">
      <c r="A616" s="37"/>
      <c r="B616" s="31" t="s">
        <v>32</v>
      </c>
      <c r="C616" s="59" t="s">
        <v>1412</v>
      </c>
      <c r="D616" s="57" t="s">
        <v>30</v>
      </c>
      <c r="E616" s="57">
        <v>45888</v>
      </c>
      <c r="F616" s="38" t="str">
        <f>IF(C616&lt;&gt;"",VLOOKUP($C616,Carpetas!$C$5:$L$2060,2,FALSE),"")</f>
        <v>ECE039</v>
      </c>
      <c r="G616" s="38" t="s">
        <v>43</v>
      </c>
      <c r="H616" s="44">
        <f>IF(C616&lt;&gt;"",VLOOKUP($C616,Carpetas!$C$5:$L$2060,9,FALSE),"")</f>
        <v>1532992</v>
      </c>
      <c r="I616" s="51" t="str">
        <f>IF(C616&lt;&gt;"",VLOOKUP($C616,Carpetas!$C$5:$L$2060,5,FALSE),"")</f>
        <v>Andino</v>
      </c>
      <c r="J616" s="51"/>
      <c r="K616" s="50">
        <v>45905</v>
      </c>
      <c r="L616" s="39" t="str">
        <f>VLOOKUP($C616,Carpetas!$C$5:$L$2060,4,FALSE)</f>
        <v>Fray Bentos</v>
      </c>
      <c r="M616" s="55">
        <f t="shared" si="43"/>
        <v>45906</v>
      </c>
      <c r="N616" s="53">
        <f t="shared" si="41"/>
        <v>18</v>
      </c>
      <c r="O616" s="51">
        <v>2192</v>
      </c>
      <c r="P616" s="51"/>
      <c r="Q616" s="51">
        <v>2192</v>
      </c>
      <c r="R616" s="51">
        <v>40</v>
      </c>
      <c r="S616" s="51"/>
      <c r="T616" s="65"/>
      <c r="U616" s="65"/>
      <c r="V616" s="65"/>
      <c r="W616" s="51"/>
      <c r="X616" s="66" t="s">
        <v>1407</v>
      </c>
    </row>
    <row r="617" hidden="1" ht="27.75" customHeight="1" s="32" customFormat="1">
      <c r="A617" s="37"/>
      <c r="B617" s="31" t="s">
        <v>32</v>
      </c>
      <c r="C617" s="59" t="s">
        <v>1413</v>
      </c>
      <c r="D617" s="57" t="s">
        <v>30</v>
      </c>
      <c r="E617" s="57">
        <v>45880</v>
      </c>
      <c r="F617" s="38" t="str">
        <f>IF(C617&lt;&gt;"",VLOOKUP($C617,Carpetas!$C$5:$L$2060,2,FALSE),"")</f>
        <v>COB015</v>
      </c>
      <c r="G617" s="38" t="s">
        <v>43</v>
      </c>
      <c r="H617" s="44">
        <f>IF(C617&lt;&gt;"",VLOOKUP($C617,Carpetas!$C$5:$L$2060,9,FALSE),"")</f>
        <v>1532154</v>
      </c>
      <c r="I617" s="51" t="str">
        <f>IF(C617&lt;&gt;"",VLOOKUP($C617,Carpetas!$C$5:$L$2060,5,FALSE),"")</f>
        <v>Andino</v>
      </c>
      <c r="J617" s="51"/>
      <c r="K617" s="50">
        <v>45905</v>
      </c>
      <c r="L617" s="39" t="str">
        <f>VLOOKUP($C617,Carpetas!$C$5:$L$2060,4,FALSE)</f>
        <v>Fray Bentos</v>
      </c>
      <c r="M617" s="55">
        <f t="shared" si="43"/>
        <v>45906</v>
      </c>
      <c r="N617" s="53">
        <f t="shared" si="41"/>
        <v>26</v>
      </c>
      <c r="O617" s="51">
        <v>1080</v>
      </c>
      <c r="P617" s="51"/>
      <c r="Q617" s="51">
        <v>1080</v>
      </c>
      <c r="R617" s="51">
        <v>20</v>
      </c>
      <c r="S617" s="51"/>
      <c r="T617" s="65"/>
      <c r="U617" s="65"/>
      <c r="V617" s="65"/>
      <c r="W617" s="51"/>
      <c r="X617" s="66" t="s">
        <v>1414</v>
      </c>
    </row>
    <row r="618" hidden="1" ht="27.75" customHeight="1" s="32" customFormat="1">
      <c r="A618" s="37"/>
      <c r="B618" s="31" t="s">
        <v>32</v>
      </c>
      <c r="C618" s="59" t="s">
        <v>1415</v>
      </c>
      <c r="D618" s="57" t="s">
        <v>37</v>
      </c>
      <c r="E618" s="57">
        <v>45905</v>
      </c>
      <c r="F618" s="38" t="str">
        <f>IF(C618&lt;&gt;"",VLOOKUP($C618,Carpetas!$C$5:$L$2060,2,FALSE),"")</f>
        <v>CLK010</v>
      </c>
      <c r="G618" s="38" t="s">
        <v>35</v>
      </c>
      <c r="H618" s="44">
        <f>IF(C618&lt;&gt;"",VLOOKUP($C618,Carpetas!$C$5:$L$2060,9,FALSE),"")</f>
        <v>1535359</v>
      </c>
      <c r="I618" s="51" t="str">
        <f>IF(C618&lt;&gt;"",VLOOKUP($C618,Carpetas!$C$5:$L$2060,5,FALSE),"")</f>
        <v>Cisterna</v>
      </c>
      <c r="J618" s="51"/>
      <c r="K618" s="50">
        <v>45911</v>
      </c>
      <c r="L618" s="39" t="str">
        <f>VLOOKUP($C618,Carpetas!$C$5:$L$2060,4,FALSE)</f>
        <v>Fray Bentos</v>
      </c>
      <c r="M618" s="55">
        <f t="shared" si="43"/>
        <v>45912</v>
      </c>
      <c r="N618" s="53">
        <f t="shared" si="41"/>
        <v>7</v>
      </c>
      <c r="O618" s="51">
        <v>2288</v>
      </c>
      <c r="P618" s="51"/>
      <c r="Q618" s="51">
        <v>2288</v>
      </c>
      <c r="R618" s="51">
        <v>22</v>
      </c>
      <c r="S618" s="51">
        <v>10.5</v>
      </c>
      <c r="T618" s="65"/>
      <c r="U618" s="65"/>
      <c r="V618" s="65"/>
      <c r="W618" s="51" t="s">
        <v>1416</v>
      </c>
      <c r="X618" s="66" t="s">
        <v>1417</v>
      </c>
    </row>
    <row r="619" hidden="1" ht="27.75" customHeight="1" s="32" customFormat="1">
      <c r="A619" s="37"/>
      <c r="B619" s="31" t="s">
        <v>32</v>
      </c>
      <c r="C619" s="59" t="s">
        <v>1418</v>
      </c>
      <c r="D619" s="57" t="s">
        <v>30</v>
      </c>
      <c r="E619" s="57">
        <v>45895</v>
      </c>
      <c r="F619" s="38" t="str">
        <f>IF(C619&lt;&gt;"",VLOOKUP($C619,Carpetas!$C$5:$L$2060,2,FALSE),"")</f>
        <v>ECB037</v>
      </c>
      <c r="G619" s="38" t="s">
        <v>43</v>
      </c>
      <c r="H619" s="44">
        <f>IF(C619&lt;&gt;"",VLOOKUP($C619,Carpetas!$C$5:$L$2060,9,FALSE),"")</f>
        <v>1533585</v>
      </c>
      <c r="I619" s="51" t="str">
        <f>IF(C619&lt;&gt;"",VLOOKUP($C619,Carpetas!$C$5:$L$2060,5,FALSE),"")</f>
        <v>Andino</v>
      </c>
      <c r="J619" s="51"/>
      <c r="K619" s="50">
        <v>45911</v>
      </c>
      <c r="L619" s="39" t="str">
        <f>VLOOKUP($C619,Carpetas!$C$5:$L$2060,4,FALSE)</f>
        <v>Fray Bentos</v>
      </c>
      <c r="M619" s="55">
        <f t="shared" si="43"/>
        <v>45912</v>
      </c>
      <c r="N619" s="53">
        <f t="shared" si="41"/>
        <v>17</v>
      </c>
      <c r="O619" s="51">
        <v>1080</v>
      </c>
      <c r="P619" s="51"/>
      <c r="Q619" s="51">
        <v>1080</v>
      </c>
      <c r="R619" s="51">
        <v>20</v>
      </c>
      <c r="S619" s="51"/>
      <c r="T619" s="65"/>
      <c r="U619" s="65"/>
      <c r="V619" s="65"/>
      <c r="W619" s="51" t="s">
        <v>1419</v>
      </c>
      <c r="X619" s="66" t="s">
        <v>1420</v>
      </c>
    </row>
    <row r="620" hidden="1" ht="27.75" customHeight="1" s="32" customFormat="1">
      <c r="A620" s="37"/>
      <c r="B620" s="31" t="s">
        <v>32</v>
      </c>
      <c r="C620" s="59" t="s">
        <v>1421</v>
      </c>
      <c r="D620" s="57" t="s">
        <v>30</v>
      </c>
      <c r="E620" s="57">
        <v>45895</v>
      </c>
      <c r="F620" s="38" t="str">
        <f>IF(C620&lt;&gt;"",VLOOKUP($C620,Carpetas!$C$5:$L$2060,2,FALSE),"")</f>
        <v>ECE040</v>
      </c>
      <c r="G620" s="38" t="s">
        <v>43</v>
      </c>
      <c r="H620" s="44">
        <f>IF(C620&lt;&gt;"",VLOOKUP($C620,Carpetas!$C$5:$L$2060,9,FALSE),"")</f>
        <v>153356</v>
      </c>
      <c r="I620" s="51" t="str">
        <f>IF(C620&lt;&gt;"",VLOOKUP($C620,Carpetas!$C$5:$L$2060,5,FALSE),"")</f>
        <v>Andino</v>
      </c>
      <c r="J620" s="51"/>
      <c r="K620" s="50">
        <v>45912</v>
      </c>
      <c r="L620" s="39" t="str">
        <f>VLOOKUP($C620,Carpetas!$C$5:$L$2060,4,FALSE)</f>
        <v>Fray Bentos</v>
      </c>
      <c r="M620" s="55">
        <f t="shared" si="43"/>
        <v>45913</v>
      </c>
      <c r="N620" s="53">
        <f ref="N620:N683" t="shared" si="44">IF(M620&lt;&gt;"",M620-E620,"-")</f>
        <v>18</v>
      </c>
      <c r="O620" s="51">
        <v>2192</v>
      </c>
      <c r="P620" s="51"/>
      <c r="Q620" s="51">
        <v>2192</v>
      </c>
      <c r="R620" s="51">
        <v>40</v>
      </c>
      <c r="S620" s="51"/>
      <c r="T620" s="65"/>
      <c r="U620" s="65"/>
      <c r="V620" s="65"/>
      <c r="W620" s="51" t="s">
        <v>1422</v>
      </c>
      <c r="X620" s="66" t="s">
        <v>1423</v>
      </c>
    </row>
    <row r="621" hidden="1" ht="27.75" customHeight="1" s="32" customFormat="1">
      <c r="A621" s="37"/>
      <c r="B621" s="31" t="s">
        <v>32</v>
      </c>
      <c r="C621" s="59" t="s">
        <v>1424</v>
      </c>
      <c r="D621" s="57" t="s">
        <v>42</v>
      </c>
      <c r="E621" s="57">
        <v>45895</v>
      </c>
      <c r="F621" s="38" t="str">
        <f>IF(C621&lt;&gt;"",VLOOKUP($C621,Carpetas!$C$5:$L$2060,2,FALSE),"")</f>
        <v>ECA019</v>
      </c>
      <c r="G621" s="38" t="s">
        <v>43</v>
      </c>
      <c r="H621" s="44">
        <f>IF(C621&lt;&gt;"",VLOOKUP($C621,Carpetas!$C$5:$L$2060,9,FALSE),"")</f>
        <v>1533587</v>
      </c>
      <c r="I621" s="51" t="str">
        <f>IF(C621&lt;&gt;"",VLOOKUP($C621,Carpetas!$C$5:$L$2060,5,FALSE),"")</f>
        <v>Andino</v>
      </c>
      <c r="J621" s="51"/>
      <c r="K621" s="50">
        <v>45912</v>
      </c>
      <c r="L621" s="39" t="str">
        <f>VLOOKUP($C621,Carpetas!$C$5:$L$2060,4,FALSE)</f>
        <v>Fray Bentos</v>
      </c>
      <c r="M621" s="55">
        <f t="shared" si="43"/>
        <v>45913</v>
      </c>
      <c r="N621" s="53">
        <f t="shared" si="44"/>
        <v>18</v>
      </c>
      <c r="O621" s="51">
        <v>1680</v>
      </c>
      <c r="P621" s="51"/>
      <c r="Q621" s="51"/>
      <c r="R621" s="51"/>
      <c r="S621" s="51"/>
      <c r="T621" s="65"/>
      <c r="U621" s="65"/>
      <c r="V621" s="65"/>
      <c r="W621" s="51"/>
      <c r="X621" s="66" t="s">
        <v>1425</v>
      </c>
    </row>
    <row r="622" hidden="1" ht="27.75" customHeight="1" s="32" customFormat="1">
      <c r="A622" s="37"/>
      <c r="B622" s="31" t="s">
        <v>32</v>
      </c>
      <c r="C622" s="59" t="s">
        <v>1418</v>
      </c>
      <c r="D622" s="57" t="s">
        <v>30</v>
      </c>
      <c r="E622" s="57">
        <v>45895</v>
      </c>
      <c r="F622" s="38" t="str">
        <f>IF(C622&lt;&gt;"",VLOOKUP($C622,Carpetas!$C$5:$L$2060,2,FALSE),"")</f>
        <v>ECB037</v>
      </c>
      <c r="G622" s="38" t="s">
        <v>43</v>
      </c>
      <c r="H622" s="44">
        <f>IF(C622&lt;&gt;"",VLOOKUP($C622,Carpetas!$C$5:$L$2060,9,FALSE),"")</f>
        <v>1533585</v>
      </c>
      <c r="I622" s="51" t="str">
        <f>IF(C622&lt;&gt;"",VLOOKUP($C622,Carpetas!$C$5:$L$2060,5,FALSE),"")</f>
        <v>Andino</v>
      </c>
      <c r="J622" s="51"/>
      <c r="K622" s="50">
        <v>45912</v>
      </c>
      <c r="L622" s="39" t="str">
        <f>VLOOKUP($C622,Carpetas!$C$5:$L$2060,4,FALSE)</f>
        <v>Fray Bentos</v>
      </c>
      <c r="M622" s="55">
        <f t="shared" si="43"/>
        <v>45913</v>
      </c>
      <c r="N622" s="53">
        <f t="shared" si="44"/>
        <v>18</v>
      </c>
      <c r="O622" s="51">
        <v>3240</v>
      </c>
      <c r="P622" s="51"/>
      <c r="Q622" s="51"/>
      <c r="R622" s="51"/>
      <c r="S622" s="51"/>
      <c r="T622" s="65"/>
      <c r="U622" s="65"/>
      <c r="V622" s="65"/>
      <c r="W622" s="51"/>
      <c r="X622" s="66"/>
    </row>
    <row r="623" hidden="1" ht="27.75" customHeight="1" s="32" customFormat="1">
      <c r="A623" s="37"/>
      <c r="B623" s="31" t="s">
        <v>32</v>
      </c>
      <c r="C623" s="59" t="s">
        <v>1426</v>
      </c>
      <c r="D623" s="57" t="s">
        <v>48</v>
      </c>
      <c r="E623" s="57">
        <v>45909</v>
      </c>
      <c r="F623" s="38" t="str">
        <f>IF(C623&lt;&gt;"",VLOOKUP($C623,Carpetas!$C$5:$L$2060,2,FALSE),"")</f>
        <v>CLP018</v>
      </c>
      <c r="G623" s="38" t="s">
        <v>35</v>
      </c>
      <c r="H623" s="44">
        <f>IF(C623&lt;&gt;"",VLOOKUP($C623,Carpetas!$C$5:$L$2060,9,FALSE),"")</f>
        <v>1535782</v>
      </c>
      <c r="I623" s="51" t="str">
        <f>IF(C623&lt;&gt;"",VLOOKUP($C623,Carpetas!$C$5:$L$2060,5,FALSE),"")</f>
        <v>Cisterna</v>
      </c>
      <c r="J623" s="51"/>
      <c r="K623" s="50">
        <v>45915</v>
      </c>
      <c r="L623" s="39" t="str">
        <f>VLOOKUP($C623,Carpetas!$C$5:$L$2060,4,FALSE)</f>
        <v>Fray Bentos</v>
      </c>
      <c r="M623" s="55">
        <f t="shared" si="43"/>
        <v>45916</v>
      </c>
      <c r="N623" s="53">
        <f t="shared" si="44"/>
        <v>7</v>
      </c>
      <c r="O623" s="51">
        <v>2112</v>
      </c>
      <c r="P623" s="51"/>
      <c r="Q623" s="51">
        <v>2112</v>
      </c>
      <c r="R623" s="51">
        <v>24</v>
      </c>
      <c r="S623" s="51">
        <v>11</v>
      </c>
      <c r="T623" s="65"/>
      <c r="U623" s="65"/>
      <c r="V623" s="65" t="s">
        <v>93</v>
      </c>
      <c r="W623" s="51" t="s">
        <v>1427</v>
      </c>
      <c r="X623" s="66" t="s">
        <v>1428</v>
      </c>
    </row>
    <row r="624" hidden="1" ht="27.75" customHeight="1" s="32" customFormat="1">
      <c r="A624" s="37"/>
      <c r="B624" s="31" t="s">
        <v>32</v>
      </c>
      <c r="C624" s="59" t="s">
        <v>1429</v>
      </c>
      <c r="D624" s="57" t="s">
        <v>48</v>
      </c>
      <c r="E624" s="57">
        <v>45911</v>
      </c>
      <c r="F624" s="38" t="str">
        <f>IF(C624&lt;&gt;"",VLOOKUP($C624,Carpetas!$C$5:$L$2060,2,FALSE),"")</f>
        <v>CLP019</v>
      </c>
      <c r="G624" s="38" t="s">
        <v>35</v>
      </c>
      <c r="H624" s="44">
        <f>IF(C624&lt;&gt;"",VLOOKUP($C624,Carpetas!$C$5:$L$2060,9,FALSE),"")</f>
        <v>1536103</v>
      </c>
      <c r="I624" s="51" t="str">
        <f>IF(C624&lt;&gt;"",VLOOKUP($C624,Carpetas!$C$5:$L$2060,5,FALSE),"")</f>
        <v>Falero</v>
      </c>
      <c r="J624" s="51"/>
      <c r="K624" s="50">
        <v>45915</v>
      </c>
      <c r="L624" s="39" t="str">
        <f>VLOOKUP($C624,Carpetas!$C$5:$L$2060,4,FALSE)</f>
        <v>Fray Bentos</v>
      </c>
      <c r="M624" s="55">
        <f t="shared" si="43"/>
        <v>45916</v>
      </c>
      <c r="N624" s="53">
        <f t="shared" si="44"/>
        <v>5</v>
      </c>
      <c r="O624" s="51">
        <v>2112</v>
      </c>
      <c r="P624" s="51"/>
      <c r="Q624" s="51">
        <v>2112</v>
      </c>
      <c r="R624" s="51">
        <v>24</v>
      </c>
      <c r="S624" s="51">
        <v>11.5</v>
      </c>
      <c r="T624" s="65"/>
      <c r="U624" s="65"/>
      <c r="V624" s="65" t="s">
        <v>93</v>
      </c>
      <c r="W624" s="51" t="s">
        <v>1430</v>
      </c>
      <c r="X624" s="66" t="s">
        <v>1431</v>
      </c>
    </row>
    <row r="625" hidden="1" ht="27.75" customHeight="1" s="32" customFormat="1">
      <c r="A625" s="37"/>
      <c r="B625" s="31" t="s">
        <v>32</v>
      </c>
      <c r="C625" s="59" t="s">
        <v>1432</v>
      </c>
      <c r="D625" s="57" t="s">
        <v>30</v>
      </c>
      <c r="E625" s="57">
        <v>45901</v>
      </c>
      <c r="F625" s="38" t="str">
        <f>IF(C625&lt;&gt;"",VLOOKUP($C625,Carpetas!$C$5:$L$2060,2,FALSE),"")</f>
        <v>ECB038</v>
      </c>
      <c r="G625" s="38" t="s">
        <v>43</v>
      </c>
      <c r="H625" s="44">
        <f>IF(C625&lt;&gt;"",VLOOKUP($C625,Carpetas!$C$5:$L$2060,9,FALSE),"")</f>
        <v>1534308</v>
      </c>
      <c r="I625" s="51" t="str">
        <f>IF(C625&lt;&gt;"",VLOOKUP($C625,Carpetas!$C$5:$L$2060,5,FALSE),"")</f>
        <v>Andino</v>
      </c>
      <c r="J625" s="51"/>
      <c r="K625" s="50">
        <v>45916</v>
      </c>
      <c r="L625" s="39" t="str">
        <f>VLOOKUP($C625,Carpetas!$C$5:$L$2060,4,FALSE)</f>
        <v>Fray Bentos</v>
      </c>
      <c r="M625" s="55">
        <f t="shared" si="43"/>
        <v>45917</v>
      </c>
      <c r="N625" s="53">
        <f t="shared" si="44"/>
        <v>16</v>
      </c>
      <c r="O625" s="51">
        <v>2160</v>
      </c>
      <c r="P625" s="51"/>
      <c r="Q625" s="51">
        <v>2160</v>
      </c>
      <c r="R625" s="51">
        <v>40</v>
      </c>
      <c r="S625" s="51"/>
      <c r="T625" s="65"/>
      <c r="U625" s="65"/>
      <c r="V625" s="65"/>
      <c r="W625" s="51"/>
      <c r="X625" s="66" t="s">
        <v>1433</v>
      </c>
    </row>
    <row r="626" hidden="1" ht="27.75" customHeight="1" s="32" customFormat="1">
      <c r="A626" s="37"/>
      <c r="B626" s="31" t="s">
        <v>32</v>
      </c>
      <c r="C626" s="59" t="s">
        <v>1432</v>
      </c>
      <c r="D626" s="57" t="s">
        <v>30</v>
      </c>
      <c r="E626" s="57">
        <v>45901</v>
      </c>
      <c r="F626" s="38" t="str">
        <f>IF(C626&lt;&gt;"",VLOOKUP($C626,Carpetas!$C$5:$L$2060,2,FALSE),"")</f>
        <v>ECB038</v>
      </c>
      <c r="G626" s="38" t="s">
        <v>43</v>
      </c>
      <c r="H626" s="44">
        <f>IF(C626&lt;&gt;"",VLOOKUP($C626,Carpetas!$C$5:$L$2060,9,FALSE),"")</f>
        <v>1534308</v>
      </c>
      <c r="I626" s="51" t="str">
        <f>IF(C626&lt;&gt;"",VLOOKUP($C626,Carpetas!$C$5:$L$2060,5,FALSE),"")</f>
        <v>Andino</v>
      </c>
      <c r="J626" s="51"/>
      <c r="K626" s="50">
        <v>45917</v>
      </c>
      <c r="L626" s="39" t="str">
        <f>VLOOKUP($C626,Carpetas!$C$5:$L$2060,4,FALSE)</f>
        <v>Fray Bentos</v>
      </c>
      <c r="M626" s="55">
        <f ref="M626:M652" t="shared" si="45">K626+1</f>
        <v>45918</v>
      </c>
      <c r="N626" s="53">
        <f t="shared" si="44"/>
        <v>17</v>
      </c>
      <c r="O626" s="51">
        <v>1080</v>
      </c>
      <c r="P626" s="51"/>
      <c r="Q626" s="51">
        <v>1080</v>
      </c>
      <c r="R626" s="51">
        <v>20</v>
      </c>
      <c r="S626" s="51">
        <v>20.5</v>
      </c>
      <c r="T626" s="65"/>
      <c r="U626" s="65"/>
      <c r="V626" s="65" t="s">
        <v>55</v>
      </c>
      <c r="W626" s="51" t="s">
        <v>97</v>
      </c>
      <c r="X626" s="66" t="s">
        <v>1434</v>
      </c>
    </row>
    <row r="627" hidden="1" ht="27.75" customHeight="1" s="32" customFormat="1">
      <c r="A627" s="37"/>
      <c r="B627" s="31" t="s">
        <v>32</v>
      </c>
      <c r="C627" s="59" t="s">
        <v>1435</v>
      </c>
      <c r="D627" s="57" t="s">
        <v>30</v>
      </c>
      <c r="E627" s="57">
        <v>45901</v>
      </c>
      <c r="F627" s="38" t="str">
        <f>IF(C627&lt;&gt;"",VLOOKUP($C627,Carpetas!$C$5:$L$2060,2,FALSE),"")</f>
        <v>ECE041</v>
      </c>
      <c r="G627" s="38" t="s">
        <v>43</v>
      </c>
      <c r="H627" s="44">
        <f>IF(C627&lt;&gt;"",VLOOKUP($C627,Carpetas!$C$5:$L$2060,9,FALSE),"")</f>
        <v>1534314</v>
      </c>
      <c r="I627" s="51" t="str">
        <f>IF(C627&lt;&gt;"",VLOOKUP($C627,Carpetas!$C$5:$L$2060,5,FALSE),"")</f>
        <v>Andino</v>
      </c>
      <c r="J627" s="51"/>
      <c r="K627" s="50">
        <v>45917</v>
      </c>
      <c r="L627" s="39" t="str">
        <f>VLOOKUP($C627,Carpetas!$C$5:$L$2060,4,FALSE)</f>
        <v>Fray Bentos</v>
      </c>
      <c r="M627" s="55">
        <f t="shared" si="45"/>
        <v>45918</v>
      </c>
      <c r="N627" s="53">
        <f t="shared" si="44"/>
        <v>17</v>
      </c>
      <c r="O627" s="51">
        <v>2160</v>
      </c>
      <c r="P627" s="51"/>
      <c r="Q627" s="51">
        <v>2160</v>
      </c>
      <c r="R627" s="51">
        <v>40</v>
      </c>
      <c r="S627" s="51">
        <v>21</v>
      </c>
      <c r="T627" s="65"/>
      <c r="U627" s="65"/>
      <c r="V627" s="65" t="s">
        <v>60</v>
      </c>
      <c r="W627" s="51" t="s">
        <v>1436</v>
      </c>
      <c r="X627" s="66" t="s">
        <v>1437</v>
      </c>
    </row>
    <row r="628" hidden="1" ht="27.75" customHeight="1" s="32" customFormat="1">
      <c r="A628" s="37"/>
      <c r="B628" s="31" t="s">
        <v>32</v>
      </c>
      <c r="C628" s="59" t="s">
        <v>1438</v>
      </c>
      <c r="D628" s="57" t="s">
        <v>30</v>
      </c>
      <c r="E628" s="57">
        <v>45894</v>
      </c>
      <c r="F628" s="38" t="str">
        <f>IF(C628&lt;&gt;"",VLOOKUP($C628,Carpetas!$C$5:$L$2060,2,FALSE),"")</f>
        <v>COB016</v>
      </c>
      <c r="G628" s="38" t="s">
        <v>267</v>
      </c>
      <c r="H628" s="44">
        <f>IF(C628&lt;&gt;"",VLOOKUP($C628,Carpetas!$C$5:$L$2060,9,FALSE),"")</f>
        <v>1532155</v>
      </c>
      <c r="I628" s="51" t="str">
        <f>IF(C628&lt;&gt;"",VLOOKUP($C628,Carpetas!$C$5:$L$2060,5,FALSE),"")</f>
        <v>Andino</v>
      </c>
      <c r="J628" s="51"/>
      <c r="K628" s="50">
        <v>45917</v>
      </c>
      <c r="L628" s="39" t="str">
        <f>VLOOKUP($C628,Carpetas!$C$5:$L$2060,4,FALSE)</f>
        <v>Fray Bentos</v>
      </c>
      <c r="M628" s="55">
        <f t="shared" si="45"/>
        <v>45918</v>
      </c>
      <c r="N628" s="53">
        <f t="shared" si="44"/>
        <v>24</v>
      </c>
      <c r="O628" s="51">
        <v>1080</v>
      </c>
      <c r="P628" s="51"/>
      <c r="Q628" s="51">
        <v>1026</v>
      </c>
      <c r="R628" s="51">
        <v>20</v>
      </c>
      <c r="S628" s="51">
        <v>20.5</v>
      </c>
      <c r="T628" s="65"/>
      <c r="U628" s="65"/>
      <c r="V628" s="65" t="s">
        <v>268</v>
      </c>
      <c r="W628" s="51" t="s">
        <v>101</v>
      </c>
      <c r="X628" s="66" t="s">
        <v>1439</v>
      </c>
    </row>
    <row r="629" hidden="1" ht="27.75" customHeight="1" s="32" customFormat="1">
      <c r="A629" s="37"/>
      <c r="B629" s="31" t="s">
        <v>32</v>
      </c>
      <c r="C629" s="59" t="s">
        <v>1432</v>
      </c>
      <c r="D629" s="57" t="s">
        <v>30</v>
      </c>
      <c r="E629" s="57">
        <v>45901</v>
      </c>
      <c r="F629" s="38" t="str">
        <f>IF(C629&lt;&gt;"",VLOOKUP($C629,Carpetas!$C$5:$L$2060,2,FALSE),"")</f>
        <v>ECB038</v>
      </c>
      <c r="G629" s="38" t="s">
        <v>43</v>
      </c>
      <c r="H629" s="44">
        <f>IF(C629&lt;&gt;"",VLOOKUP($C629,Carpetas!$C$5:$L$2060,9,FALSE),"")</f>
        <v>1534308</v>
      </c>
      <c r="I629" s="51" t="str">
        <f>IF(C629&lt;&gt;"",VLOOKUP($C629,Carpetas!$C$5:$L$2060,5,FALSE),"")</f>
        <v>Andino</v>
      </c>
      <c r="J629" s="51"/>
      <c r="K629" s="50">
        <v>45918</v>
      </c>
      <c r="L629" s="39" t="str">
        <f>VLOOKUP($C629,Carpetas!$C$5:$L$2060,4,FALSE)</f>
        <v>Fray Bentos</v>
      </c>
      <c r="M629" s="55">
        <f t="shared" si="45"/>
        <v>45919</v>
      </c>
      <c r="N629" s="53">
        <f t="shared" si="44"/>
        <v>18</v>
      </c>
      <c r="O629" s="51">
        <v>1080</v>
      </c>
      <c r="P629" s="51"/>
      <c r="Q629" s="51">
        <v>1080</v>
      </c>
      <c r="R629" s="51">
        <v>20</v>
      </c>
      <c r="S629" s="51">
        <v>20.5</v>
      </c>
      <c r="T629" s="65"/>
      <c r="U629" s="65"/>
      <c r="V629" s="65" t="s">
        <v>55</v>
      </c>
      <c r="W629" s="51" t="s">
        <v>1440</v>
      </c>
      <c r="X629" s="66" t="s">
        <v>1441</v>
      </c>
    </row>
    <row r="630" hidden="1" ht="27.75" customHeight="1" s="32" customFormat="1">
      <c r="A630" s="37"/>
      <c r="B630" s="31" t="s">
        <v>32</v>
      </c>
      <c r="C630" s="59" t="s">
        <v>1442</v>
      </c>
      <c r="D630" s="57" t="s">
        <v>48</v>
      </c>
      <c r="E630" s="57">
        <v>45915</v>
      </c>
      <c r="F630" s="38" t="str">
        <f>IF(C630&lt;&gt;"",VLOOKUP($C630,Carpetas!$C$5:$L$2060,2,FALSE),"")</f>
        <v>CLP021</v>
      </c>
      <c r="G630" s="38" t="s">
        <v>35</v>
      </c>
      <c r="H630" s="44">
        <f>IF(C630&lt;&gt;"",VLOOKUP($C630,Carpetas!$C$5:$L$2060,9,FALSE),"")</f>
        <v>1536419</v>
      </c>
      <c r="I630" s="51" t="str">
        <f>IF(C630&lt;&gt;"",VLOOKUP($C630,Carpetas!$C$5:$L$2060,5,FALSE),"")</f>
        <v>Cisterna</v>
      </c>
      <c r="J630" s="51"/>
      <c r="K630" s="50">
        <v>45918</v>
      </c>
      <c r="L630" s="39" t="str">
        <f>VLOOKUP($C630,Carpetas!$C$5:$L$2060,4,FALSE)</f>
        <v>Fray Bentos</v>
      </c>
      <c r="M630" s="55">
        <f t="shared" si="45"/>
        <v>45919</v>
      </c>
      <c r="N630" s="53">
        <f t="shared" si="44"/>
        <v>4</v>
      </c>
      <c r="O630" s="51">
        <v>2112</v>
      </c>
      <c r="P630" s="51"/>
      <c r="Q630" s="51">
        <v>2112</v>
      </c>
      <c r="R630" s="51">
        <v>24</v>
      </c>
      <c r="S630" s="51">
        <v>11</v>
      </c>
      <c r="T630" s="65"/>
      <c r="U630" s="65"/>
      <c r="V630" s="65" t="s">
        <v>518</v>
      </c>
      <c r="W630" s="51" t="s">
        <v>1443</v>
      </c>
      <c r="X630" s="66" t="s">
        <v>1444</v>
      </c>
    </row>
    <row r="631" hidden="1" ht="27.75" customHeight="1" s="32" customFormat="1">
      <c r="A631" s="37"/>
      <c r="B631" s="31" t="s">
        <v>32</v>
      </c>
      <c r="C631" s="59" t="s">
        <v>1445</v>
      </c>
      <c r="D631" s="57" t="s">
        <v>48</v>
      </c>
      <c r="E631" s="57">
        <v>45915</v>
      </c>
      <c r="F631" s="38" t="str">
        <f>IF(C631&lt;&gt;"",VLOOKUP($C631,Carpetas!$C$5:$L$2060,2,FALSE),"")</f>
        <v>CLP020</v>
      </c>
      <c r="G631" s="38" t="s">
        <v>35</v>
      </c>
      <c r="H631" s="44">
        <f>IF(C631&lt;&gt;"",VLOOKUP($C631,Carpetas!$C$5:$L$2060,9,FALSE),"")</f>
        <v>1535792</v>
      </c>
      <c r="I631" s="51" t="str">
        <f>IF(C631&lt;&gt;"",VLOOKUP($C631,Carpetas!$C$5:$L$2060,5,FALSE),"")</f>
        <v>Nihuil</v>
      </c>
      <c r="J631" s="51"/>
      <c r="K631" s="50">
        <v>45919</v>
      </c>
      <c r="L631" s="39" t="str">
        <f>VLOOKUP($C631,Carpetas!$C$5:$L$2060,4,FALSE)</f>
        <v>Fray Bentos</v>
      </c>
      <c r="M631" s="55">
        <f t="shared" si="45"/>
        <v>45920</v>
      </c>
      <c r="N631" s="53">
        <f t="shared" si="44"/>
        <v>5</v>
      </c>
      <c r="O631" s="51">
        <f>1056*2</f>
        <v>2112</v>
      </c>
      <c r="P631" s="51"/>
      <c r="Q631" s="51">
        <v>2112</v>
      </c>
      <c r="R631" s="51">
        <v>24</v>
      </c>
      <c r="S631" s="51">
        <v>12</v>
      </c>
      <c r="T631" s="65"/>
      <c r="U631" s="65"/>
      <c r="V631" s="65" t="s">
        <v>1015</v>
      </c>
      <c r="W631" s="51" t="s">
        <v>251</v>
      </c>
      <c r="X631" s="66" t="s">
        <v>1446</v>
      </c>
    </row>
    <row r="632" hidden="1" ht="27.75" customHeight="1" s="32" customFormat="1">
      <c r="A632" s="37"/>
      <c r="B632" s="31" t="s">
        <v>32</v>
      </c>
      <c r="C632" s="59" t="s">
        <v>1447</v>
      </c>
      <c r="D632" s="57" t="s">
        <v>30</v>
      </c>
      <c r="E632" s="57">
        <v>45915</v>
      </c>
      <c r="F632" s="38" t="str">
        <f>IF(C632&lt;&gt;"",VLOOKUP($C632,Carpetas!$C$5:$L$2060,2,FALSE),"")</f>
        <v>BOB013</v>
      </c>
      <c r="G632" s="38" t="s">
        <v>31</v>
      </c>
      <c r="H632" s="44">
        <f>IF(C632&lt;&gt;"",VLOOKUP($C632,Carpetas!$C$5:$L$2060,9,FALSE),"")</f>
        <v>1536220</v>
      </c>
      <c r="I632" s="51" t="str">
        <f>IF(C632&lt;&gt;"",VLOOKUP($C632,Carpetas!$C$5:$L$2060,5,FALSE),"")</f>
        <v>El Palomar</v>
      </c>
      <c r="J632" s="51"/>
      <c r="K632" s="50">
        <v>45922</v>
      </c>
      <c r="L632" s="39" t="str">
        <f>VLOOKUP($C632,Carpetas!$C$5:$L$2060,4,FALSE)</f>
        <v>Salto</v>
      </c>
      <c r="M632" s="55">
        <f t="shared" si="45"/>
        <v>45923</v>
      </c>
      <c r="N632" s="53">
        <f t="shared" si="44"/>
        <v>8</v>
      </c>
      <c r="O632" s="51">
        <v>1104</v>
      </c>
      <c r="P632" s="51"/>
      <c r="Q632" s="51">
        <v>1104</v>
      </c>
      <c r="R632" s="51">
        <v>23</v>
      </c>
      <c r="S632" s="51"/>
      <c r="T632" s="65"/>
      <c r="U632" s="65"/>
      <c r="V632" s="65"/>
      <c r="W632" s="51" t="s">
        <v>1448</v>
      </c>
      <c r="X632" s="66" t="s">
        <v>1449</v>
      </c>
    </row>
    <row r="633" hidden="1" ht="27.75" customHeight="1" s="32" customFormat="1">
      <c r="A633" s="37"/>
      <c r="B633" s="31" t="s">
        <v>32</v>
      </c>
      <c r="C633" s="59" t="s">
        <v>1447</v>
      </c>
      <c r="D633" s="57" t="s">
        <v>30</v>
      </c>
      <c r="E633" s="57">
        <v>45919</v>
      </c>
      <c r="F633" s="38" t="str">
        <f>IF(C633&lt;&gt;"",VLOOKUP($C633,Carpetas!$C$5:$L$2060,2,FALSE),"")</f>
        <v>BOB013</v>
      </c>
      <c r="G633" s="38" t="s">
        <v>31</v>
      </c>
      <c r="H633" s="44">
        <f>IF(C633&lt;&gt;"",VLOOKUP($C633,Carpetas!$C$5:$L$2060,9,FALSE),"")</f>
        <v>1536220</v>
      </c>
      <c r="I633" s="51" t="str">
        <f>IF(C633&lt;&gt;"",VLOOKUP($C633,Carpetas!$C$5:$L$2060,5,FALSE),"")</f>
        <v>El Palomar</v>
      </c>
      <c r="J633" s="51"/>
      <c r="K633" s="50">
        <v>45924</v>
      </c>
      <c r="L633" s="39" t="str">
        <f>VLOOKUP($C633,Carpetas!$C$5:$L$2060,4,FALSE)</f>
        <v>Salto</v>
      </c>
      <c r="M633" s="55">
        <f t="shared" si="45"/>
        <v>45925</v>
      </c>
      <c r="N633" s="53">
        <f t="shared" si="44"/>
        <v>6</v>
      </c>
      <c r="O633" s="51">
        <v>1104</v>
      </c>
      <c r="P633" s="51"/>
      <c r="Q633" s="51">
        <v>1104</v>
      </c>
      <c r="R633" s="51">
        <v>23</v>
      </c>
      <c r="S633" s="51">
        <v>21.5</v>
      </c>
      <c r="T633" s="65"/>
      <c r="U633" s="65"/>
      <c r="V633" s="65" t="s">
        <v>605</v>
      </c>
      <c r="W633" s="51" t="s">
        <v>1450</v>
      </c>
      <c r="X633" s="66" t="s">
        <v>1451</v>
      </c>
    </row>
    <row r="634" hidden="1" ht="27.75" customHeight="1" s="32" customFormat="1">
      <c r="A634" s="37"/>
      <c r="B634" s="31" t="s">
        <v>32</v>
      </c>
      <c r="C634" s="59" t="s">
        <v>1452</v>
      </c>
      <c r="D634" s="57" t="s">
        <v>42</v>
      </c>
      <c r="E634" s="57">
        <v>45907</v>
      </c>
      <c r="F634" s="38" t="str">
        <f>IF(C634&lt;&gt;"",VLOOKUP($C634,Carpetas!$C$5:$L$2060,2,FALSE),"")</f>
        <v>ECA020</v>
      </c>
      <c r="G634" s="38" t="s">
        <v>43</v>
      </c>
      <c r="H634" s="44" t="str">
        <f>IF(C634&lt;&gt;"",VLOOKUP($C634,Carpetas!$C$5:$L$2060,9,FALSE),"")</f>
      </c>
      <c r="I634" s="51" t="str">
        <f>IF(C634&lt;&gt;"",VLOOKUP($C634,Carpetas!$C$5:$L$2060,5,FALSE),"")</f>
        <v>Andino</v>
      </c>
      <c r="J634" s="51"/>
      <c r="K634" s="50">
        <v>45929</v>
      </c>
      <c r="L634" s="39" t="str">
        <f>VLOOKUP($C634,Carpetas!$C$5:$L$2060,4,FALSE)</f>
        <v>Fray Bentos</v>
      </c>
      <c r="M634" s="55">
        <f t="shared" si="45"/>
        <v>45930</v>
      </c>
      <c r="N634" s="53">
        <f t="shared" si="44"/>
        <v>23</v>
      </c>
      <c r="O634" s="51">
        <v>1680</v>
      </c>
      <c r="P634" s="51"/>
      <c r="Q634" s="51">
        <v>1680</v>
      </c>
      <c r="R634" s="51">
        <v>21</v>
      </c>
      <c r="S634" s="51"/>
      <c r="T634" s="65"/>
      <c r="U634" s="65"/>
      <c r="V634" s="65"/>
      <c r="W634" s="51" t="s">
        <v>1453</v>
      </c>
      <c r="X634" s="66" t="s">
        <v>1454</v>
      </c>
    </row>
    <row r="635" hidden="1" ht="27.75" customHeight="1" s="32" customFormat="1">
      <c r="A635" s="37"/>
      <c r="B635" s="31" t="s">
        <v>32</v>
      </c>
      <c r="C635" s="59" t="s">
        <v>1455</v>
      </c>
      <c r="D635" s="57" t="s">
        <v>30</v>
      </c>
      <c r="E635" s="57">
        <v>45907</v>
      </c>
      <c r="F635" s="38" t="str">
        <f>IF(C635&lt;&gt;"",VLOOKUP($C635,Carpetas!$C$5:$L$2060,2,FALSE),"")</f>
        <v>ECB039</v>
      </c>
      <c r="G635" s="38" t="s">
        <v>43</v>
      </c>
      <c r="H635" s="44">
        <f>IF(C635&lt;&gt;"",VLOOKUP($C635,Carpetas!$C$5:$L$2060,9,FALSE),"")</f>
        <v>1534790</v>
      </c>
      <c r="I635" s="51" t="str">
        <f>IF(C635&lt;&gt;"",VLOOKUP($C635,Carpetas!$C$5:$L$2060,5,FALSE),"")</f>
        <v>Andino</v>
      </c>
      <c r="J635" s="51"/>
      <c r="K635" s="50">
        <v>45929</v>
      </c>
      <c r="L635" s="39" t="str">
        <f>VLOOKUP($C635,Carpetas!$C$5:$L$2060,4,FALSE)</f>
        <v>Fray Bentos</v>
      </c>
      <c r="M635" s="55">
        <f t="shared" si="45"/>
        <v>45930</v>
      </c>
      <c r="N635" s="53">
        <f t="shared" si="44"/>
        <v>23</v>
      </c>
      <c r="O635" s="51">
        <v>1080</v>
      </c>
      <c r="P635" s="51"/>
      <c r="Q635" s="51">
        <v>1080</v>
      </c>
      <c r="R635" s="51">
        <v>20</v>
      </c>
      <c r="S635" s="51"/>
      <c r="T635" s="65"/>
      <c r="U635" s="65"/>
      <c r="V635" s="65"/>
      <c r="W635" s="51" t="s">
        <v>325</v>
      </c>
      <c r="X635" s="66" t="s">
        <v>1456</v>
      </c>
    </row>
    <row r="636" hidden="1" ht="27.75" customHeight="1" s="32" customFormat="1">
      <c r="A636" s="37"/>
      <c r="B636" s="31" t="s">
        <v>32</v>
      </c>
      <c r="C636" s="59" t="s">
        <v>1457</v>
      </c>
      <c r="D636" s="57" t="s">
        <v>30</v>
      </c>
      <c r="E636" s="57">
        <v>45907</v>
      </c>
      <c r="F636" s="38" t="str">
        <f>IF(C636&lt;&gt;"",VLOOKUP($C636,Carpetas!$C$5:$L$2060,2,FALSE),"")</f>
        <v>ECE042</v>
      </c>
      <c r="G636" s="38" t="s">
        <v>43</v>
      </c>
      <c r="H636" s="44">
        <f>IF(C636&lt;&gt;"",VLOOKUP($C636,Carpetas!$C$5:$L$2060,9,FALSE),"")</f>
        <v>1534790</v>
      </c>
      <c r="I636" s="51" t="str">
        <f>IF(C636&lt;&gt;"",VLOOKUP($C636,Carpetas!$C$5:$L$2060,5,FALSE),"")</f>
        <v>Andino</v>
      </c>
      <c r="J636" s="51"/>
      <c r="K636" s="50">
        <v>45929</v>
      </c>
      <c r="L636" s="39" t="str">
        <f>VLOOKUP($C636,Carpetas!$C$5:$L$2060,4,FALSE)</f>
        <v>Fray Bentos</v>
      </c>
      <c r="M636" s="55">
        <f t="shared" si="45"/>
        <v>45930</v>
      </c>
      <c r="N636" s="53">
        <f t="shared" si="44"/>
        <v>23</v>
      </c>
      <c r="O636" s="51">
        <v>2192</v>
      </c>
      <c r="P636" s="51"/>
      <c r="Q636" s="51"/>
      <c r="R636" s="51"/>
      <c r="S636" s="51"/>
      <c r="T636" s="65"/>
      <c r="U636" s="65"/>
      <c r="V636" s="65"/>
      <c r="W636" s="51"/>
      <c r="X636" s="66"/>
    </row>
    <row r="637" hidden="1" ht="27.75" customHeight="1" s="32" customFormat="1">
      <c r="A637" s="37"/>
      <c r="B637" s="31" t="s">
        <v>32</v>
      </c>
      <c r="C637" s="59" t="s">
        <v>1458</v>
      </c>
      <c r="D637" s="57" t="s">
        <v>37</v>
      </c>
      <c r="E637" s="57">
        <v>45926</v>
      </c>
      <c r="F637" s="38" t="str">
        <f>IF(C637&lt;&gt;"",VLOOKUP($C637,Carpetas!$C$5:$L$2060,2,FALSE),"")</f>
        <v>CLK011</v>
      </c>
      <c r="G637" s="38" t="s">
        <v>35</v>
      </c>
      <c r="H637" s="44" t="str">
        <f>IF(C637&lt;&gt;"",VLOOKUP($C637,Carpetas!$C$5:$L$2060,9,FALSE),"")</f>
        <v>1537305.</v>
      </c>
      <c r="I637" s="51" t="str">
        <f>IF(C637&lt;&gt;"",VLOOKUP($C637,Carpetas!$C$5:$L$2060,5,FALSE),"")</f>
        <v>Cisterna</v>
      </c>
      <c r="J637" s="51"/>
      <c r="K637" s="50">
        <v>45929</v>
      </c>
      <c r="L637" s="39" t="str">
        <f>VLOOKUP($C637,Carpetas!$C$5:$L$2060,4,FALSE)</f>
        <v>Fray Bentos</v>
      </c>
      <c r="M637" s="55">
        <f t="shared" si="45"/>
        <v>45930</v>
      </c>
      <c r="N637" s="53">
        <f t="shared" si="44"/>
        <v>4</v>
      </c>
      <c r="O637" s="51">
        <v>2288</v>
      </c>
      <c r="P637" s="51"/>
      <c r="Q637" s="51">
        <v>2288</v>
      </c>
      <c r="R637" s="51">
        <v>22</v>
      </c>
      <c r="S637" s="51"/>
      <c r="T637" s="65"/>
      <c r="U637" s="65"/>
      <c r="V637" s="65"/>
      <c r="W637" s="51" t="s">
        <v>1427</v>
      </c>
      <c r="X637" s="66" t="s">
        <v>1459</v>
      </c>
    </row>
    <row r="638" hidden="1" ht="27.75" customHeight="1" s="32" customFormat="1">
      <c r="A638" s="37"/>
      <c r="B638" s="31" t="s">
        <v>32</v>
      </c>
      <c r="C638" s="59" t="s">
        <v>1460</v>
      </c>
      <c r="D638" s="57" t="s">
        <v>30</v>
      </c>
      <c r="E638" s="57">
        <v>45924</v>
      </c>
      <c r="F638" s="126" t="str">
        <f>IF(C638&lt;&gt;"",VLOOKUP($C638,Carpetas!$C$5:$L$2060,2,FALSE),"")</f>
        <v>BOB014</v>
      </c>
      <c r="G638" s="38" t="s">
        <v>31</v>
      </c>
      <c r="H638" s="44">
        <f>IF(C638&lt;&gt;"",VLOOKUP($C638,Carpetas!$C$5:$L$2060,9,FALSE),"")</f>
        <v>1537189</v>
      </c>
      <c r="I638" s="51" t="str">
        <f>IF(C638&lt;&gt;"",VLOOKUP($C638,Carpetas!$C$5:$L$2060,5,FALSE),"")</f>
        <v>El Palomar</v>
      </c>
      <c r="J638" s="51"/>
      <c r="K638" s="50">
        <v>45930</v>
      </c>
      <c r="L638" s="39" t="str">
        <f>VLOOKUP($C638,Carpetas!$C$5:$L$2060,4,FALSE)</f>
        <v>Salto</v>
      </c>
      <c r="M638" s="127">
        <f t="shared" si="45"/>
        <v>45931</v>
      </c>
      <c r="N638" s="53">
        <f t="shared" si="44"/>
        <v>7</v>
      </c>
      <c r="O638" s="51">
        <v>1104</v>
      </c>
      <c r="P638" s="51"/>
      <c r="Q638" s="51"/>
      <c r="R638" s="51"/>
      <c r="S638" s="51"/>
      <c r="T638" s="65"/>
      <c r="U638" s="65"/>
      <c r="V638" s="65"/>
      <c r="W638" s="51"/>
      <c r="X638" s="66"/>
    </row>
    <row r="639" hidden="1" ht="27.75" customHeight="1" s="32" customFormat="1">
      <c r="A639" s="37"/>
      <c r="B639" s="31" t="s">
        <v>32</v>
      </c>
      <c r="C639" s="59" t="s">
        <v>1460</v>
      </c>
      <c r="D639" s="57" t="s">
        <v>30</v>
      </c>
      <c r="E639" s="57">
        <v>45927</v>
      </c>
      <c r="F639" s="126" t="str">
        <f>IF(C639&lt;&gt;"",VLOOKUP($C639,Carpetas!$C$5:$L$2060,2,FALSE),"")</f>
        <v>BOB014</v>
      </c>
      <c r="G639" s="38" t="s">
        <v>31</v>
      </c>
      <c r="H639" s="44">
        <f>IF(C639&lt;&gt;"",VLOOKUP($C639,Carpetas!$C$5:$L$2060,9,FALSE),"")</f>
        <v>1537189</v>
      </c>
      <c r="I639" s="51" t="str">
        <f>IF(C639&lt;&gt;"",VLOOKUP($C639,Carpetas!$C$5:$L$2060,5,FALSE),"")</f>
        <v>El Palomar</v>
      </c>
      <c r="J639" s="51"/>
      <c r="K639" s="50">
        <v>45931</v>
      </c>
      <c r="L639" s="39" t="str">
        <f>VLOOKUP($C639,Carpetas!$C$5:$L$2060,4,FALSE)</f>
        <v>Salto</v>
      </c>
      <c r="M639" s="127">
        <f t="shared" si="45"/>
        <v>45932</v>
      </c>
      <c r="N639" s="53">
        <f t="shared" si="44"/>
        <v>5</v>
      </c>
      <c r="O639" s="51">
        <v>1104</v>
      </c>
      <c r="P639" s="51"/>
      <c r="Q639" s="51">
        <v>1104</v>
      </c>
      <c r="R639" s="51">
        <v>24</v>
      </c>
      <c r="S639" s="51">
        <v>25</v>
      </c>
      <c r="T639" s="65"/>
      <c r="U639" s="65"/>
      <c r="V639" s="65" t="s">
        <v>605</v>
      </c>
      <c r="W639" s="51" t="s">
        <v>981</v>
      </c>
      <c r="X639" s="66" t="s">
        <v>1461</v>
      </c>
    </row>
    <row r="640" hidden="1" ht="27.75" customHeight="1" s="32" customFormat="1">
      <c r="A640" s="37"/>
      <c r="B640" s="31" t="s">
        <v>32</v>
      </c>
      <c r="C640" s="59" t="s">
        <v>1462</v>
      </c>
      <c r="D640" s="57" t="s">
        <v>1463</v>
      </c>
      <c r="E640" s="57">
        <v>45903</v>
      </c>
      <c r="F640" s="126" t="str">
        <f>IF(C640&lt;&gt;"",VLOOKUP($C640,Carpetas!$C$5:$L$2060,2,FALSE),"")</f>
        <v>ESC003</v>
      </c>
      <c r="G640" s="38" t="s">
        <v>43</v>
      </c>
      <c r="H640" s="44">
        <f>IF(C640&lt;&gt;"",VLOOKUP($C640,Carpetas!$C$5:$L$2060,9,FALSE),"")</f>
        <v>1534370</v>
      </c>
      <c r="I640" s="51" t="str">
        <f>IF(C640&lt;&gt;"",VLOOKUP($C640,Carpetas!$C$5:$L$2060,5,FALSE),"")</f>
        <v>Ciatran</v>
      </c>
      <c r="J640" s="51"/>
      <c r="K640" s="50">
        <v>45932</v>
      </c>
      <c r="L640" s="39" t="str">
        <f>VLOOKUP($C640,Carpetas!$C$5:$L$2060,4,FALSE)</f>
        <v>Montevide</v>
      </c>
      <c r="M640" s="127">
        <f t="shared" si="45"/>
        <v>45933</v>
      </c>
      <c r="N640" s="53">
        <f t="shared" si="44"/>
        <v>30</v>
      </c>
      <c r="O640" s="51">
        <v>2324</v>
      </c>
      <c r="P640" s="51"/>
      <c r="Q640" s="51"/>
      <c r="R640" s="51"/>
      <c r="S640" s="51"/>
      <c r="T640" s="65"/>
      <c r="U640" s="65"/>
      <c r="V640" s="65"/>
      <c r="W640" s="51"/>
      <c r="X640" s="66"/>
    </row>
    <row r="641" hidden="1" ht="27.75" customHeight="1" s="32" customFormat="1">
      <c r="A641" s="37"/>
      <c r="B641" s="31" t="s">
        <v>32</v>
      </c>
      <c r="C641" s="59" t="s">
        <v>1455</v>
      </c>
      <c r="D641" s="57" t="s">
        <v>30</v>
      </c>
      <c r="E641" s="57">
        <v>45907</v>
      </c>
      <c r="F641" s="126" t="str">
        <f>IF(C641&lt;&gt;"",VLOOKUP($C641,Carpetas!$C$5:$L$2060,2,FALSE),"")</f>
        <v>ECB039</v>
      </c>
      <c r="G641" s="38" t="s">
        <v>43</v>
      </c>
      <c r="H641" s="44">
        <f>IF(C641&lt;&gt;"",VLOOKUP($C641,Carpetas!$C$5:$L$2060,9,FALSE),"")</f>
        <v>1534790</v>
      </c>
      <c r="I641" s="51" t="str">
        <f>IF(C641&lt;&gt;"",VLOOKUP($C641,Carpetas!$C$5:$L$2060,5,FALSE),"")</f>
        <v>Andino</v>
      </c>
      <c r="J641" s="51"/>
      <c r="K641" s="50">
        <v>45932</v>
      </c>
      <c r="L641" s="39" t="str">
        <f>VLOOKUP($C641,Carpetas!$C$5:$L$2060,4,FALSE)</f>
        <v>Fray Bentos</v>
      </c>
      <c r="M641" s="127">
        <f t="shared" si="45"/>
        <v>45933</v>
      </c>
      <c r="N641" s="53">
        <f t="shared" si="44"/>
        <v>26</v>
      </c>
      <c r="O641" s="51">
        <v>3240</v>
      </c>
      <c r="P641" s="51"/>
      <c r="Q641" s="51"/>
      <c r="R641" s="51">
        <v>40</v>
      </c>
      <c r="S641" s="51"/>
      <c r="T641" s="65"/>
      <c r="U641" s="65"/>
      <c r="V641" s="65" t="s">
        <v>317</v>
      </c>
      <c r="W641" s="51"/>
      <c r="X641" s="66"/>
    </row>
    <row r="642" hidden="1" ht="27.75" customHeight="1" s="32" customFormat="1">
      <c r="A642" s="37"/>
      <c r="B642" s="31" t="s">
        <v>32</v>
      </c>
      <c r="C642" s="59" t="s">
        <v>1464</v>
      </c>
      <c r="D642" s="57" t="s">
        <v>30</v>
      </c>
      <c r="E642" s="57">
        <v>45915</v>
      </c>
      <c r="F642" s="126" t="str">
        <f>IF(C642&lt;&gt;"",VLOOKUP($C642,Carpetas!$C$5:$L$2060,2,FALSE),"")</f>
        <v>ECB040</v>
      </c>
      <c r="G642" s="38" t="s">
        <v>43</v>
      </c>
      <c r="H642" s="44">
        <f>IF(C642&lt;&gt;"",VLOOKUP($C642,Carpetas!$C$5:$L$2060,9,FALSE),"")</f>
        <v>1535698</v>
      </c>
      <c r="I642" s="51" t="str">
        <f>IF(C642&lt;&gt;"",VLOOKUP($C642,Carpetas!$C$5:$L$2060,5,FALSE),"")</f>
        <v>Andino</v>
      </c>
      <c r="J642" s="51"/>
      <c r="K642" s="50">
        <v>45933</v>
      </c>
      <c r="L642" s="39" t="str">
        <f>VLOOKUP($C642,Carpetas!$C$5:$L$2060,4,FALSE)</f>
        <v>Fray Bentos</v>
      </c>
      <c r="M642" s="127">
        <f t="shared" si="45"/>
        <v>45934</v>
      </c>
      <c r="N642" s="53">
        <f t="shared" si="44"/>
        <v>19</v>
      </c>
      <c r="O642" s="51">
        <v>4320</v>
      </c>
      <c r="P642" s="51"/>
      <c r="Q642" s="51">
        <v>3240</v>
      </c>
      <c r="R642" s="51">
        <v>80</v>
      </c>
      <c r="S642" s="51">
        <v>22</v>
      </c>
      <c r="T642" s="65"/>
      <c r="U642" s="65"/>
      <c r="V642" s="65" t="s">
        <v>55</v>
      </c>
      <c r="W642" s="51"/>
      <c r="X642" s="66" t="s">
        <v>1465</v>
      </c>
    </row>
    <row r="643" hidden="1" ht="27.75" customHeight="1" s="32" customFormat="1">
      <c r="A643" s="37"/>
      <c r="B643" s="31" t="s">
        <v>32</v>
      </c>
      <c r="C643" s="59" t="s">
        <v>1466</v>
      </c>
      <c r="D643" s="57" t="s">
        <v>30</v>
      </c>
      <c r="E643" s="57">
        <v>45915</v>
      </c>
      <c r="F643" s="126" t="str">
        <f>IF(C643&lt;&gt;"",VLOOKUP($C643,Carpetas!$C$5:$L$2060,2,FALSE),"")</f>
        <v>ECE043</v>
      </c>
      <c r="G643" s="38" t="s">
        <v>43</v>
      </c>
      <c r="H643" s="44">
        <f>IF(C643&lt;&gt;"",VLOOKUP($C643,Carpetas!$C$5:$L$2060,9,FALSE),"")</f>
        <v>1535697</v>
      </c>
      <c r="I643" s="51" t="str">
        <f>IF(C643&lt;&gt;"",VLOOKUP($C643,Carpetas!$C$5:$L$2060,5,FALSE),"")</f>
        <v>Andino</v>
      </c>
      <c r="J643" s="51"/>
      <c r="K643" s="50">
        <v>45933</v>
      </c>
      <c r="L643" s="39" t="str">
        <f>VLOOKUP($C643,Carpetas!$C$5:$L$2060,4,FALSE)</f>
        <v>Fray Bentos</v>
      </c>
      <c r="M643" s="127">
        <f t="shared" si="45"/>
        <v>45934</v>
      </c>
      <c r="N643" s="53">
        <f t="shared" si="44"/>
        <v>19</v>
      </c>
      <c r="O643" s="51">
        <v>2192</v>
      </c>
      <c r="P643" s="51"/>
      <c r="Q643" s="51">
        <v>2222</v>
      </c>
      <c r="R643" s="51"/>
      <c r="S643" s="51"/>
      <c r="T643" s="65"/>
      <c r="U643" s="65"/>
      <c r="V643" s="65"/>
      <c r="W643" s="51"/>
      <c r="X643" s="66" t="s">
        <v>1467</v>
      </c>
    </row>
    <row r="644" hidden="1" ht="27.75" customHeight="1" s="32" customFormat="1">
      <c r="A644" s="37"/>
      <c r="B644" s="31" t="s">
        <v>32</v>
      </c>
      <c r="C644" s="59" t="s">
        <v>1468</v>
      </c>
      <c r="D644" s="57" t="s">
        <v>30</v>
      </c>
      <c r="E644" s="57">
        <v>45915</v>
      </c>
      <c r="F644" s="126" t="str">
        <f>IF(C644&lt;&gt;"",VLOOKUP($C644,Carpetas!$C$5:$L$2060,2,FALSE),"")</f>
        <v>COB017</v>
      </c>
      <c r="G644" s="38" t="s">
        <v>267</v>
      </c>
      <c r="H644" s="44">
        <f>IF(C644&lt;&gt;"",VLOOKUP($C644,Carpetas!$C$5:$L$2060,9,FALSE),"")</f>
        <v>1532156</v>
      </c>
      <c r="I644" s="51" t="str">
        <f>IF(C644&lt;&gt;"",VLOOKUP($C644,Carpetas!$C$5:$L$2060,5,FALSE),"")</f>
        <v>Andino</v>
      </c>
      <c r="J644" s="51"/>
      <c r="K644" s="50">
        <v>45933</v>
      </c>
      <c r="L644" s="39" t="str">
        <f>VLOOKUP($C644,Carpetas!$C$5:$L$2060,4,FALSE)</f>
        <v>Fray Bentos</v>
      </c>
      <c r="M644" s="127">
        <f t="shared" si="45"/>
        <v>45934</v>
      </c>
      <c r="N644" s="53">
        <f t="shared" si="44"/>
        <v>19</v>
      </c>
      <c r="O644" s="51">
        <v>1080</v>
      </c>
      <c r="P644" s="51"/>
      <c r="Q644" s="51">
        <v>1080</v>
      </c>
      <c r="R644" s="51">
        <v>20</v>
      </c>
      <c r="S644" s="51">
        <v>20</v>
      </c>
      <c r="T644" s="65"/>
      <c r="U644" s="65"/>
      <c r="V644" s="65" t="s">
        <v>268</v>
      </c>
      <c r="W644" s="51"/>
      <c r="X644" s="66" t="s">
        <v>1469</v>
      </c>
    </row>
    <row r="645" hidden="1" ht="27.75" customHeight="1" s="32" customFormat="1">
      <c r="A645" s="37"/>
      <c r="B645" s="31" t="s">
        <v>32</v>
      </c>
      <c r="C645" s="59" t="s">
        <v>1470</v>
      </c>
      <c r="D645" s="57" t="s">
        <v>37</v>
      </c>
      <c r="E645" s="57">
        <v>45931</v>
      </c>
      <c r="F645" s="126" t="str">
        <f>IF(C645&lt;&gt;"",VLOOKUP($C645,Carpetas!$C$5:$L$2060,2,FALSE),"")</f>
        <v>CLK012</v>
      </c>
      <c r="G645" s="38" t="s">
        <v>35</v>
      </c>
      <c r="H645" s="44">
        <f>IF(C645&lt;&gt;"",VLOOKUP($C645,Carpetas!$C$5:$L$2060,9,FALSE),"")</f>
        <v>1538028</v>
      </c>
      <c r="I645" s="51" t="str">
        <f>IF(C645&lt;&gt;"",VLOOKUP($C645,Carpetas!$C$5:$L$2060,5,FALSE),"")</f>
        <v>Cisterna</v>
      </c>
      <c r="J645" s="51"/>
      <c r="K645" s="50">
        <f>E645+5</f>
        <v>45936</v>
      </c>
      <c r="L645" s="39" t="str">
        <f>VLOOKUP($C645,Carpetas!$C$5:$L$2060,4,FALSE)</f>
        <v>Fray Bentos</v>
      </c>
      <c r="M645" s="127">
        <f t="shared" si="45"/>
        <v>45937</v>
      </c>
      <c r="N645" s="53">
        <f t="shared" si="44"/>
        <v>6</v>
      </c>
      <c r="O645" s="51">
        <v>2288</v>
      </c>
      <c r="P645" s="51"/>
      <c r="Q645" s="51">
        <v>2288</v>
      </c>
      <c r="R645" s="51">
        <v>22</v>
      </c>
      <c r="S645" s="51"/>
      <c r="T645" s="65"/>
      <c r="U645" s="65"/>
      <c r="V645" s="65"/>
      <c r="W645" s="51"/>
      <c r="X645" s="66" t="s">
        <v>1471</v>
      </c>
    </row>
    <row r="646" hidden="1" ht="27.75" customHeight="1" s="32" customFormat="1">
      <c r="A646" s="37"/>
      <c r="B646" s="31" t="s">
        <v>32</v>
      </c>
      <c r="C646" s="59" t="s">
        <v>1472</v>
      </c>
      <c r="D646" s="57" t="s">
        <v>30</v>
      </c>
      <c r="E646" s="57">
        <v>45933</v>
      </c>
      <c r="F646" s="126" t="str">
        <f>IF(C646&lt;&gt;"",VLOOKUP($C646,Carpetas!$C$5:$L$2060,2,FALSE),"")</f>
        <v>BOB015</v>
      </c>
      <c r="G646" s="38" t="s">
        <v>31</v>
      </c>
      <c r="H646" s="44">
        <f>IF(C646&lt;&gt;"",VLOOKUP($C646,Carpetas!$C$5:$L$2060,9,FALSE),"")</f>
        <v>1538044</v>
      </c>
      <c r="I646" s="51" t="str">
        <f>IF(C646&lt;&gt;"",VLOOKUP($C646,Carpetas!$C$5:$L$2060,5,FALSE),"")</f>
        <v>El Palomar</v>
      </c>
      <c r="J646" s="51"/>
      <c r="K646" s="50">
        <v>45938</v>
      </c>
      <c r="L646" s="39" t="str">
        <f>VLOOKUP($C646,Carpetas!$C$5:$L$2060,4,FALSE)</f>
        <v>Salto</v>
      </c>
      <c r="M646" s="127">
        <f t="shared" si="45"/>
        <v>45939</v>
      </c>
      <c r="N646" s="53">
        <f t="shared" si="44"/>
        <v>6</v>
      </c>
      <c r="O646" s="51">
        <v>1104</v>
      </c>
      <c r="P646" s="51"/>
      <c r="Q646" s="51"/>
      <c r="R646" s="51"/>
      <c r="S646" s="51"/>
      <c r="T646" s="65"/>
      <c r="U646" s="65"/>
      <c r="V646" s="65"/>
      <c r="W646" s="51"/>
      <c r="X646" s="66"/>
    </row>
    <row r="647" hidden="1" ht="27.75" customHeight="1" s="32" customFormat="1">
      <c r="A647" s="37"/>
      <c r="B647" s="31" t="s">
        <v>32</v>
      </c>
      <c r="C647" s="59" t="s">
        <v>1473</v>
      </c>
      <c r="D647" s="57" t="s">
        <v>30</v>
      </c>
      <c r="E647" s="57">
        <v>45922</v>
      </c>
      <c r="F647" s="126" t="str">
        <f>IF(C647&lt;&gt;"",VLOOKUP($C647,Carpetas!$C$5:$L$2060,2,FALSE),"")</f>
        <v>ECB041</v>
      </c>
      <c r="G647" s="38" t="s">
        <v>43</v>
      </c>
      <c r="H647" s="44">
        <f>IF(C647&lt;&gt;"",VLOOKUP($C647,Carpetas!$C$5:$L$2060,9,FALSE),"")</f>
        <v>1536452</v>
      </c>
      <c r="I647" s="51" t="str">
        <f>IF(C647&lt;&gt;"",VLOOKUP($C647,Carpetas!$C$5:$L$2060,5,FALSE),"")</f>
        <v>Andino</v>
      </c>
      <c r="J647" s="51"/>
      <c r="K647" s="50">
        <v>45942</v>
      </c>
      <c r="L647" s="39" t="str">
        <f>VLOOKUP($C647,Carpetas!$C$5:$L$2060,4,FALSE)</f>
        <v>Fray Bentos</v>
      </c>
      <c r="M647" s="127">
        <f t="shared" si="45"/>
        <v>45943</v>
      </c>
      <c r="N647" s="53">
        <f t="shared" si="44"/>
        <v>21</v>
      </c>
      <c r="O647" s="51">
        <v>1080</v>
      </c>
      <c r="P647" s="51"/>
      <c r="Q647" s="51"/>
      <c r="R647" s="51"/>
      <c r="S647" s="51"/>
      <c r="T647" s="65"/>
      <c r="U647" s="65"/>
      <c r="V647" s="65"/>
      <c r="W647" s="51"/>
      <c r="X647" s="66"/>
    </row>
    <row r="648" hidden="1" ht="27.75" customHeight="1" s="32" customFormat="1">
      <c r="A648" s="37"/>
      <c r="B648" s="31" t="s">
        <v>32</v>
      </c>
      <c r="C648" s="59" t="s">
        <v>1474</v>
      </c>
      <c r="D648" s="57" t="s">
        <v>30</v>
      </c>
      <c r="E648" s="57">
        <v>45922</v>
      </c>
      <c r="F648" s="126" t="str">
        <f>IF(C648&lt;&gt;"",VLOOKUP($C648,Carpetas!$C$5:$L$2060,2,FALSE),"")</f>
        <v>ECE045</v>
      </c>
      <c r="G648" s="38" t="s">
        <v>1475</v>
      </c>
      <c r="H648" s="44">
        <f>IF(C648&lt;&gt;"",VLOOKUP($C648,Carpetas!$C$5:$L$2060,9,FALSE),"")</f>
        <v>1536453</v>
      </c>
      <c r="I648" s="51" t="str">
        <f>IF(C648&lt;&gt;"",VLOOKUP($C648,Carpetas!$C$5:$L$2060,5,FALSE),"")</f>
        <v>Andino</v>
      </c>
      <c r="J648" s="51"/>
      <c r="K648" s="50">
        <v>45942</v>
      </c>
      <c r="L648" s="39" t="str">
        <f>VLOOKUP($C648,Carpetas!$C$5:$L$2060,4,FALSE)</f>
        <v>Fray Bentos</v>
      </c>
      <c r="M648" s="127">
        <f t="shared" si="45"/>
        <v>45943</v>
      </c>
      <c r="N648" s="53">
        <f t="shared" si="44"/>
        <v>21</v>
      </c>
      <c r="O648" s="51">
        <v>2160</v>
      </c>
      <c r="P648" s="51"/>
      <c r="Q648" s="51"/>
      <c r="R648" s="51"/>
      <c r="S648" s="51"/>
      <c r="T648" s="65"/>
      <c r="U648" s="65"/>
      <c r="V648" s="65"/>
      <c r="W648" s="51"/>
      <c r="X648" s="66"/>
    </row>
    <row r="649" hidden="1" ht="27.75" customHeight="1" s="32" customFormat="1">
      <c r="A649" s="37"/>
      <c r="B649" s="31" t="s">
        <v>32</v>
      </c>
      <c r="C649" s="59" t="s">
        <v>1476</v>
      </c>
      <c r="D649" s="57" t="s">
        <v>30</v>
      </c>
      <c r="E649" s="57">
        <v>45922</v>
      </c>
      <c r="F649" s="126" t="str">
        <f>IF(C649&lt;&gt;"",VLOOKUP($C649,Carpetas!$C$5:$L$2060,2,FALSE),"")</f>
        <v>ECE044</v>
      </c>
      <c r="G649" s="38" t="s">
        <v>43</v>
      </c>
      <c r="H649" s="44">
        <f>IF(C649&lt;&gt;"",VLOOKUP($C649,Carpetas!$C$5:$L$2060,9,FALSE),"")</f>
        <v>1536455</v>
      </c>
      <c r="I649" s="51" t="str">
        <f>IF(C649&lt;&gt;"",VLOOKUP($C649,Carpetas!$C$5:$L$2060,5,FALSE),"")</f>
        <v>Andino</v>
      </c>
      <c r="J649" s="51"/>
      <c r="K649" s="50">
        <v>45943</v>
      </c>
      <c r="L649" s="39" t="str">
        <f>VLOOKUP($C649,Carpetas!$C$5:$L$2060,4,FALSE)</f>
        <v>Fray Bentos</v>
      </c>
      <c r="M649" s="127">
        <f t="shared" si="45"/>
        <v>45944</v>
      </c>
      <c r="N649" s="53">
        <f t="shared" si="44"/>
        <v>22</v>
      </c>
      <c r="O649" s="51">
        <v>1112</v>
      </c>
      <c r="P649" s="51"/>
      <c r="Q649" s="51"/>
      <c r="R649" s="51"/>
      <c r="S649" s="51"/>
      <c r="T649" s="65"/>
      <c r="U649" s="65"/>
      <c r="V649" s="65"/>
      <c r="W649" s="51"/>
      <c r="X649" s="66"/>
    </row>
    <row r="650" hidden="1" ht="27.75" customHeight="1" s="32" customFormat="1">
      <c r="A650" s="37"/>
      <c r="B650" s="31" t="s">
        <v>32</v>
      </c>
      <c r="C650" s="59" t="s">
        <v>1473</v>
      </c>
      <c r="D650" s="57" t="s">
        <v>30</v>
      </c>
      <c r="E650" s="57">
        <v>45922</v>
      </c>
      <c r="F650" s="126" t="str">
        <f>IF(C650&lt;&gt;"",VLOOKUP($C650,Carpetas!$C$5:$L$2060,2,FALSE),"")</f>
        <v>ECB041</v>
      </c>
      <c r="G650" s="38" t="s">
        <v>43</v>
      </c>
      <c r="H650" s="44">
        <f>IF(C650&lt;&gt;"",VLOOKUP($C650,Carpetas!$C$5:$L$2060,9,FALSE),"")</f>
        <v>1536452</v>
      </c>
      <c r="I650" s="51" t="str">
        <f>IF(C650&lt;&gt;"",VLOOKUP($C650,Carpetas!$C$5:$L$2060,5,FALSE),"")</f>
        <v>Andino</v>
      </c>
      <c r="J650" s="51"/>
      <c r="K650" s="50">
        <v>45943</v>
      </c>
      <c r="L650" s="39" t="str">
        <f>VLOOKUP($C650,Carpetas!$C$5:$L$2060,4,FALSE)</f>
        <v>Fray Bentos</v>
      </c>
      <c r="M650" s="127">
        <f t="shared" si="45"/>
        <v>45944</v>
      </c>
      <c r="N650" s="53">
        <f t="shared" si="44"/>
        <v>22</v>
      </c>
      <c r="O650" s="51">
        <v>2160</v>
      </c>
      <c r="P650" s="51"/>
      <c r="Q650" s="51">
        <v>2160</v>
      </c>
      <c r="R650" s="51">
        <v>40</v>
      </c>
      <c r="S650" s="51"/>
      <c r="T650" s="65"/>
      <c r="U650" s="65"/>
      <c r="V650" s="65"/>
      <c r="W650" s="51"/>
      <c r="X650" s="66" t="s">
        <v>1477</v>
      </c>
    </row>
    <row r="651" hidden="1" ht="27.75" customHeight="1" s="32" customFormat="1">
      <c r="A651" s="37"/>
      <c r="B651" s="31" t="s">
        <v>32</v>
      </c>
      <c r="C651" s="59" t="s">
        <v>1478</v>
      </c>
      <c r="D651" s="57" t="s">
        <v>42</v>
      </c>
      <c r="E651" s="57">
        <v>45922</v>
      </c>
      <c r="F651" s="126" t="str">
        <f>IF(C651&lt;&gt;"",VLOOKUP($C651,Carpetas!$C$5:$L$2060,2,FALSE),"")</f>
        <v>ECA021</v>
      </c>
      <c r="G651" s="38" t="s">
        <v>43</v>
      </c>
      <c r="H651" s="44">
        <f>IF(C651&lt;&gt;"",VLOOKUP($C651,Carpetas!$C$5:$L$2060,9,FALSE),"")</f>
        <v>1535699</v>
      </c>
      <c r="I651" s="51" t="str">
        <f>IF(C651&lt;&gt;"",VLOOKUP($C651,Carpetas!$C$5:$L$2060,5,FALSE),"")</f>
        <v>Andino</v>
      </c>
      <c r="J651" s="51"/>
      <c r="K651" s="50">
        <v>45943</v>
      </c>
      <c r="L651" s="39" t="str">
        <f>VLOOKUP($C651,Carpetas!$C$5:$L$2060,4,FALSE)</f>
        <v>Fray Bentos</v>
      </c>
      <c r="M651" s="127">
        <f t="shared" si="45"/>
        <v>45944</v>
      </c>
      <c r="N651" s="53">
        <f t="shared" si="44"/>
        <v>22</v>
      </c>
      <c r="O651" s="51">
        <v>1680</v>
      </c>
      <c r="P651" s="51"/>
      <c r="Q651" s="51">
        <v>1680</v>
      </c>
      <c r="R651" s="51">
        <v>21</v>
      </c>
      <c r="S651" s="51"/>
      <c r="T651" s="65"/>
      <c r="U651" s="65"/>
      <c r="V651" s="65"/>
      <c r="W651" s="51" t="s">
        <v>1479</v>
      </c>
      <c r="X651" s="66" t="s">
        <v>1480</v>
      </c>
    </row>
    <row r="652" hidden="1" ht="27.75" customHeight="1" s="32" customFormat="1">
      <c r="A652" s="37"/>
      <c r="B652" s="31" t="s">
        <v>32</v>
      </c>
      <c r="C652" s="59" t="s">
        <v>1481</v>
      </c>
      <c r="D652" s="57" t="s">
        <v>48</v>
      </c>
      <c r="E652" s="57">
        <v>45938</v>
      </c>
      <c r="F652" s="126" t="str">
        <f>IF(C652&lt;&gt;"",VLOOKUP($C652,Carpetas!$C$5:$L$2060,2,FALSE),"")</f>
        <v>CLP022</v>
      </c>
      <c r="G652" s="38" t="s">
        <v>35</v>
      </c>
      <c r="H652" s="44">
        <f>IF(C652&lt;&gt;"",VLOOKUP($C652,Carpetas!$C$5:$L$2060,9,FALSE),"")</f>
        <v>1539356</v>
      </c>
      <c r="I652" s="51" t="str">
        <f>IF(C652&lt;&gt;"",VLOOKUP($C652,Carpetas!$C$5:$L$2060,5,FALSE),"")</f>
        <v>RCT</v>
      </c>
      <c r="J652" s="51"/>
      <c r="K652" s="50">
        <v>45943</v>
      </c>
      <c r="L652" s="39" t="str">
        <f>VLOOKUP($C652,Carpetas!$C$5:$L$2060,4,FALSE)</f>
        <v>Fray Bentos</v>
      </c>
      <c r="M652" s="127">
        <f t="shared" si="45"/>
        <v>45944</v>
      </c>
      <c r="N652" s="53">
        <f t="shared" si="44"/>
        <v>6</v>
      </c>
      <c r="O652" s="51">
        <v>2112</v>
      </c>
      <c r="P652" s="51"/>
      <c r="Q652" s="51">
        <v>2112</v>
      </c>
      <c r="R652" s="51">
        <v>24</v>
      </c>
      <c r="S652" s="51"/>
      <c r="T652" s="65"/>
      <c r="U652" s="65"/>
      <c r="V652" s="65"/>
      <c r="W652" s="51" t="s">
        <v>1143</v>
      </c>
      <c r="X652" s="66" t="s">
        <v>1482</v>
      </c>
    </row>
    <row r="653" hidden="1" ht="27.75" customHeight="1" s="32" customFormat="1">
      <c r="A653" s="37"/>
      <c r="B653" s="31" t="s">
        <v>32</v>
      </c>
      <c r="C653" s="59" t="s">
        <v>1473</v>
      </c>
      <c r="D653" s="57" t="s">
        <v>30</v>
      </c>
      <c r="E653" s="57">
        <v>45922</v>
      </c>
      <c r="F653" s="126" t="str">
        <f>IF(C653&lt;&gt;"",VLOOKUP($C653,Carpetas!$C$5:$L$2060,2,FALSE),"")</f>
        <v>ECB041</v>
      </c>
      <c r="G653" s="38" t="s">
        <v>43</v>
      </c>
      <c r="H653" s="44">
        <v>1536453</v>
      </c>
      <c r="I653" s="51" t="str">
        <f>IF(C653&lt;&gt;"",VLOOKUP($C653,Carpetas!$C$5:$L$2060,5,FALSE),"")</f>
        <v>Andino</v>
      </c>
      <c r="J653" s="51"/>
      <c r="K653" s="50">
        <v>45943</v>
      </c>
      <c r="L653" s="39" t="str">
        <f>VLOOKUP($C653,Carpetas!$C$5:$L$2060,4,FALSE)</f>
        <v>Fray Bentos</v>
      </c>
      <c r="M653" s="127">
        <f>K653+1+1</f>
        <v>45945</v>
      </c>
      <c r="N653" s="53">
        <f t="shared" si="44"/>
        <v>23</v>
      </c>
      <c r="O653" s="51">
        <v>1080</v>
      </c>
      <c r="P653" s="51"/>
      <c r="Q653" s="51">
        <v>1076</v>
      </c>
      <c r="R653" s="51">
        <v>20</v>
      </c>
      <c r="S653" s="51">
        <v>21</v>
      </c>
      <c r="T653" s="65"/>
      <c r="U653" s="65"/>
      <c r="V653" s="65"/>
      <c r="W653" s="51" t="s">
        <v>157</v>
      </c>
      <c r="X653" s="66" t="s">
        <v>1483</v>
      </c>
    </row>
    <row r="654" hidden="1" ht="27.75" customHeight="1" s="32" customFormat="1">
      <c r="A654" s="37"/>
      <c r="B654" s="31" t="s">
        <v>32</v>
      </c>
      <c r="C654" s="59" t="s">
        <v>1484</v>
      </c>
      <c r="D654" s="57" t="s">
        <v>48</v>
      </c>
      <c r="E654" s="57">
        <v>45938</v>
      </c>
      <c r="F654" s="126" t="str">
        <f>IF(C654&lt;&gt;"",VLOOKUP($C654,Carpetas!$C$5:$L$2060,2,FALSE),"")</f>
        <v>CLP023</v>
      </c>
      <c r="G654" s="38" t="s">
        <v>35</v>
      </c>
      <c r="H654" s="44">
        <v>1538173</v>
      </c>
      <c r="I654" s="51" t="str">
        <f>IF(C654&lt;&gt;"",VLOOKUP($C654,Carpetas!$C$5:$L$2060,5,FALSE),"")</f>
        <v>RCT</v>
      </c>
      <c r="J654" s="51"/>
      <c r="K654" s="50">
        <v>45944</v>
      </c>
      <c r="L654" s="39" t="str">
        <f>VLOOKUP($C654,Carpetas!$C$5:$L$2060,4,FALSE)</f>
        <v>Fray Bentos</v>
      </c>
      <c r="M654" s="127">
        <f ref="M654:M696" t="shared" si="46">K654+1</f>
        <v>45945</v>
      </c>
      <c r="N654" s="53">
        <f t="shared" si="44"/>
        <v>7</v>
      </c>
      <c r="O654" s="51">
        <v>2112</v>
      </c>
      <c r="P654" s="51"/>
      <c r="Q654" s="51">
        <v>2112</v>
      </c>
      <c r="R654" s="51">
        <v>24</v>
      </c>
      <c r="S654" s="51"/>
      <c r="T654" s="65"/>
      <c r="U654" s="65"/>
      <c r="V654" s="65"/>
      <c r="W654" s="51" t="s">
        <v>1485</v>
      </c>
      <c r="X654" s="66" t="s">
        <v>1486</v>
      </c>
    </row>
    <row r="655" hidden="1" ht="27.75" customHeight="1" s="32" customFormat="1">
      <c r="A655" s="37"/>
      <c r="B655" s="31" t="s">
        <v>32</v>
      </c>
      <c r="C655" s="59" t="s">
        <v>1487</v>
      </c>
      <c r="D655" s="57" t="s">
        <v>30</v>
      </c>
      <c r="E655" s="57">
        <v>45940</v>
      </c>
      <c r="F655" s="126" t="str">
        <f>IF(C655&lt;&gt;"",VLOOKUP($C655,Carpetas!$C$5:$L$2060,2,FALSE),"")</f>
        <v>BOB016</v>
      </c>
      <c r="G655" s="38" t="s">
        <v>31</v>
      </c>
      <c r="H655" s="44">
        <f>IF(C655&lt;&gt;"",VLOOKUP($C655,Carpetas!$C$5:$L$2060,9,FALSE),"")</f>
        <v>1539330</v>
      </c>
      <c r="I655" s="51" t="str">
        <f>IF(C655&lt;&gt;"",VLOOKUP($C655,Carpetas!$C$5:$L$2060,5,FALSE),"")</f>
        <v>Sur Central</v>
      </c>
      <c r="J655" s="51"/>
      <c r="K655" s="50">
        <v>45946</v>
      </c>
      <c r="L655" s="39" t="str">
        <f>VLOOKUP($C655,Carpetas!$C$5:$L$2060,4,FALSE)</f>
        <v>Salto</v>
      </c>
      <c r="M655" s="127">
        <f t="shared" si="46"/>
        <v>45947</v>
      </c>
      <c r="N655" s="53">
        <f t="shared" si="44"/>
        <v>7</v>
      </c>
      <c r="O655" s="51">
        <v>1050</v>
      </c>
      <c r="P655" s="51"/>
      <c r="Q655" s="51">
        <v>1049</v>
      </c>
      <c r="R655" s="51"/>
      <c r="S655" s="51"/>
      <c r="T655" s="65"/>
      <c r="U655" s="65"/>
      <c r="V655" s="65"/>
      <c r="W655" s="51"/>
      <c r="X655" s="66" t="s">
        <v>1488</v>
      </c>
    </row>
    <row r="656" hidden="1" ht="27.75" customHeight="1" s="32" customFormat="1">
      <c r="A656" s="37"/>
      <c r="B656" s="31" t="s">
        <v>32</v>
      </c>
      <c r="C656" s="59" t="s">
        <v>1489</v>
      </c>
      <c r="D656" s="57" t="s">
        <v>30</v>
      </c>
      <c r="E656" s="57">
        <v>45929</v>
      </c>
      <c r="F656" s="126" t="str">
        <f>IF(C656&lt;&gt;"",VLOOKUP($C656,Carpetas!$C$5:$L$2060,2,FALSE),"")</f>
        <v>ECB042</v>
      </c>
      <c r="G656" s="38" t="s">
        <v>43</v>
      </c>
      <c r="H656" s="44">
        <f>IF(C656&lt;&gt;"",VLOOKUP($C656,Carpetas!$C$5:$L$2060,9,FALSE),"")</f>
        <v>1537064</v>
      </c>
      <c r="I656" s="51" t="str">
        <f>IF(C656&lt;&gt;"",VLOOKUP($C656,Carpetas!$C$5:$L$2060,5,FALSE),"")</f>
        <v>Andino</v>
      </c>
      <c r="J656" s="51"/>
      <c r="K656" s="50">
        <v>45946</v>
      </c>
      <c r="L656" s="39" t="str">
        <f>VLOOKUP($C656,Carpetas!$C$5:$L$2060,4,FALSE)</f>
        <v>Fray Bentos</v>
      </c>
      <c r="M656" s="127">
        <f t="shared" si="46"/>
        <v>45947</v>
      </c>
      <c r="N656" s="53">
        <f t="shared" si="44"/>
        <v>18</v>
      </c>
      <c r="O656" s="51">
        <v>3240</v>
      </c>
      <c r="P656" s="51"/>
      <c r="Q656" s="51">
        <v>3240</v>
      </c>
      <c r="R656" s="51">
        <v>80</v>
      </c>
      <c r="S656" s="51">
        <v>21</v>
      </c>
      <c r="T656" s="65"/>
      <c r="U656" s="65"/>
      <c r="V656" s="65"/>
      <c r="W656" s="51"/>
      <c r="X656" s="66" t="s">
        <v>1490</v>
      </c>
    </row>
    <row r="657" hidden="1" ht="27.75" customHeight="1" s="32" customFormat="1">
      <c r="A657" s="37"/>
      <c r="B657" s="31" t="s">
        <v>32</v>
      </c>
      <c r="C657" s="59" t="s">
        <v>1489</v>
      </c>
      <c r="D657" s="57" t="s">
        <v>30</v>
      </c>
      <c r="E657" s="57">
        <v>45929</v>
      </c>
      <c r="F657" s="126" t="str">
        <f>IF(C657&lt;&gt;"",VLOOKUP($C657,Carpetas!$C$5:$L$2060,2,FALSE),"")</f>
        <v>ECB042</v>
      </c>
      <c r="G657" s="38" t="s">
        <v>43</v>
      </c>
      <c r="H657" s="44">
        <f>IF(C657&lt;&gt;"",VLOOKUP($C657,Carpetas!$C$5:$L$2060,9,FALSE),"")</f>
        <v>1537064</v>
      </c>
      <c r="I657" s="51" t="str">
        <f>IF(C657&lt;&gt;"",VLOOKUP($C657,Carpetas!$C$5:$L$2060,5,FALSE),"")</f>
        <v>Andino</v>
      </c>
      <c r="J657" s="51"/>
      <c r="K657" s="50">
        <v>45946</v>
      </c>
      <c r="L657" s="39" t="str">
        <f>VLOOKUP($C657,Carpetas!$C$5:$L$2060,4,FALSE)</f>
        <v>Fray Bentos</v>
      </c>
      <c r="M657" s="127">
        <f t="shared" si="46"/>
        <v>45947</v>
      </c>
      <c r="N657" s="53">
        <f t="shared" si="44"/>
        <v>18</v>
      </c>
      <c r="O657" s="51">
        <v>1080</v>
      </c>
      <c r="P657" s="51"/>
      <c r="Q657" s="51"/>
      <c r="R657" s="51"/>
      <c r="S657" s="51"/>
      <c r="T657" s="65"/>
      <c r="U657" s="65"/>
      <c r="V657" s="65"/>
      <c r="W657" s="51"/>
      <c r="X657" s="66"/>
    </row>
    <row r="658" hidden="1" ht="27.75" customHeight="1" s="32" customFormat="1">
      <c r="A658" s="37"/>
      <c r="B658" s="31" t="s">
        <v>32</v>
      </c>
      <c r="C658" s="59" t="s">
        <v>1472</v>
      </c>
      <c r="D658" s="57" t="s">
        <v>30</v>
      </c>
      <c r="E658" s="57">
        <v>45940</v>
      </c>
      <c r="F658" s="126" t="str">
        <f>IF(C658&lt;&gt;"",VLOOKUP($C658,Carpetas!$C$5:$L$2060,2,FALSE),"")</f>
        <v>BOB015</v>
      </c>
      <c r="G658" s="38" t="s">
        <v>31</v>
      </c>
      <c r="H658" s="44">
        <f>IF(C658&lt;&gt;"",VLOOKUP($C658,Carpetas!$C$5:$L$2060,9,FALSE),"")</f>
        <v>1538044</v>
      </c>
      <c r="I658" s="51" t="str">
        <f>IF(C658&lt;&gt;"",VLOOKUP($C658,Carpetas!$C$5:$L$2060,5,FALSE),"")</f>
        <v>El Palomar</v>
      </c>
      <c r="J658" s="51"/>
      <c r="K658" s="50">
        <v>45947</v>
      </c>
      <c r="L658" s="39" t="str">
        <f>VLOOKUP($C658,Carpetas!$C$5:$L$2060,4,FALSE)</f>
        <v>Salto</v>
      </c>
      <c r="M658" s="127">
        <f t="shared" si="46"/>
        <v>45948</v>
      </c>
      <c r="N658" s="53">
        <f t="shared" si="44"/>
        <v>8</v>
      </c>
      <c r="O658" s="51">
        <v>1104</v>
      </c>
      <c r="P658" s="51"/>
      <c r="Q658" s="51">
        <v>1103</v>
      </c>
      <c r="R658" s="51">
        <v>24</v>
      </c>
      <c r="S658" s="51">
        <v>21</v>
      </c>
      <c r="T658" s="65"/>
      <c r="U658" s="65"/>
      <c r="V658" s="65"/>
      <c r="W658" s="51"/>
      <c r="X658" s="66" t="s">
        <v>1491</v>
      </c>
    </row>
    <row r="659" hidden="1" ht="27.75" customHeight="1" s="32" customFormat="1">
      <c r="A659" s="37"/>
      <c r="B659" s="31" t="s">
        <v>32</v>
      </c>
      <c r="C659" s="59" t="s">
        <v>1492</v>
      </c>
      <c r="D659" s="57" t="s">
        <v>30</v>
      </c>
      <c r="E659" s="57">
        <v>45922</v>
      </c>
      <c r="F659" s="126" t="str">
        <f>IF(C659&lt;&gt;"",VLOOKUP($C659,Carpetas!$C$5:$L$2060,2,FALSE),"")</f>
        <v>COB018</v>
      </c>
      <c r="G659" s="38" t="s">
        <v>267</v>
      </c>
      <c r="H659" s="44">
        <f>IF(C659&lt;&gt;"",VLOOKUP($C659,Carpetas!$C$5:$L$2060,9,FALSE),"")</f>
        <v>1532157</v>
      </c>
      <c r="I659" s="51" t="str">
        <f>IF(C659&lt;&gt;"",VLOOKUP($C659,Carpetas!$C$5:$L$2060,5,FALSE),"")</f>
        <v>Andino</v>
      </c>
      <c r="J659" s="51"/>
      <c r="K659" s="50">
        <v>45947</v>
      </c>
      <c r="L659" s="39" t="str">
        <f>VLOOKUP($C659,Carpetas!$C$5:$L$2060,4,FALSE)</f>
        <v>Fray Bentos</v>
      </c>
      <c r="M659" s="127">
        <f t="shared" si="46"/>
        <v>45948</v>
      </c>
      <c r="N659" s="53">
        <f t="shared" si="44"/>
        <v>26</v>
      </c>
      <c r="O659" s="51">
        <v>1080</v>
      </c>
      <c r="P659" s="51"/>
      <c r="Q659" s="51">
        <v>1080</v>
      </c>
      <c r="R659" s="51">
        <v>20</v>
      </c>
      <c r="S659" s="51">
        <v>21</v>
      </c>
      <c r="T659" s="65"/>
      <c r="U659" s="65"/>
      <c r="V659" s="65"/>
      <c r="W659" s="51"/>
      <c r="X659" s="66" t="s">
        <v>1493</v>
      </c>
    </row>
    <row r="660" hidden="1" ht="27.75" customHeight="1" s="32" customFormat="1">
      <c r="A660" s="37"/>
      <c r="B660" s="31" t="s">
        <v>32</v>
      </c>
      <c r="C660" s="59" t="s">
        <v>1494</v>
      </c>
      <c r="D660" s="57" t="s">
        <v>30</v>
      </c>
      <c r="E660" s="57">
        <v>45929</v>
      </c>
      <c r="F660" s="126" t="str">
        <f>IF(C660&lt;&gt;"",VLOOKUP($C660,Carpetas!$C$5:$L$2060,2,FALSE),"")</f>
        <v>ECE046</v>
      </c>
      <c r="G660" s="38" t="s">
        <v>43</v>
      </c>
      <c r="H660" s="44">
        <f>IF(C660&lt;&gt;"",VLOOKUP($C660,Carpetas!$C$5:$L$2060,9,FALSE),"")</f>
        <v>1537084</v>
      </c>
      <c r="I660" s="51" t="str">
        <f>IF(C660&lt;&gt;"",VLOOKUP($C660,Carpetas!$C$5:$L$2060,5,FALSE),"")</f>
        <v>Andino</v>
      </c>
      <c r="J660" s="51"/>
      <c r="K660" s="50">
        <v>45947</v>
      </c>
      <c r="L660" s="39" t="str">
        <f>VLOOKUP($C660,Carpetas!$C$5:$L$2060,4,FALSE)</f>
        <v>Fray Bentos</v>
      </c>
      <c r="M660" s="127">
        <f t="shared" si="46"/>
        <v>45948</v>
      </c>
      <c r="N660" s="53">
        <f t="shared" si="44"/>
        <v>19</v>
      </c>
      <c r="O660" s="51">
        <v>1112</v>
      </c>
      <c r="P660" s="51"/>
      <c r="Q660" s="51">
        <v>1142</v>
      </c>
      <c r="R660" s="51">
        <v>20</v>
      </c>
      <c r="S660" s="51"/>
      <c r="T660" s="65"/>
      <c r="U660" s="65"/>
      <c r="V660" s="65"/>
      <c r="W660" s="51"/>
      <c r="X660" s="66" t="s">
        <v>1495</v>
      </c>
    </row>
    <row r="661" hidden="1" ht="27.75" customHeight="1" s="32" customFormat="1">
      <c r="A661" s="37"/>
      <c r="B661" s="31" t="s">
        <v>32</v>
      </c>
      <c r="C661" s="59" t="s">
        <v>1496</v>
      </c>
      <c r="D661" s="57" t="s">
        <v>30</v>
      </c>
      <c r="E661" s="57">
        <v>45929</v>
      </c>
      <c r="F661" s="126" t="str">
        <f>IF(C661&lt;&gt;"",VLOOKUP($C661,Carpetas!$C$5:$L$2060,2,FALSE),"")</f>
        <v>ECE047</v>
      </c>
      <c r="G661" s="38" t="s">
        <v>43</v>
      </c>
      <c r="H661" s="44">
        <f>IF(C661&lt;&gt;"",VLOOKUP($C661,Carpetas!$C$5:$L$2060,9,FALSE),"")</f>
        <v>1537063</v>
      </c>
      <c r="I661" s="51" t="str">
        <f>IF(C661&lt;&gt;"",VLOOKUP($C661,Carpetas!$C$5:$L$2060,5,FALSE),"")</f>
        <v>Andino</v>
      </c>
      <c r="J661" s="51"/>
      <c r="K661" s="50">
        <v>45947</v>
      </c>
      <c r="L661" s="39" t="str">
        <f>VLOOKUP($C661,Carpetas!$C$5:$L$2060,4,FALSE)</f>
        <v>Fray Bentos</v>
      </c>
      <c r="M661" s="127">
        <f t="shared" si="46"/>
        <v>45948</v>
      </c>
      <c r="N661" s="53">
        <f t="shared" si="44"/>
        <v>19</v>
      </c>
      <c r="O661" s="51">
        <v>2160</v>
      </c>
      <c r="P661" s="51"/>
      <c r="Q661" s="51">
        <v>2160</v>
      </c>
      <c r="R661" s="51">
        <v>40</v>
      </c>
      <c r="S661" s="51"/>
      <c r="T661" s="65"/>
      <c r="U661" s="65"/>
      <c r="V661" s="65"/>
      <c r="W661" s="51"/>
      <c r="X661" s="66" t="s">
        <v>1497</v>
      </c>
    </row>
    <row r="662" hidden="1" ht="27.75" customHeight="1" s="32" customFormat="1">
      <c r="A662" s="37"/>
      <c r="B662" s="31" t="s">
        <v>32</v>
      </c>
      <c r="C662" s="59" t="s">
        <v>1498</v>
      </c>
      <c r="D662" s="57" t="s">
        <v>42</v>
      </c>
      <c r="E662" s="57">
        <v>45929</v>
      </c>
      <c r="F662" s="126" t="str">
        <f>IF(C662&lt;&gt;"",VLOOKUP($C662,Carpetas!$C$5:$L$2060,2,FALSE),"")</f>
        <v>ECA022</v>
      </c>
      <c r="G662" s="38" t="s">
        <v>43</v>
      </c>
      <c r="H662" s="44">
        <f>IF(C662&lt;&gt;"",VLOOKUP($C662,Carpetas!$C$5:$L$2060,9,FALSE),"")</f>
        <v>1537090</v>
      </c>
      <c r="I662" s="51" t="str">
        <f>IF(C662&lt;&gt;"",VLOOKUP($C662,Carpetas!$C$5:$L$2060,5,FALSE),"")</f>
        <v>Andino</v>
      </c>
      <c r="J662" s="51"/>
      <c r="K662" s="50">
        <v>45947</v>
      </c>
      <c r="L662" s="39" t="str">
        <f>VLOOKUP($C662,Carpetas!$C$5:$L$2060,4,FALSE)</f>
        <v>Fray Bentos</v>
      </c>
      <c r="M662" s="127">
        <f t="shared" si="46"/>
        <v>45948</v>
      </c>
      <c r="N662" s="53">
        <f t="shared" si="44"/>
        <v>19</v>
      </c>
      <c r="O662" s="51">
        <v>1680</v>
      </c>
      <c r="P662" s="51"/>
      <c r="Q662" s="51">
        <v>1680</v>
      </c>
      <c r="R662" s="51">
        <v>21</v>
      </c>
      <c r="S662" s="51"/>
      <c r="T662" s="65"/>
      <c r="U662" s="65"/>
      <c r="V662" s="65"/>
      <c r="W662" s="51"/>
      <c r="X662" s="66" t="s">
        <v>1480</v>
      </c>
    </row>
    <row r="663" hidden="1" ht="27.75" customHeight="1" s="32" customFormat="1">
      <c r="A663" s="37"/>
      <c r="B663" s="31" t="s">
        <v>32</v>
      </c>
      <c r="C663" s="59" t="s">
        <v>1499</v>
      </c>
      <c r="D663" s="57" t="s">
        <v>48</v>
      </c>
      <c r="E663" s="57">
        <v>45944</v>
      </c>
      <c r="F663" s="126" t="str">
        <f>IF(C663&lt;&gt;"",VLOOKUP($C663,Carpetas!$C$5:$L$2060,2,FALSE),"")</f>
        <v>CLP024</v>
      </c>
      <c r="G663" s="38" t="s">
        <v>35</v>
      </c>
      <c r="H663" s="44">
        <f>IF(C663&lt;&gt;"",VLOOKUP($C663,Carpetas!$C$5:$L$2060,9,FALSE),"")</f>
        <v>1532160</v>
      </c>
      <c r="I663" s="51" t="str">
        <f>IF(C663&lt;&gt;"",VLOOKUP($C663,Carpetas!$C$5:$L$2060,5,FALSE),"")</f>
        <v>Cisterna</v>
      </c>
      <c r="J663" s="51"/>
      <c r="K663" s="50">
        <v>45947</v>
      </c>
      <c r="L663" s="39" t="str">
        <f>VLOOKUP($C663,Carpetas!$C$5:$L$2060,4,FALSE)</f>
        <v>Fray Bentos</v>
      </c>
      <c r="M663" s="127">
        <f t="shared" si="46"/>
        <v>45948</v>
      </c>
      <c r="N663" s="53">
        <f t="shared" si="44"/>
        <v>4</v>
      </c>
      <c r="O663" s="51">
        <v>2112</v>
      </c>
      <c r="P663" s="51"/>
      <c r="Q663" s="51">
        <v>2112</v>
      </c>
      <c r="R663" s="51">
        <v>24</v>
      </c>
      <c r="S663" s="51">
        <v>10.8</v>
      </c>
      <c r="T663" s="65"/>
      <c r="U663" s="65"/>
      <c r="V663" s="65"/>
      <c r="W663" s="51" t="s">
        <v>1500</v>
      </c>
      <c r="X663" s="66" t="s">
        <v>1501</v>
      </c>
    </row>
    <row r="664" hidden="1" ht="27.75" customHeight="1" s="32" customFormat="1">
      <c r="A664" s="37"/>
      <c r="B664" s="31" t="s">
        <v>32</v>
      </c>
      <c r="C664" s="59" t="s">
        <v>1502</v>
      </c>
      <c r="D664" s="57" t="s">
        <v>30</v>
      </c>
      <c r="E664" s="57">
        <v>45936</v>
      </c>
      <c r="F664" s="126" t="str">
        <f>IF(C664&lt;&gt;"",VLOOKUP($C664,Carpetas!$C$5:$L$2060,2,FALSE),"")</f>
        <v>ECB043</v>
      </c>
      <c r="G664" s="38" t="s">
        <v>43</v>
      </c>
      <c r="H664" s="44">
        <f>IF(C664&lt;&gt;"",VLOOKUP($C664,Carpetas!$C$5:$L$2060,9,FALSE),"")</f>
        <v>1537820</v>
      </c>
      <c r="I664" s="51" t="str">
        <f>IF(C664&lt;&gt;"",VLOOKUP($C664,Carpetas!$C$5:$L$2060,5,FALSE),"")</f>
        <v>Andino</v>
      </c>
      <c r="J664" s="51"/>
      <c r="K664" s="50">
        <v>45953</v>
      </c>
      <c r="L664" s="39" t="str">
        <f>VLOOKUP($C664,Carpetas!$C$5:$L$2060,4,FALSE)</f>
        <v>Fray Bentos</v>
      </c>
      <c r="M664" s="127">
        <f t="shared" si="46"/>
        <v>45954</v>
      </c>
      <c r="N664" s="53">
        <f t="shared" si="44"/>
        <v>18</v>
      </c>
      <c r="O664" s="51">
        <v>1080</v>
      </c>
      <c r="P664" s="51"/>
      <c r="Q664" s="51">
        <v>1080</v>
      </c>
      <c r="R664" s="51">
        <v>20</v>
      </c>
      <c r="S664" s="51">
        <v>21</v>
      </c>
      <c r="T664" s="65"/>
      <c r="U664" s="65"/>
      <c r="V664" s="65"/>
      <c r="W664" s="51"/>
      <c r="X664" s="66" t="s">
        <v>1503</v>
      </c>
    </row>
    <row r="665" hidden="1" ht="27.75" customHeight="1" s="32" customFormat="1">
      <c r="A665" s="37"/>
      <c r="B665" s="31" t="s">
        <v>32</v>
      </c>
      <c r="C665" s="59" t="s">
        <v>1504</v>
      </c>
      <c r="D665" s="57" t="s">
        <v>30</v>
      </c>
      <c r="E665" s="57">
        <v>45948</v>
      </c>
      <c r="F665" s="126" t="str">
        <f>IF(C665&lt;&gt;"",VLOOKUP($C665,Carpetas!$C$5:$L$2060,2,FALSE),"")</f>
        <v>BOB018</v>
      </c>
      <c r="G665" s="38" t="s">
        <v>31</v>
      </c>
      <c r="H665" s="44">
        <f>IF(C665&lt;&gt;"",VLOOKUP($C665,Carpetas!$C$5:$L$2060,9,FALSE),"")</f>
        <v>1539331</v>
      </c>
      <c r="I665" s="51" t="str">
        <f>IF(C665&lt;&gt;"",VLOOKUP($C665,Carpetas!$C$5:$L$2060,5,FALSE),"")</f>
        <v>El Palomar</v>
      </c>
      <c r="J665" s="51"/>
      <c r="K665" s="50">
        <v>45953</v>
      </c>
      <c r="L665" s="39" t="str">
        <f>VLOOKUP($C665,Carpetas!$C$5:$L$2060,4,FALSE)</f>
        <v>Salto</v>
      </c>
      <c r="M665" s="127">
        <f t="shared" si="46"/>
        <v>45954</v>
      </c>
      <c r="N665" s="53">
        <f t="shared" si="44"/>
        <v>6</v>
      </c>
      <c r="O665" s="51">
        <v>2208</v>
      </c>
      <c r="P665" s="51"/>
      <c r="Q665" s="51">
        <v>2208</v>
      </c>
      <c r="R665" s="51">
        <v>46</v>
      </c>
      <c r="S665" s="51">
        <v>21</v>
      </c>
      <c r="T665" s="65"/>
      <c r="U665" s="65"/>
      <c r="V665" s="65"/>
      <c r="W665" s="51"/>
      <c r="X665" s="66" t="s">
        <v>1505</v>
      </c>
    </row>
    <row r="666" hidden="1" ht="27.75" customHeight="1" s="32" customFormat="1">
      <c r="A666" s="37"/>
      <c r="B666" s="31" t="s">
        <v>32</v>
      </c>
      <c r="C666" s="59" t="s">
        <v>1506</v>
      </c>
      <c r="D666" s="57" t="s">
        <v>30</v>
      </c>
      <c r="E666" s="57">
        <v>45936</v>
      </c>
      <c r="F666" s="126" t="str">
        <f>IF(C666&lt;&gt;"",VLOOKUP($C666,Carpetas!$C$5:$L$2060,2,FALSE),"")</f>
        <v>ECE048</v>
      </c>
      <c r="G666" s="38" t="s">
        <v>43</v>
      </c>
      <c r="H666" s="44">
        <f>IF(C666&lt;&gt;"",VLOOKUP($C666,Carpetas!$C$5:$L$2060,9,FALSE),"")</f>
        <v>1537063</v>
      </c>
      <c r="I666" s="51" t="str">
        <f>IF(C666&lt;&gt;"",VLOOKUP($C666,Carpetas!$C$5:$L$2060,5,FALSE),"")</f>
        <v>Andino</v>
      </c>
      <c r="J666" s="51"/>
      <c r="K666" s="50">
        <v>45953</v>
      </c>
      <c r="L666" s="39" t="str">
        <f>VLOOKUP($C666,Carpetas!$C$5:$L$2060,4,FALSE)</f>
        <v>Fray Bentos</v>
      </c>
      <c r="M666" s="127">
        <f t="shared" si="46"/>
        <v>45954</v>
      </c>
      <c r="N666" s="53">
        <f t="shared" si="44"/>
        <v>18</v>
      </c>
      <c r="O666" s="51">
        <v>2192</v>
      </c>
      <c r="P666" s="51"/>
      <c r="Q666" s="51">
        <v>2192</v>
      </c>
      <c r="R666" s="51">
        <v>40</v>
      </c>
      <c r="S666" s="51"/>
      <c r="T666" s="65"/>
      <c r="U666" s="65"/>
      <c r="V666" s="65"/>
      <c r="W666" s="51"/>
      <c r="X666" s="66" t="s">
        <v>1507</v>
      </c>
    </row>
    <row r="667" hidden="1" ht="27.75" customHeight="1" s="32" customFormat="1">
      <c r="A667" s="37"/>
      <c r="B667" s="31" t="s">
        <v>32</v>
      </c>
      <c r="C667" s="59" t="s">
        <v>1502</v>
      </c>
      <c r="D667" s="57" t="s">
        <v>30</v>
      </c>
      <c r="E667" s="57">
        <v>45936</v>
      </c>
      <c r="F667" s="126" t="str">
        <f>IF(C667&lt;&gt;"",VLOOKUP($C667,Carpetas!$C$5:$L$2060,2,FALSE),"")</f>
        <v>ECB043</v>
      </c>
      <c r="G667" s="38" t="s">
        <v>43</v>
      </c>
      <c r="H667" s="44">
        <f>IF(C667&lt;&gt;"",VLOOKUP($C667,Carpetas!$C$5:$L$2060,9,FALSE),"")</f>
        <v>1537820</v>
      </c>
      <c r="I667" s="51" t="str">
        <f>IF(C667&lt;&gt;"",VLOOKUP($C667,Carpetas!$C$5:$L$2060,5,FALSE),"")</f>
        <v>Andino</v>
      </c>
      <c r="J667" s="51"/>
      <c r="K667" s="50">
        <v>45954</v>
      </c>
      <c r="L667" s="39" t="str">
        <f>VLOOKUP($C667,Carpetas!$C$5:$L$2060,4,FALSE)</f>
        <v>Fray Bentos</v>
      </c>
      <c r="M667" s="127">
        <f t="shared" si="46"/>
        <v>45955</v>
      </c>
      <c r="N667" s="53">
        <f t="shared" si="44"/>
        <v>19</v>
      </c>
      <c r="O667" s="51">
        <v>3240</v>
      </c>
      <c r="P667" s="51"/>
      <c r="Q667" s="51"/>
      <c r="R667" s="51">
        <v>20</v>
      </c>
      <c r="S667" s="51">
        <v>21</v>
      </c>
      <c r="T667" s="65"/>
      <c r="U667" s="65"/>
      <c r="V667" s="65"/>
      <c r="W667" s="51"/>
      <c r="X667" s="66" t="s">
        <v>1503</v>
      </c>
    </row>
    <row r="668" hidden="1" ht="27.75" customHeight="1" s="32" customFormat="1">
      <c r="A668" s="37"/>
      <c r="B668" s="31" t="s">
        <v>32</v>
      </c>
      <c r="C668" s="59" t="s">
        <v>1508</v>
      </c>
      <c r="D668" s="57" t="s">
        <v>30</v>
      </c>
      <c r="E668" s="57">
        <v>45948</v>
      </c>
      <c r="F668" s="126" t="str">
        <f>IF(C668&lt;&gt;"",VLOOKUP($C668,Carpetas!$C$5:$L$2060,2,FALSE),"")</f>
        <v>BOB017</v>
      </c>
      <c r="G668" s="38" t="s">
        <v>31</v>
      </c>
      <c r="H668" s="44">
        <f>IF(C668&lt;&gt;"",VLOOKUP($C668,Carpetas!$C$5:$L$2060,9,FALSE),"")</f>
        <v>1539330</v>
      </c>
      <c r="I668" s="51" t="str">
        <f>IF(C668&lt;&gt;"",VLOOKUP($C668,Carpetas!$C$5:$L$2060,5,FALSE),"")</f>
        <v>Sur Central</v>
      </c>
      <c r="J668" s="51"/>
      <c r="K668" s="50">
        <v>45954</v>
      </c>
      <c r="L668" s="39" t="str">
        <f>VLOOKUP($C668,Carpetas!$C$5:$L$2060,4,FALSE)</f>
        <v>Salto</v>
      </c>
      <c r="M668" s="127">
        <f t="shared" si="46"/>
        <v>45955</v>
      </c>
      <c r="N668" s="53">
        <f t="shared" si="44"/>
        <v>7</v>
      </c>
      <c r="O668" s="51">
        <v>1100</v>
      </c>
      <c r="P668" s="51"/>
      <c r="Q668" s="51"/>
      <c r="R668" s="51"/>
      <c r="S668" s="51"/>
      <c r="T668" s="65"/>
      <c r="U668" s="65"/>
      <c r="V668" s="65"/>
      <c r="W668" s="51"/>
      <c r="X668" s="66"/>
    </row>
    <row r="669" hidden="1" ht="27.75" customHeight="1" s="32" customFormat="1">
      <c r="A669" s="37"/>
      <c r="B669" s="31" t="s">
        <v>32</v>
      </c>
      <c r="C669" s="59" t="s">
        <v>1508</v>
      </c>
      <c r="D669" s="57" t="s">
        <v>30</v>
      </c>
      <c r="E669" s="57">
        <v>45948</v>
      </c>
      <c r="F669" s="126" t="str">
        <f>IF(C669&lt;&gt;"",VLOOKUP($C669,Carpetas!$C$5:$L$2060,2,FALSE),"")</f>
        <v>BOB017</v>
      </c>
      <c r="G669" s="38" t="s">
        <v>31</v>
      </c>
      <c r="H669" s="44">
        <f>IF(C669&lt;&gt;"",VLOOKUP($C669,Carpetas!$C$5:$L$2060,9,FALSE),"")</f>
        <v>1539330</v>
      </c>
      <c r="I669" s="51" t="str">
        <f>IF(C669&lt;&gt;"",VLOOKUP($C669,Carpetas!$C$5:$L$2060,5,FALSE),"")</f>
        <v>Sur Central</v>
      </c>
      <c r="J669" s="51"/>
      <c r="K669" s="50">
        <v>45957</v>
      </c>
      <c r="L669" s="39" t="str">
        <f>VLOOKUP($C669,Carpetas!$C$5:$L$2060,4,FALSE)</f>
        <v>Salto</v>
      </c>
      <c r="M669" s="127">
        <f t="shared" si="46"/>
        <v>45958</v>
      </c>
      <c r="N669" s="53">
        <f t="shared" si="44"/>
        <v>10</v>
      </c>
      <c r="O669" s="51">
        <v>1100</v>
      </c>
      <c r="P669" s="51"/>
      <c r="Q669" s="51"/>
      <c r="R669" s="51"/>
      <c r="S669" s="51"/>
      <c r="T669" s="65"/>
      <c r="U669" s="65"/>
      <c r="V669" s="65"/>
      <c r="W669" s="51"/>
      <c r="X669" s="66"/>
    </row>
    <row r="670" hidden="1" ht="27.75" customHeight="1" s="32" customFormat="1">
      <c r="A670" s="37"/>
      <c r="B670" s="31" t="s">
        <v>32</v>
      </c>
      <c r="C670" s="59" t="s">
        <v>1509</v>
      </c>
      <c r="D670" s="57" t="s">
        <v>30</v>
      </c>
      <c r="E670" s="57">
        <v>45942</v>
      </c>
      <c r="F670" s="126" t="str">
        <f>IF(C670&lt;&gt;"",VLOOKUP($C670,Carpetas!$C$5:$L$2060,2,FALSE),"")</f>
        <v>ECB044</v>
      </c>
      <c r="G670" s="38" t="s">
        <v>43</v>
      </c>
      <c r="H670" s="44">
        <f>IF(C670&lt;&gt;"",VLOOKUP($C670,Carpetas!$C$5:$L$2060,9,FALSE),"")</f>
        <v>1538500</v>
      </c>
      <c r="I670" s="51" t="str">
        <f>IF(C670&lt;&gt;"",VLOOKUP($C670,Carpetas!$C$5:$L$2060,5,FALSE),"")</f>
        <v>Andino</v>
      </c>
      <c r="J670" s="51"/>
      <c r="K670" s="50">
        <v>45957</v>
      </c>
      <c r="L670" s="39" t="str">
        <f>VLOOKUP($C670,Carpetas!$C$5:$L$2060,4,FALSE)</f>
        <v>Fray Bentos</v>
      </c>
      <c r="M670" s="127">
        <f t="shared" si="46"/>
        <v>45958</v>
      </c>
      <c r="N670" s="53">
        <f t="shared" si="44"/>
        <v>16</v>
      </c>
      <c r="O670" s="51">
        <v>3240</v>
      </c>
      <c r="P670" s="51"/>
      <c r="Q670" s="51"/>
      <c r="R670" s="51"/>
      <c r="S670" s="51"/>
      <c r="T670" s="65"/>
      <c r="U670" s="65"/>
      <c r="V670" s="65"/>
      <c r="W670" s="51"/>
      <c r="X670" s="66" t="s">
        <v>1495</v>
      </c>
    </row>
    <row r="671" hidden="1" ht="27.75" customHeight="1" s="32" customFormat="1">
      <c r="A671" s="37"/>
      <c r="B671" s="31" t="s">
        <v>32</v>
      </c>
      <c r="C671" s="59" t="s">
        <v>1510</v>
      </c>
      <c r="D671" s="57" t="s">
        <v>30</v>
      </c>
      <c r="E671" s="57">
        <v>45942</v>
      </c>
      <c r="F671" s="126" t="str">
        <f>IF(C671&lt;&gt;"",VLOOKUP($C671,Carpetas!$C$5:$L$2060,2,FALSE),"")</f>
        <v>ECE050</v>
      </c>
      <c r="G671" s="38" t="s">
        <v>43</v>
      </c>
      <c r="H671" s="44">
        <f>IF(C671&lt;&gt;"",VLOOKUP($C671,Carpetas!$C$5:$L$2060,9,FALSE),"")</f>
        <v>1538594</v>
      </c>
      <c r="I671" s="51" t="str">
        <f>IF(C671&lt;&gt;"",VLOOKUP($C671,Carpetas!$C$5:$L$2060,5,FALSE),"")</f>
        <v>Andino</v>
      </c>
      <c r="J671" s="51"/>
      <c r="K671" s="50">
        <v>45957</v>
      </c>
      <c r="L671" s="39" t="str">
        <f>VLOOKUP($C671,Carpetas!$C$5:$L$2060,4,FALSE)</f>
        <v>Fray Bentos</v>
      </c>
      <c r="M671" s="127">
        <f t="shared" si="46"/>
        <v>45958</v>
      </c>
      <c r="N671" s="53">
        <f t="shared" si="44"/>
        <v>16</v>
      </c>
      <c r="O671" s="51">
        <v>1112</v>
      </c>
      <c r="P671" s="51"/>
      <c r="Q671" s="51"/>
      <c r="R671" s="51">
        <v>20</v>
      </c>
      <c r="S671" s="51">
        <v>21</v>
      </c>
      <c r="T671" s="65"/>
      <c r="U671" s="65"/>
      <c r="V671" s="65"/>
      <c r="W671" s="51"/>
      <c r="X671" s="66" t="s">
        <v>1495</v>
      </c>
    </row>
    <row r="672" hidden="1" ht="27.75" customHeight="1" s="32" customFormat="1">
      <c r="A672" s="37"/>
      <c r="B672" s="31" t="s">
        <v>32</v>
      </c>
      <c r="C672" s="59" t="s">
        <v>1511</v>
      </c>
      <c r="D672" s="57" t="s">
        <v>30</v>
      </c>
      <c r="E672" s="57">
        <v>45955</v>
      </c>
      <c r="F672" s="126" t="str">
        <f>IF(C672&lt;&gt;"",VLOOKUP($C672,Carpetas!$C$5:$L$2060,2,FALSE),"")</f>
        <v>BOB020</v>
      </c>
      <c r="G672" s="38" t="s">
        <v>31</v>
      </c>
      <c r="H672" s="44">
        <f>IF(C672&lt;&gt;"",VLOOKUP($C672,Carpetas!$C$5:$L$2060,9,FALSE),"")</f>
        <v>1540541</v>
      </c>
      <c r="I672" s="51" t="str">
        <f>IF(C672&lt;&gt;"",VLOOKUP($C672,Carpetas!$C$5:$L$2060,5,FALSE),"")</f>
        <v>Sintercargas </v>
      </c>
      <c r="J672" s="51"/>
      <c r="K672" s="50">
        <v>45959</v>
      </c>
      <c r="L672" s="39" t="str">
        <f>VLOOKUP($C672,Carpetas!$C$5:$L$2060,4,FALSE)</f>
        <v>Salto</v>
      </c>
      <c r="M672" s="127">
        <f t="shared" si="46"/>
        <v>45960</v>
      </c>
      <c r="N672" s="53">
        <f t="shared" si="44"/>
        <v>5</v>
      </c>
      <c r="O672" s="51">
        <v>1100</v>
      </c>
      <c r="P672" s="51"/>
      <c r="Q672" s="51">
        <v>1100</v>
      </c>
      <c r="R672" s="51">
        <v>20</v>
      </c>
      <c r="S672" s="51">
        <v>21</v>
      </c>
      <c r="T672" s="65"/>
      <c r="U672" s="65"/>
      <c r="V672" s="65"/>
      <c r="W672" s="51"/>
      <c r="X672" s="66"/>
    </row>
    <row r="673" hidden="1" ht="27.75" customHeight="1" s="32" customFormat="1">
      <c r="A673" s="37"/>
      <c r="B673" s="31" t="s">
        <v>32</v>
      </c>
      <c r="C673" s="59" t="s">
        <v>1512</v>
      </c>
      <c r="D673" s="57" t="s">
        <v>30</v>
      </c>
      <c r="E673" s="57">
        <v>45937</v>
      </c>
      <c r="F673" s="126" t="str">
        <f>IF(C673&lt;&gt;"",VLOOKUP($C673,Carpetas!$C$5:$L$2060,2,FALSE),"")</f>
        <v>COB019</v>
      </c>
      <c r="G673" s="38" t="s">
        <v>267</v>
      </c>
      <c r="H673" s="44">
        <f>IF(C673&lt;&gt;"",VLOOKUP($C673,Carpetas!$C$5:$L$2060,9,FALSE),"")</f>
        <v>1532157</v>
      </c>
      <c r="I673" s="51" t="str">
        <f>IF(C673&lt;&gt;"",VLOOKUP($C673,Carpetas!$C$5:$L$2060,5,FALSE),"")</f>
        <v>Andino</v>
      </c>
      <c r="J673" s="51"/>
      <c r="K673" s="50">
        <v>45959</v>
      </c>
      <c r="L673" s="39" t="str">
        <f>VLOOKUP($C673,Carpetas!$C$5:$L$2060,4,FALSE)</f>
        <v>Fray Bentos</v>
      </c>
      <c r="M673" s="127">
        <f t="shared" si="46"/>
        <v>45960</v>
      </c>
      <c r="N673" s="53">
        <f t="shared" si="44"/>
        <v>23</v>
      </c>
      <c r="O673" s="51">
        <v>1080</v>
      </c>
      <c r="P673" s="51"/>
      <c r="Q673" s="51">
        <v>1080</v>
      </c>
      <c r="R673" s="51">
        <v>20</v>
      </c>
      <c r="S673" s="51">
        <v>21</v>
      </c>
      <c r="T673" s="65"/>
      <c r="U673" s="65"/>
      <c r="V673" s="65"/>
      <c r="W673" s="51"/>
      <c r="X673" s="66"/>
    </row>
    <row r="674" hidden="1" ht="27.75" customHeight="1" s="32" customFormat="1">
      <c r="A674" s="37"/>
      <c r="B674" s="31" t="s">
        <v>32</v>
      </c>
      <c r="C674" s="59" t="s">
        <v>1513</v>
      </c>
      <c r="D674" s="57" t="s">
        <v>30</v>
      </c>
      <c r="E674" s="57">
        <v>45956</v>
      </c>
      <c r="F674" s="38" t="str">
        <f>IF(C674&lt;&gt;"",VLOOKUP($C674,Carpetas!$C$5:$L$2060,2,FALSE),"")</f>
        <v>BOB021</v>
      </c>
      <c r="G674" s="38" t="s">
        <v>31</v>
      </c>
      <c r="H674" s="44">
        <f>IF(C674&lt;&gt;"",VLOOKUP($C674,Carpetas!$C$5:$L$2060,9,FALSE),"")</f>
        <v>0</v>
      </c>
      <c r="I674" s="51" t="str">
        <f>IF(C674&lt;&gt;"",VLOOKUP($C674,Carpetas!$C$5:$L$2060,5,FALSE),"")</f>
        <v>Sur Central</v>
      </c>
      <c r="J674" s="51"/>
      <c r="K674" s="50">
        <v>45960</v>
      </c>
      <c r="L674" s="39" t="str">
        <f>VLOOKUP($C674,Carpetas!$C$5:$L$2060,4,FALSE)</f>
        <v>Salto</v>
      </c>
      <c r="M674" s="55">
        <f t="shared" si="46"/>
        <v>45961</v>
      </c>
      <c r="N674" s="53">
        <f t="shared" si="44"/>
        <v>5</v>
      </c>
      <c r="O674" s="51">
        <v>1050</v>
      </c>
      <c r="P674" s="51"/>
      <c r="Q674" s="51">
        <v>1049</v>
      </c>
      <c r="R674" s="51">
        <v>20</v>
      </c>
      <c r="S674" s="51">
        <v>20</v>
      </c>
      <c r="T674" s="65"/>
      <c r="U674" s="65"/>
      <c r="V674" s="65"/>
      <c r="W674" s="51"/>
      <c r="X674" s="66" t="s">
        <v>1514</v>
      </c>
    </row>
    <row r="675" hidden="1" ht="27.75" customHeight="1" s="32" customFormat="1">
      <c r="A675" s="37"/>
      <c r="B675" s="31" t="s">
        <v>32</v>
      </c>
      <c r="C675" s="59" t="s">
        <v>1515</v>
      </c>
      <c r="D675" s="57" t="s">
        <v>42</v>
      </c>
      <c r="E675" s="57">
        <v>45942</v>
      </c>
      <c r="F675" s="126" t="str">
        <f>IF(C675&lt;&gt;"",VLOOKUP($C675,Carpetas!$C$5:$L$2060,2,FALSE),"")</f>
        <v>ECA023</v>
      </c>
      <c r="G675" s="38" t="s">
        <v>43</v>
      </c>
      <c r="H675" s="44">
        <f>IF(C675&lt;&gt;"",VLOOKUP($C675,Carpetas!$C$5:$L$2060,9,FALSE),"")</f>
        <v>1538491</v>
      </c>
      <c r="I675" s="51" t="str">
        <f>IF(C675&lt;&gt;"",VLOOKUP($C675,Carpetas!$C$5:$L$2060,5,FALSE),"")</f>
        <v>Andino</v>
      </c>
      <c r="J675" s="51"/>
      <c r="K675" s="50">
        <v>45960</v>
      </c>
      <c r="L675" s="39" t="str">
        <f>VLOOKUP($C675,Carpetas!$C$5:$L$2060,4,FALSE)</f>
        <v>Fray Bentos</v>
      </c>
      <c r="M675" s="127">
        <f t="shared" si="46"/>
        <v>45961</v>
      </c>
      <c r="N675" s="53">
        <f t="shared" si="44"/>
        <v>19</v>
      </c>
      <c r="O675" s="51">
        <v>1680</v>
      </c>
      <c r="P675" s="51"/>
      <c r="Q675" s="51">
        <v>1680</v>
      </c>
      <c r="R675" s="51">
        <v>21</v>
      </c>
      <c r="S675" s="51"/>
      <c r="T675" s="65"/>
      <c r="U675" s="65"/>
      <c r="V675" s="65"/>
      <c r="W675" s="51"/>
      <c r="X675" s="66" t="s">
        <v>1516</v>
      </c>
    </row>
    <row r="676" hidden="1" ht="27.75" customHeight="1" s="32" customFormat="1">
      <c r="A676" s="37"/>
      <c r="B676" s="31" t="s">
        <v>32</v>
      </c>
      <c r="C676" s="59" t="s">
        <v>1509</v>
      </c>
      <c r="D676" s="57" t="s">
        <v>30</v>
      </c>
      <c r="E676" s="57">
        <v>45942</v>
      </c>
      <c r="F676" s="38" t="str">
        <f>IF(C676&lt;&gt;"",VLOOKUP($C676,Carpetas!$C$5:$L$2060,2,FALSE),"")</f>
        <v>ECB044</v>
      </c>
      <c r="G676" s="38" t="s">
        <v>43</v>
      </c>
      <c r="H676" s="44">
        <f>IF(C676&lt;&gt;"",VLOOKUP($C676,Carpetas!$C$5:$L$2060,9,FALSE),"")</f>
        <v>1538500</v>
      </c>
      <c r="I676" s="51" t="str">
        <f>IF(C676&lt;&gt;"",VLOOKUP($C676,Carpetas!$C$5:$L$2060,5,FALSE),"")</f>
        <v>Andino</v>
      </c>
      <c r="J676" s="51"/>
      <c r="K676" s="50">
        <v>45960</v>
      </c>
      <c r="L676" s="39" t="str">
        <f>VLOOKUP($C676,Carpetas!$C$5:$L$2060,4,FALSE)</f>
        <v>Fray Bentos</v>
      </c>
      <c r="M676" s="55">
        <f t="shared" si="46"/>
        <v>45961</v>
      </c>
      <c r="N676" s="53">
        <f t="shared" si="44"/>
        <v>19</v>
      </c>
      <c r="O676" s="51">
        <v>1080</v>
      </c>
      <c r="P676" s="51"/>
      <c r="Q676" s="51"/>
      <c r="R676" s="51"/>
      <c r="S676" s="51"/>
      <c r="T676" s="65"/>
      <c r="U676" s="65"/>
      <c r="V676" s="65"/>
      <c r="W676" s="51"/>
      <c r="X676" s="66"/>
    </row>
    <row r="677" hidden="1" ht="27.75" customHeight="1" s="32" customFormat="1">
      <c r="A677" s="37"/>
      <c r="B677" s="31" t="s">
        <v>32</v>
      </c>
      <c r="C677" s="59" t="s">
        <v>1517</v>
      </c>
      <c r="D677" s="57" t="s">
        <v>30</v>
      </c>
      <c r="E677" s="57">
        <v>45942</v>
      </c>
      <c r="F677" s="38" t="str">
        <f>IF(C677&lt;&gt;"",VLOOKUP($C677,Carpetas!$C$5:$L$2060,2,FALSE),"")</f>
        <v>ECE049</v>
      </c>
      <c r="G677" s="38" t="s">
        <v>43</v>
      </c>
      <c r="H677" s="44">
        <f>IF(C677&lt;&gt;"",VLOOKUP($C677,Carpetas!$C$5:$L$2060,9,FALSE),"")</f>
        <v>1538498</v>
      </c>
      <c r="I677" s="51" t="str">
        <f>IF(C677&lt;&gt;"",VLOOKUP($C677,Carpetas!$C$5:$L$2060,5,FALSE),"")</f>
        <v>Andino</v>
      </c>
      <c r="J677" s="51"/>
      <c r="K677" s="50">
        <v>45960</v>
      </c>
      <c r="L677" s="39" t="str">
        <f>VLOOKUP($C677,Carpetas!$C$5:$L$2060,4,FALSE)</f>
        <v>Fray Bentos</v>
      </c>
      <c r="M677" s="55">
        <f t="shared" si="46"/>
        <v>45961</v>
      </c>
      <c r="N677" s="53">
        <f t="shared" si="44"/>
        <v>19</v>
      </c>
      <c r="O677" s="51">
        <v>2160</v>
      </c>
      <c r="P677" s="51"/>
      <c r="Q677" s="51"/>
      <c r="R677" s="51"/>
      <c r="S677" s="51"/>
      <c r="T677" s="65"/>
      <c r="U677" s="65"/>
      <c r="V677" s="65"/>
      <c r="W677" s="51"/>
      <c r="X677" s="66"/>
    </row>
    <row r="678" hidden="1" ht="27.75" customHeight="1" s="32" customFormat="1">
      <c r="A678" s="37"/>
      <c r="B678" s="31" t="s">
        <v>32</v>
      </c>
      <c r="C678" s="59" t="s">
        <v>1518</v>
      </c>
      <c r="D678" s="57" t="s">
        <v>30</v>
      </c>
      <c r="E678" s="57">
        <v>45953</v>
      </c>
      <c r="F678" s="38" t="str">
        <f>IF(C678&lt;&gt;"",VLOOKUP($C678,Carpetas!$C$5:$L$2060,2,FALSE),"")</f>
        <v>BOB019</v>
      </c>
      <c r="G678" s="38" t="s">
        <v>31</v>
      </c>
      <c r="H678" s="44">
        <f>IF(C678&lt;&gt;"",VLOOKUP($C678,Carpetas!$C$5:$L$2060,9,FALSE),"")</f>
        <v>1540179</v>
      </c>
      <c r="I678" s="51" t="str">
        <f>IF(C678&lt;&gt;"",VLOOKUP($C678,Carpetas!$C$5:$L$2060,5,FALSE),"")</f>
        <v>Sur Central</v>
      </c>
      <c r="J678" s="51"/>
      <c r="K678" s="50">
        <v>45961</v>
      </c>
      <c r="L678" s="39" t="str">
        <f>VLOOKUP($C678,Carpetas!$C$5:$L$2060,4,FALSE)</f>
        <v>Salto</v>
      </c>
      <c r="M678" s="55">
        <f t="shared" si="46"/>
        <v>45962</v>
      </c>
      <c r="N678" s="53">
        <f t="shared" si="44"/>
        <v>9</v>
      </c>
      <c r="O678" s="51">
        <v>1100</v>
      </c>
      <c r="P678" s="51"/>
      <c r="Q678" s="51">
        <v>1100</v>
      </c>
      <c r="R678" s="51"/>
      <c r="S678" s="51"/>
      <c r="T678" s="65"/>
      <c r="U678" s="65"/>
      <c r="V678" s="65"/>
      <c r="W678" s="51"/>
      <c r="X678" s="66"/>
    </row>
    <row r="679" hidden="1" ht="27.75" customHeight="1" s="32" customFormat="1">
      <c r="A679" s="37"/>
      <c r="B679" s="31" t="s">
        <v>32</v>
      </c>
      <c r="C679" s="59" t="s">
        <v>1519</v>
      </c>
      <c r="D679" s="57" t="s">
        <v>48</v>
      </c>
      <c r="E679" s="57">
        <v>45960</v>
      </c>
      <c r="F679" s="38" t="str">
        <f>IF(C679&lt;&gt;"",VLOOKUP($C679,Carpetas!$C$5:$L$2060,2,FALSE),"")</f>
        <v>CLP026</v>
      </c>
      <c r="G679" s="38" t="s">
        <v>35</v>
      </c>
      <c r="H679" s="44">
        <f>IF(C679&lt;&gt;"",VLOOKUP($C679,Carpetas!$C$5:$L$2060,9,FALSE),"")</f>
        <v>0</v>
      </c>
      <c r="I679" s="51" t="str">
        <f>IF(C679&lt;&gt;"",VLOOKUP($C679,Carpetas!$C$5:$L$2060,5,FALSE),"")</f>
        <v>Cisterna</v>
      </c>
      <c r="J679" s="51"/>
      <c r="K679" s="50">
        <v>45964</v>
      </c>
      <c r="L679" s="39" t="str">
        <f>VLOOKUP($C679,Carpetas!$C$5:$L$2060,4,FALSE)</f>
        <v>Fray Bentos</v>
      </c>
      <c r="M679" s="55">
        <f t="shared" si="46"/>
        <v>45965</v>
      </c>
      <c r="N679" s="53">
        <f t="shared" si="44"/>
        <v>5</v>
      </c>
      <c r="O679" s="51">
        <v>2112</v>
      </c>
      <c r="P679" s="51"/>
      <c r="Q679" s="51">
        <v>2122</v>
      </c>
      <c r="R679" s="51"/>
      <c r="S679" s="51"/>
      <c r="T679" s="65"/>
      <c r="U679" s="65"/>
      <c r="V679" s="65"/>
      <c r="W679" s="51"/>
      <c r="X679" s="66"/>
    </row>
    <row r="680" hidden="1" ht="27.75" customHeight="1" s="32" customFormat="1">
      <c r="A680" s="37"/>
      <c r="B680" s="31" t="s">
        <v>32</v>
      </c>
      <c r="C680" s="59" t="s">
        <v>1518</v>
      </c>
      <c r="D680" s="57" t="s">
        <v>30</v>
      </c>
      <c r="E680" s="57">
        <v>45962</v>
      </c>
      <c r="F680" s="38" t="str">
        <f>IF(C680&lt;&gt;"",VLOOKUP($C680,Carpetas!$C$5:$L$2060,2,FALSE),"")</f>
        <v>BOB019</v>
      </c>
      <c r="G680" s="38" t="s">
        <v>31</v>
      </c>
      <c r="H680" s="44">
        <f>IF(C680&lt;&gt;"",VLOOKUP($C680,Carpetas!$C$5:$L$2060,9,FALSE),"")</f>
        <v>1540179</v>
      </c>
      <c r="I680" s="51" t="str">
        <f>IF(C680&lt;&gt;"",VLOOKUP($C680,Carpetas!$C$5:$L$2060,5,FALSE),"")</f>
        <v>Sur Central</v>
      </c>
      <c r="J680" s="51"/>
      <c r="K680" s="50">
        <v>45966</v>
      </c>
      <c r="L680" s="39" t="str">
        <f>VLOOKUP($C680,Carpetas!$C$5:$L$2060,4,FALSE)</f>
        <v>Salto</v>
      </c>
      <c r="M680" s="55">
        <f t="shared" si="46"/>
        <v>45967</v>
      </c>
      <c r="N680" s="53">
        <f t="shared" si="44"/>
        <v>5</v>
      </c>
      <c r="O680" s="51">
        <v>1100</v>
      </c>
      <c r="P680" s="51"/>
      <c r="Q680" s="51">
        <v>1100</v>
      </c>
      <c r="R680" s="51"/>
      <c r="S680" s="51"/>
      <c r="T680" s="65"/>
      <c r="U680" s="65"/>
      <c r="V680" s="65"/>
      <c r="W680" s="51"/>
      <c r="X680" s="66"/>
    </row>
    <row r="681" hidden="1" ht="27.75" customHeight="1" s="32" customFormat="1">
      <c r="A681" s="37"/>
      <c r="B681" s="31" t="s">
        <v>32</v>
      </c>
      <c r="C681" s="59" t="s">
        <v>1520</v>
      </c>
      <c r="D681" s="57" t="s">
        <v>48</v>
      </c>
      <c r="E681" s="57">
        <v>45960</v>
      </c>
      <c r="F681" s="38" t="str">
        <f>IF(C681&lt;&gt;"",VLOOKUP($C681,Carpetas!$C$5:$L$2060,2,FALSE),"")</f>
        <v>CLP025</v>
      </c>
      <c r="G681" s="38" t="s">
        <v>35</v>
      </c>
      <c r="H681" s="44">
        <f>IF(C681&lt;&gt;"",VLOOKUP($C681,Carpetas!$C$5:$L$2060,9,FALSE),"")</f>
        <v>0</v>
      </c>
      <c r="I681" s="51" t="str">
        <f>IF(C681&lt;&gt;"",VLOOKUP($C681,Carpetas!$C$5:$L$2060,5,FALSE),"")</f>
        <v>Cisterna</v>
      </c>
      <c r="J681" s="51"/>
      <c r="K681" s="50">
        <v>45966</v>
      </c>
      <c r="L681" s="39" t="str">
        <f>VLOOKUP($C681,Carpetas!$C$5:$L$2060,4,FALSE)</f>
        <v>Fray Bentos</v>
      </c>
      <c r="M681" s="55">
        <f t="shared" si="46"/>
        <v>45967</v>
      </c>
      <c r="N681" s="53">
        <f t="shared" si="44"/>
        <v>7</v>
      </c>
      <c r="O681" s="51">
        <v>1836</v>
      </c>
      <c r="P681" s="51"/>
      <c r="Q681" s="51">
        <v>1836</v>
      </c>
      <c r="R681" s="51">
        <v>24</v>
      </c>
      <c r="S681" s="128">
        <v>41944</v>
      </c>
      <c r="T681" s="65"/>
      <c r="U681" s="65"/>
      <c r="V681" s="65"/>
      <c r="W681" s="51"/>
      <c r="X681" s="66" t="s">
        <v>1521</v>
      </c>
    </row>
    <row r="682" hidden="1" ht="27.75" customHeight="1" s="32" customFormat="1">
      <c r="A682" s="37"/>
      <c r="B682" s="31" t="s">
        <v>32</v>
      </c>
      <c r="C682" s="59" t="s">
        <v>1522</v>
      </c>
      <c r="D682" s="57" t="s">
        <v>30</v>
      </c>
      <c r="E682" s="57">
        <v>45948</v>
      </c>
      <c r="F682" s="38" t="str">
        <f>IF(C682&lt;&gt;"",VLOOKUP($C682,Carpetas!$C$5:$L$2060,2,FALSE),"")</f>
        <v>ECB045</v>
      </c>
      <c r="G682" s="38" t="s">
        <v>43</v>
      </c>
      <c r="H682" s="44">
        <f>IF(C682&lt;&gt;"",VLOOKUP($C682,Carpetas!$C$5:$L$2060,9,FALSE),"")</f>
        <v>1539401</v>
      </c>
      <c r="I682" s="51" t="str">
        <f>IF(C682&lt;&gt;"",VLOOKUP($C682,Carpetas!$C$5:$L$2060,5,FALSE),"")</f>
        <v>Andino</v>
      </c>
      <c r="J682" s="51"/>
      <c r="K682" s="50">
        <v>45967</v>
      </c>
      <c r="L682" s="39" t="str">
        <f>VLOOKUP($C682,Carpetas!$C$5:$L$2060,4,FALSE)</f>
        <v>Fray Bentos</v>
      </c>
      <c r="M682" s="55">
        <f t="shared" si="46"/>
        <v>45968</v>
      </c>
      <c r="N682" s="53">
        <f t="shared" si="44"/>
        <v>20</v>
      </c>
      <c r="O682" s="51">
        <v>4320</v>
      </c>
      <c r="P682" s="51"/>
      <c r="Q682" s="51">
        <v>4320</v>
      </c>
      <c r="R682" s="51">
        <v>80</v>
      </c>
      <c r="S682" s="51">
        <v>21.5</v>
      </c>
      <c r="T682" s="65"/>
      <c r="U682" s="65"/>
      <c r="V682" s="65"/>
      <c r="W682" s="51"/>
      <c r="X682" s="66" t="s">
        <v>1523</v>
      </c>
    </row>
    <row r="683" hidden="1" ht="27.75" customHeight="1" s="32" customFormat="1">
      <c r="A683" s="37"/>
      <c r="B683" s="31" t="s">
        <v>32</v>
      </c>
      <c r="C683" s="59" t="s">
        <v>1524</v>
      </c>
      <c r="D683" s="57" t="s">
        <v>30</v>
      </c>
      <c r="E683" s="57">
        <v>45948</v>
      </c>
      <c r="F683" s="38" t="str">
        <f>IF(C683&lt;&gt;"",VLOOKUP($C683,Carpetas!$C$5:$L$2060,2,FALSE),"")</f>
        <v>ECE051</v>
      </c>
      <c r="G683" s="38" t="s">
        <v>43</v>
      </c>
      <c r="H683" s="44">
        <f>IF(C683&lt;&gt;"",VLOOKUP($C683,Carpetas!$C$5:$L$2060,9,FALSE),"")</f>
        <v>1539402</v>
      </c>
      <c r="I683" s="51" t="str">
        <f>IF(C683&lt;&gt;"",VLOOKUP($C683,Carpetas!$C$5:$L$2060,5,FALSE),"")</f>
        <v>Andino</v>
      </c>
      <c r="J683" s="51"/>
      <c r="K683" s="50">
        <v>45967</v>
      </c>
      <c r="L683" s="39" t="str">
        <f>VLOOKUP($C683,Carpetas!$C$5:$L$2060,4,FALSE)</f>
        <v>Fray Bentos</v>
      </c>
      <c r="M683" s="55">
        <f t="shared" si="46"/>
        <v>45968</v>
      </c>
      <c r="N683" s="53">
        <f t="shared" si="44"/>
        <v>20</v>
      </c>
      <c r="O683" s="51">
        <v>2160</v>
      </c>
      <c r="P683" s="51"/>
      <c r="Q683" s="51">
        <v>2160</v>
      </c>
      <c r="R683" s="51">
        <v>40</v>
      </c>
      <c r="S683" s="51">
        <v>21</v>
      </c>
      <c r="T683" s="65"/>
      <c r="U683" s="65"/>
      <c r="V683" s="65" t="s">
        <v>60</v>
      </c>
      <c r="W683" s="51"/>
      <c r="X683" s="66" t="s">
        <v>1525</v>
      </c>
    </row>
    <row r="684" hidden="1" ht="27.75" customHeight="1" s="32" customFormat="1">
      <c r="A684" s="37"/>
      <c r="B684" s="31" t="s">
        <v>32</v>
      </c>
      <c r="C684" s="59" t="s">
        <v>1526</v>
      </c>
      <c r="D684" s="57" t="s">
        <v>42</v>
      </c>
      <c r="E684" s="57">
        <v>45948</v>
      </c>
      <c r="F684" s="38" t="str">
        <f>IF(C684&lt;&gt;"",VLOOKUP($C684,Carpetas!$C$5:$L$2060,2,FALSE),"")</f>
        <v>ECA024</v>
      </c>
      <c r="G684" s="38" t="s">
        <v>43</v>
      </c>
      <c r="H684" s="44">
        <f>IF(C684&lt;&gt;"",VLOOKUP($C684,Carpetas!$C$5:$L$2060,9,FALSE),"")</f>
        <v>1538491</v>
      </c>
      <c r="I684" s="51" t="str">
        <f>IF(C684&lt;&gt;"",VLOOKUP($C684,Carpetas!$C$5:$L$2060,5,FALSE),"")</f>
        <v>Andino</v>
      </c>
      <c r="J684" s="51"/>
      <c r="K684" s="50">
        <v>45967</v>
      </c>
      <c r="L684" s="39" t="str">
        <f>VLOOKUP($C684,Carpetas!$C$5:$L$2060,4,FALSE)</f>
        <v>Fray Bentos</v>
      </c>
      <c r="M684" s="55">
        <f t="shared" si="46"/>
        <v>45968</v>
      </c>
      <c r="N684" s="53">
        <f ref="N684:N747" t="shared" si="47">IF(M684&lt;&gt;"",M684-E684,"-")</f>
        <v>20</v>
      </c>
      <c r="O684" s="51">
        <v>1680</v>
      </c>
      <c r="P684" s="51"/>
      <c r="Q684" s="51"/>
      <c r="R684" s="51"/>
      <c r="S684" s="51"/>
      <c r="T684" s="65"/>
      <c r="U684" s="65"/>
      <c r="V684" s="65"/>
      <c r="W684" s="51"/>
      <c r="X684" s="66"/>
    </row>
    <row r="685" hidden="1" ht="27.75" customHeight="1" s="32" customFormat="1">
      <c r="A685" s="37"/>
      <c r="B685" s="31" t="s">
        <v>32</v>
      </c>
      <c r="C685" s="59" t="s">
        <v>1527</v>
      </c>
      <c r="D685" s="57" t="s">
        <v>30</v>
      </c>
      <c r="E685" s="57">
        <v>45948</v>
      </c>
      <c r="F685" s="38" t="str">
        <f>IF(C685&lt;&gt;"",VLOOKUP($C685,Carpetas!$C$5:$L$2060,2,FALSE),"")</f>
        <v>COB020</v>
      </c>
      <c r="G685" s="38" t="s">
        <v>267</v>
      </c>
      <c r="H685" s="44">
        <f>IF(C685&lt;&gt;"",VLOOKUP($C685,Carpetas!$C$5:$L$2060,9,FALSE),"")</f>
        <v>0</v>
      </c>
      <c r="I685" s="51" t="str">
        <f>IF(C685&lt;&gt;"",VLOOKUP($C685,Carpetas!$C$5:$L$2060,5,FALSE),"")</f>
        <v>Andino</v>
      </c>
      <c r="J685" s="51"/>
      <c r="K685" s="50">
        <v>45967</v>
      </c>
      <c r="L685" s="39" t="str">
        <f>VLOOKUP($C685,Carpetas!$C$5:$L$2060,4,FALSE)</f>
        <v>Fray Bentos</v>
      </c>
      <c r="M685" s="55">
        <f t="shared" si="46"/>
        <v>45968</v>
      </c>
      <c r="N685" s="53">
        <f t="shared" si="47"/>
        <v>20</v>
      </c>
      <c r="O685" s="51">
        <v>1080</v>
      </c>
      <c r="P685" s="51"/>
      <c r="Q685" s="51"/>
      <c r="R685" s="51"/>
      <c r="S685" s="51"/>
      <c r="T685" s="65"/>
      <c r="U685" s="65"/>
      <c r="V685" s="65"/>
      <c r="W685" s="51"/>
      <c r="X685" s="66"/>
    </row>
    <row r="686" hidden="1" ht="27.75" customHeight="1" s="32" customFormat="1">
      <c r="A686" s="37"/>
      <c r="B686" s="31" t="s">
        <v>32</v>
      </c>
      <c r="C686" s="59" t="s">
        <v>1528</v>
      </c>
      <c r="D686" s="57" t="s">
        <v>30</v>
      </c>
      <c r="E686" s="57">
        <v>45948</v>
      </c>
      <c r="F686" s="38" t="str">
        <f>IF(C686&lt;&gt;"",VLOOKUP($C686,Carpetas!$C$5:$L$2060,2,FALSE),"")</f>
        <v>ECE052</v>
      </c>
      <c r="G686" s="38" t="s">
        <v>43</v>
      </c>
      <c r="H686" s="44">
        <f>IF(C686&lt;&gt;"",VLOOKUP($C686,Carpetas!$C$5:$L$2060,9,FALSE),"")</f>
        <v>1539403</v>
      </c>
      <c r="I686" s="51" t="str">
        <f>IF(C686&lt;&gt;"",VLOOKUP($C686,Carpetas!$C$5:$L$2060,5,FALSE),"")</f>
        <v>Andino</v>
      </c>
      <c r="J686" s="51"/>
      <c r="K686" s="50">
        <v>45968</v>
      </c>
      <c r="L686" s="39" t="str">
        <f>VLOOKUP($C686,Carpetas!$C$5:$L$2060,4,FALSE)</f>
        <v>Fray Bentos</v>
      </c>
      <c r="M686" s="55">
        <f t="shared" si="46"/>
        <v>45969</v>
      </c>
      <c r="N686" s="53">
        <f t="shared" si="47"/>
        <v>21</v>
      </c>
      <c r="O686" s="51">
        <v>1112</v>
      </c>
      <c r="P686" s="51"/>
      <c r="Q686" s="51"/>
      <c r="R686" s="51"/>
      <c r="S686" s="51"/>
      <c r="T686" s="65"/>
      <c r="U686" s="65"/>
      <c r="V686" s="65"/>
      <c r="W686" s="51"/>
      <c r="X686" s="66"/>
    </row>
    <row r="687" hidden="1" ht="27.75" customHeight="1" s="32" customFormat="1">
      <c r="A687" s="37"/>
      <c r="B687" s="31" t="s">
        <v>32</v>
      </c>
      <c r="C687" s="59" t="s">
        <v>1529</v>
      </c>
      <c r="D687" s="57" t="s">
        <v>48</v>
      </c>
      <c r="E687" s="57">
        <v>45965</v>
      </c>
      <c r="F687" s="38" t="str">
        <f>IF(C687&lt;&gt;"",VLOOKUP($C687,Carpetas!$C$5:$L$2060,2,FALSE),"")</f>
        <v>CLP027</v>
      </c>
      <c r="G687" s="38" t="s">
        <v>35</v>
      </c>
      <c r="H687" s="44">
        <f>IF(C687&lt;&gt;"",VLOOKUP($C687,Carpetas!$C$5:$L$2060,9,FALSE),"")</f>
        <v>0</v>
      </c>
      <c r="I687" s="51" t="str">
        <f>IF(C687&lt;&gt;"",VLOOKUP($C687,Carpetas!$C$5:$L$2060,5,FALSE),"")</f>
        <v>Cisterna</v>
      </c>
      <c r="J687" s="51"/>
      <c r="K687" s="50">
        <v>45968</v>
      </c>
      <c r="L687" s="39" t="str">
        <f>VLOOKUP($C687,Carpetas!$C$5:$L$2060,4,FALSE)</f>
        <v>Fray Bentos</v>
      </c>
      <c r="M687" s="55">
        <f t="shared" si="46"/>
        <v>45969</v>
      </c>
      <c r="N687" s="53">
        <f t="shared" si="47"/>
        <v>4</v>
      </c>
      <c r="O687" s="51">
        <v>2112</v>
      </c>
      <c r="P687" s="51"/>
      <c r="Q687" s="51"/>
      <c r="R687" s="51"/>
      <c r="S687" s="51"/>
      <c r="T687" s="65"/>
      <c r="U687" s="65"/>
      <c r="V687" s="65"/>
      <c r="W687" s="51"/>
      <c r="X687" s="66" t="s">
        <v>1530</v>
      </c>
    </row>
    <row r="688" hidden="1" ht="27.75" customHeight="1" s="32" customFormat="1">
      <c r="A688" s="37"/>
      <c r="B688" s="31" t="s">
        <v>32</v>
      </c>
      <c r="C688" s="59" t="s">
        <v>1531</v>
      </c>
      <c r="D688" s="57" t="s">
        <v>30</v>
      </c>
      <c r="E688" s="57">
        <v>45964</v>
      </c>
      <c r="F688" s="38" t="str">
        <f>IF(C688&lt;&gt;"",VLOOKUP($C688,Carpetas!$C$5:$L$2060,2,FALSE),"")</f>
        <v>BOB022</v>
      </c>
      <c r="G688" s="38" t="s">
        <v>31</v>
      </c>
      <c r="H688" s="44">
        <f>IF(C688&lt;&gt;"",VLOOKUP($C688,Carpetas!$C$5:$L$2060,9,FALSE),"")</f>
        <v>0</v>
      </c>
      <c r="I688" s="51" t="str">
        <f>IF(C688&lt;&gt;"",VLOOKUP($C688,Carpetas!$C$5:$L$2060,5,FALSE),"")</f>
        <v>Sur Central</v>
      </c>
      <c r="J688" s="51"/>
      <c r="K688" s="50">
        <v>45972</v>
      </c>
      <c r="L688" s="39" t="str">
        <f>VLOOKUP($C688,Carpetas!$C$5:$L$2060,4,FALSE)</f>
        <v>Salto</v>
      </c>
      <c r="M688" s="55">
        <f t="shared" si="46"/>
        <v>45973</v>
      </c>
      <c r="N688" s="53">
        <f t="shared" si="47"/>
        <v>9</v>
      </c>
      <c r="O688" s="51">
        <v>1100</v>
      </c>
      <c r="P688" s="51"/>
      <c r="Q688" s="51">
        <v>1100</v>
      </c>
      <c r="R688" s="51"/>
      <c r="S688" s="51"/>
      <c r="T688" s="65"/>
      <c r="U688" s="65"/>
      <c r="V688" s="65"/>
      <c r="W688" s="51"/>
      <c r="X688" s="66"/>
    </row>
    <row r="689" hidden="1" ht="27.75" customHeight="1" s="32" customFormat="1">
      <c r="A689" s="37"/>
      <c r="B689" s="31" t="s">
        <v>32</v>
      </c>
      <c r="C689" s="59" t="s">
        <v>1532</v>
      </c>
      <c r="D689" s="57" t="s">
        <v>30</v>
      </c>
      <c r="E689" s="57">
        <v>45955</v>
      </c>
      <c r="F689" s="38" t="str">
        <f>IF(C689&lt;&gt;"",VLOOKUP($C689,Carpetas!$C$5:$L$2060,2,FALSE),"")</f>
        <v>ECE053</v>
      </c>
      <c r="G689" s="38" t="s">
        <v>43</v>
      </c>
      <c r="H689" s="44">
        <f>IF(C689&lt;&gt;"",VLOOKUP($C689,Carpetas!$C$5:$L$2060,9,FALSE),"")</f>
        <v>1539925</v>
      </c>
      <c r="I689" s="51" t="str">
        <f>IF(C689&lt;&gt;"",VLOOKUP($C689,Carpetas!$C$5:$L$2060,5,FALSE),"")</f>
        <v>Andino</v>
      </c>
      <c r="J689" s="51"/>
      <c r="K689" s="50">
        <v>45972</v>
      </c>
      <c r="L689" s="39" t="str">
        <f>VLOOKUP($C689,Carpetas!$C$5:$L$2060,4,FALSE)</f>
        <v>Fray Bentos</v>
      </c>
      <c r="M689" s="55">
        <f t="shared" si="46"/>
        <v>45973</v>
      </c>
      <c r="N689" s="53">
        <f t="shared" si="47"/>
        <v>18</v>
      </c>
      <c r="O689" s="51">
        <v>2160</v>
      </c>
      <c r="P689" s="51"/>
      <c r="Q689" s="51">
        <v>1080</v>
      </c>
      <c r="R689" s="51">
        <v>20</v>
      </c>
      <c r="S689" s="51"/>
      <c r="T689" s="65"/>
      <c r="U689" s="65"/>
      <c r="V689" s="65"/>
      <c r="W689" s="51"/>
      <c r="X689" s="66" t="s">
        <v>1533</v>
      </c>
    </row>
    <row r="690" hidden="1" ht="27.75" customHeight="1" s="32" customFormat="1">
      <c r="A690" s="37"/>
      <c r="B690" s="31" t="s">
        <v>32</v>
      </c>
      <c r="C690" s="59" t="s">
        <v>1534</v>
      </c>
      <c r="D690" s="57" t="s">
        <v>30</v>
      </c>
      <c r="E690" s="57">
        <v>45966</v>
      </c>
      <c r="F690" s="38" t="str">
        <f>IF(C690&lt;&gt;"",VLOOKUP($C690,Carpetas!$C$5:$L$2060,2,FALSE),"")</f>
        <v>BOB023</v>
      </c>
      <c r="G690" s="38" t="s">
        <v>31</v>
      </c>
      <c r="H690" s="44">
        <f>IF(C690&lt;&gt;"",VLOOKUP($C690,Carpetas!$C$5:$L$2060,9,FALSE),"")</f>
        <v>0</v>
      </c>
      <c r="I690" s="51" t="str">
        <f>IF(C690&lt;&gt;"",VLOOKUP($C690,Carpetas!$C$5:$L$2060,5,FALSE),"")</f>
        <v>Sur Central</v>
      </c>
      <c r="J690" s="51"/>
      <c r="K690" s="50">
        <v>45973</v>
      </c>
      <c r="L690" s="39" t="str">
        <f>VLOOKUP($C690,Carpetas!$C$5:$L$2060,4,FALSE)</f>
        <v>Salto</v>
      </c>
      <c r="M690" s="55">
        <f t="shared" si="46"/>
        <v>45974</v>
      </c>
      <c r="N690" s="53">
        <f t="shared" si="47"/>
        <v>8</v>
      </c>
      <c r="O690" s="51">
        <v>1100</v>
      </c>
      <c r="P690" s="51"/>
      <c r="Q690" s="51">
        <v>1100</v>
      </c>
      <c r="R690" s="51"/>
      <c r="S690" s="51"/>
      <c r="T690" s="65"/>
      <c r="U690" s="65"/>
      <c r="V690" s="65"/>
      <c r="W690" s="51"/>
      <c r="X690" s="66" t="s">
        <v>1535</v>
      </c>
    </row>
    <row r="691" hidden="1" ht="27.75" customHeight="1" s="32" customFormat="1">
      <c r="A691" s="37"/>
      <c r="B691" s="31" t="s">
        <v>32</v>
      </c>
      <c r="C691" s="59" t="s">
        <v>1536</v>
      </c>
      <c r="D691" s="57" t="s">
        <v>30</v>
      </c>
      <c r="E691" s="57">
        <v>45955</v>
      </c>
      <c r="F691" s="38" t="str">
        <f>IF(C691&lt;&gt;"",VLOOKUP($C691,Carpetas!$C$5:$L$2060,2,FALSE),"")</f>
        <v>ECB046</v>
      </c>
      <c r="G691" s="38" t="s">
        <v>43</v>
      </c>
      <c r="H691" s="44">
        <f>IF(C691&lt;&gt;"",VLOOKUP($C691,Carpetas!$C$5:$L$2060,9,FALSE),"")</f>
        <v>1539927</v>
      </c>
      <c r="I691" s="51" t="str">
        <f>IF(C691&lt;&gt;"",VLOOKUP($C691,Carpetas!$C$5:$L$2060,5,FALSE),"")</f>
        <v>Andino</v>
      </c>
      <c r="J691" s="51"/>
      <c r="K691" s="50">
        <v>45974</v>
      </c>
      <c r="L691" s="39" t="str">
        <f>VLOOKUP($C691,Carpetas!$C$5:$L$2060,4,FALSE)</f>
        <v>Fray Bentos</v>
      </c>
      <c r="M691" s="55">
        <f t="shared" si="46"/>
        <v>45975</v>
      </c>
      <c r="N691" s="53">
        <f t="shared" si="47"/>
        <v>20</v>
      </c>
      <c r="O691" s="51">
        <v>2160</v>
      </c>
      <c r="P691" s="51"/>
      <c r="Q691" s="51">
        <v>2160</v>
      </c>
      <c r="R691" s="51">
        <v>20</v>
      </c>
      <c r="S691" s="51"/>
      <c r="T691" s="65"/>
      <c r="U691" s="65"/>
      <c r="V691" s="65"/>
      <c r="W691" s="51"/>
      <c r="X691" s="66" t="s">
        <v>1537</v>
      </c>
    </row>
    <row r="692" hidden="1" ht="27.75" customHeight="1" s="32" customFormat="1">
      <c r="A692" s="37"/>
      <c r="B692" s="31" t="s">
        <v>32</v>
      </c>
      <c r="C692" s="59" t="s">
        <v>1538</v>
      </c>
      <c r="D692" s="57" t="s">
        <v>30</v>
      </c>
      <c r="E692" s="57">
        <v>45971</v>
      </c>
      <c r="F692" s="38" t="str">
        <f>IF(C692&lt;&gt;"",VLOOKUP($C692,Carpetas!$C$5:$L$2060,2,FALSE),"")</f>
        <v>BOB025</v>
      </c>
      <c r="G692" s="38" t="s">
        <v>31</v>
      </c>
      <c r="H692" s="44">
        <f>IF(C692&lt;&gt;"",VLOOKUP($C692,Carpetas!$C$5:$L$2060,9,FALSE),"")</f>
        <v>0</v>
      </c>
      <c r="I692" s="51" t="str">
        <f>IF(C692&lt;&gt;"",VLOOKUP($C692,Carpetas!$C$5:$L$2060,5,FALSE),"")</f>
        <v>El Palomar</v>
      </c>
      <c r="J692" s="51"/>
      <c r="K692" s="50">
        <v>45974</v>
      </c>
      <c r="L692" s="39" t="str">
        <f>VLOOKUP($C692,Carpetas!$C$5:$L$2060,4,FALSE)</f>
        <v>Salto</v>
      </c>
      <c r="M692" s="55">
        <f t="shared" si="46"/>
        <v>45975</v>
      </c>
      <c r="N692" s="53">
        <f t="shared" si="47"/>
        <v>4</v>
      </c>
      <c r="O692" s="51">
        <v>1104</v>
      </c>
      <c r="P692" s="51"/>
      <c r="Q692" s="51">
        <v>1104</v>
      </c>
      <c r="R692" s="51"/>
      <c r="S692" s="51"/>
      <c r="T692" s="65"/>
      <c r="U692" s="65"/>
      <c r="V692" s="65"/>
      <c r="W692" s="51"/>
      <c r="X692" s="66" t="s">
        <v>1539</v>
      </c>
    </row>
    <row r="693" hidden="1" ht="27.75" customHeight="1" s="32" customFormat="1">
      <c r="A693" s="37"/>
      <c r="B693" s="31" t="s">
        <v>32</v>
      </c>
      <c r="C693" s="59" t="s">
        <v>1540</v>
      </c>
      <c r="D693" s="57" t="s">
        <v>30</v>
      </c>
      <c r="E693" s="57">
        <v>45955</v>
      </c>
      <c r="F693" s="38" t="str">
        <f>IF(C693&lt;&gt;"",VLOOKUP($C693,Carpetas!$C$5:$L$2060,2,FALSE),"")</f>
        <v>ECB047</v>
      </c>
      <c r="G693" s="38" t="s">
        <v>43</v>
      </c>
      <c r="H693" s="44">
        <f>IF(C693&lt;&gt;"",VLOOKUP($C693,Carpetas!$C$5:$L$2060,9,FALSE),"")</f>
        <v>1539926</v>
      </c>
      <c r="I693" s="51" t="str">
        <f>IF(C693&lt;&gt;"",VLOOKUP($C693,Carpetas!$C$5:$L$2060,5,FALSE),"")</f>
        <v>Andino</v>
      </c>
      <c r="J693" s="51"/>
      <c r="K693" s="50">
        <v>45974</v>
      </c>
      <c r="L693" s="39" t="str">
        <f>VLOOKUP($C693,Carpetas!$C$5:$L$2060,4,FALSE)</f>
        <v>Fray Bentos</v>
      </c>
      <c r="M693" s="55">
        <f t="shared" si="46"/>
        <v>45975</v>
      </c>
      <c r="N693" s="53">
        <f t="shared" si="47"/>
        <v>20</v>
      </c>
      <c r="O693" s="51">
        <v>1080</v>
      </c>
      <c r="P693" s="51"/>
      <c r="Q693" s="51"/>
      <c r="R693" s="51"/>
      <c r="S693" s="51"/>
      <c r="T693" s="65"/>
      <c r="U693" s="65"/>
      <c r="V693" s="65"/>
      <c r="W693" s="51"/>
      <c r="X693" s="66" t="s">
        <v>1541</v>
      </c>
    </row>
    <row r="694" hidden="1" ht="27.75" customHeight="1" s="32" customFormat="1">
      <c r="A694" s="37"/>
      <c r="B694" s="31" t="s">
        <v>32</v>
      </c>
      <c r="C694" s="59" t="s">
        <v>1536</v>
      </c>
      <c r="D694" s="57" t="s">
        <v>30</v>
      </c>
      <c r="E694" s="57">
        <v>45955</v>
      </c>
      <c r="F694" s="38" t="str">
        <f>IF(C694&lt;&gt;"",VLOOKUP($C694,Carpetas!$C$5:$L$2060,2,FALSE),"")</f>
        <v>ECB046</v>
      </c>
      <c r="G694" s="38" t="s">
        <v>43</v>
      </c>
      <c r="H694" s="44">
        <f>IF(C694&lt;&gt;"",VLOOKUP($C694,Carpetas!$C$5:$L$2060,9,FALSE),"")</f>
        <v>1539927</v>
      </c>
      <c r="I694" s="51" t="str">
        <f>IF(C694&lt;&gt;"",VLOOKUP($C694,Carpetas!$C$5:$L$2060,5,FALSE),"")</f>
        <v>Andino</v>
      </c>
      <c r="J694" s="51"/>
      <c r="K694" s="50">
        <v>45974</v>
      </c>
      <c r="L694" s="39" t="str">
        <f>VLOOKUP($C694,Carpetas!$C$5:$L$2060,4,FALSE)</f>
        <v>Fray Bentos</v>
      </c>
      <c r="M694" s="55">
        <f t="shared" si="46"/>
        <v>45975</v>
      </c>
      <c r="N694" s="53">
        <f t="shared" si="47"/>
        <v>20</v>
      </c>
      <c r="O694" s="51">
        <v>1080</v>
      </c>
      <c r="P694" s="51"/>
      <c r="Q694" s="51">
        <v>1080</v>
      </c>
      <c r="R694" s="51">
        <v>20</v>
      </c>
      <c r="S694" s="51">
        <v>21.8</v>
      </c>
      <c r="T694" s="65"/>
      <c r="U694" s="65"/>
      <c r="V694" s="65"/>
      <c r="W694" s="51"/>
      <c r="X694" s="66" t="s">
        <v>1542</v>
      </c>
    </row>
    <row r="695" hidden="1" ht="27.75" customHeight="1" s="32" customFormat="1">
      <c r="A695" s="37"/>
      <c r="B695" s="31" t="s">
        <v>32</v>
      </c>
      <c r="C695" s="59" t="s">
        <v>1543</v>
      </c>
      <c r="D695" s="57" t="s">
        <v>30</v>
      </c>
      <c r="E695" s="57">
        <v>45969</v>
      </c>
      <c r="F695" s="38" t="str">
        <f>IF(C695&lt;&gt;"",VLOOKUP($C695,Carpetas!$C$5:$L$2060,2,FALSE),"")</f>
        <v>BOB024</v>
      </c>
      <c r="G695" s="38" t="s">
        <v>31</v>
      </c>
      <c r="H695" s="44">
        <f>IF(C695&lt;&gt;"",VLOOKUP($C695,Carpetas!$C$5:$L$2060,9,FALSE),"")</f>
        <v>0</v>
      </c>
      <c r="I695" s="51" t="str">
        <f>IF(C695&lt;&gt;"",VLOOKUP($C695,Carpetas!$C$5:$L$2060,5,FALSE),"")</f>
        <v>Sur Central</v>
      </c>
      <c r="J695" s="51"/>
      <c r="K695" s="50">
        <v>45975</v>
      </c>
      <c r="L695" s="39" t="str">
        <f>VLOOKUP($C695,Carpetas!$C$5:$L$2060,4,FALSE)</f>
        <v>Salto</v>
      </c>
      <c r="M695" s="55">
        <f t="shared" si="46"/>
        <v>45976</v>
      </c>
      <c r="N695" s="53">
        <f t="shared" si="47"/>
        <v>7</v>
      </c>
      <c r="O695" s="51">
        <v>1100</v>
      </c>
      <c r="P695" s="51"/>
      <c r="Q695" s="51"/>
      <c r="R695" s="51"/>
      <c r="S695" s="51"/>
      <c r="T695" s="65"/>
      <c r="U695" s="65"/>
      <c r="V695" s="65"/>
      <c r="W695" s="51"/>
      <c r="X695" s="66"/>
    </row>
    <row r="696" hidden="1" ht="27.75" customHeight="1" s="32" customFormat="1">
      <c r="A696" s="37"/>
      <c r="B696" s="31" t="s">
        <v>32</v>
      </c>
      <c r="C696" s="59" t="s">
        <v>1532</v>
      </c>
      <c r="D696" s="57" t="s">
        <v>30</v>
      </c>
      <c r="E696" s="57">
        <v>45955</v>
      </c>
      <c r="F696" s="38" t="str">
        <f>IF(C696&lt;&gt;"",VLOOKUP($C696,Carpetas!$C$5:$L$2060,2,FALSE),"")</f>
        <v>ECE053</v>
      </c>
      <c r="G696" s="38" t="s">
        <v>43</v>
      </c>
      <c r="H696" s="44">
        <f>IF(C696&lt;&gt;"",VLOOKUP($C696,Carpetas!$C$5:$L$2060,9,FALSE),"")</f>
        <v>1539925</v>
      </c>
      <c r="I696" s="51" t="str">
        <f>IF(C696&lt;&gt;"",VLOOKUP($C696,Carpetas!$C$5:$L$2060,5,FALSE),"")</f>
        <v>Andino</v>
      </c>
      <c r="J696" s="51"/>
      <c r="K696" s="50">
        <v>45975</v>
      </c>
      <c r="L696" s="39" t="str">
        <f>VLOOKUP($C696,Carpetas!$C$5:$L$2060,4,FALSE)</f>
        <v>Fray Bentos</v>
      </c>
      <c r="M696" s="55">
        <f t="shared" si="46"/>
        <v>45976</v>
      </c>
      <c r="N696" s="53">
        <f t="shared" si="47"/>
        <v>21</v>
      </c>
      <c r="O696" s="51">
        <v>2160</v>
      </c>
      <c r="P696" s="51"/>
      <c r="Q696" s="51">
        <v>2160</v>
      </c>
      <c r="R696" s="51">
        <v>40</v>
      </c>
      <c r="S696" s="51">
        <v>20</v>
      </c>
      <c r="T696" s="65"/>
      <c r="U696" s="65"/>
      <c r="V696" s="65"/>
      <c r="W696" s="51"/>
      <c r="X696" s="66" t="s">
        <v>1544</v>
      </c>
    </row>
    <row r="697" hidden="1" ht="27.75" customHeight="1" s="32" customFormat="1">
      <c r="A697" s="37"/>
      <c r="B697" s="31" t="s">
        <v>32</v>
      </c>
      <c r="C697" s="59" t="s">
        <v>1536</v>
      </c>
      <c r="D697" s="57" t="s">
        <v>30</v>
      </c>
      <c r="E697" s="57">
        <v>45955</v>
      </c>
      <c r="F697" s="38" t="str">
        <f>IF(C697&lt;&gt;"",VLOOKUP($C697,Carpetas!$C$5:$L$2060,2,FALSE),"")</f>
        <v>ECB046</v>
      </c>
      <c r="G697" s="38" t="s">
        <v>43</v>
      </c>
      <c r="H697" s="44">
        <f>IF(C697&lt;&gt;"",VLOOKUP($C697,Carpetas!$C$5:$L$2060,9,FALSE),"")</f>
        <v>1539927</v>
      </c>
      <c r="I697" s="51" t="str">
        <f>IF(C697&lt;&gt;"",VLOOKUP($C697,Carpetas!$C$5:$L$2060,5,FALSE),"")</f>
        <v>Andino</v>
      </c>
      <c r="J697" s="51"/>
      <c r="K697" s="50">
        <v>45976</v>
      </c>
      <c r="L697" s="39" t="str">
        <f>VLOOKUP($C697,Carpetas!$C$5:$L$2060,4,FALSE)</f>
        <v>Fray Bentos</v>
      </c>
      <c r="M697" s="55">
        <v>45978</v>
      </c>
      <c r="N697" s="53">
        <f t="shared" si="47"/>
        <v>23</v>
      </c>
      <c r="O697" s="51">
        <v>1080</v>
      </c>
      <c r="P697" s="51"/>
      <c r="Q697" s="51"/>
      <c r="R697" s="51"/>
      <c r="S697" s="51"/>
      <c r="T697" s="65"/>
      <c r="U697" s="65"/>
      <c r="V697" s="65"/>
      <c r="W697" s="51"/>
      <c r="X697" s="66" t="s">
        <v>1545</v>
      </c>
    </row>
    <row r="698" hidden="1" ht="27.75" customHeight="1" s="32" customFormat="1">
      <c r="A698" s="37"/>
      <c r="B698" s="31" t="s">
        <v>32</v>
      </c>
      <c r="C698" s="59" t="s">
        <v>1546</v>
      </c>
      <c r="D698" s="57" t="s">
        <v>42</v>
      </c>
      <c r="E698" s="57">
        <v>45955</v>
      </c>
      <c r="F698" s="38" t="str">
        <f>IF(C698&lt;&gt;"",VLOOKUP($C698,Carpetas!$C$5:$L$2060,2,FALSE),"")</f>
        <v>ECA025</v>
      </c>
      <c r="G698" s="38" t="s">
        <v>43</v>
      </c>
      <c r="H698" s="44">
        <f>IF(C698&lt;&gt;"",VLOOKUP($C698,Carpetas!$C$5:$L$2060,9,FALSE),"")</f>
        <v>1539922</v>
      </c>
      <c r="I698" s="51" t="str">
        <f>IF(C698&lt;&gt;"",VLOOKUP($C698,Carpetas!$C$5:$L$2060,5,FALSE),"")</f>
        <v>Andino</v>
      </c>
      <c r="J698" s="51"/>
      <c r="K698" s="50">
        <v>45976</v>
      </c>
      <c r="L698" s="39" t="str">
        <f>VLOOKUP($C698,Carpetas!$C$5:$L$2060,4,FALSE)</f>
        <v>Fray Bentos</v>
      </c>
      <c r="M698" s="55">
        <v>45978</v>
      </c>
      <c r="N698" s="53">
        <f t="shared" si="47"/>
        <v>23</v>
      </c>
      <c r="O698" s="51">
        <v>1680</v>
      </c>
      <c r="P698" s="51"/>
      <c r="Q698" s="51">
        <v>1680</v>
      </c>
      <c r="R698" s="51">
        <v>21</v>
      </c>
      <c r="S698" s="51"/>
      <c r="T698" s="65"/>
      <c r="U698" s="65"/>
      <c r="V698" s="65"/>
      <c r="W698" s="51"/>
      <c r="X698" s="66" t="s">
        <v>1547</v>
      </c>
    </row>
    <row r="699" hidden="1" ht="27.75" customHeight="1" s="32" customFormat="1">
      <c r="A699" s="37"/>
      <c r="B699" s="31" t="s">
        <v>32</v>
      </c>
      <c r="C699" s="59" t="s">
        <v>1548</v>
      </c>
      <c r="D699" s="57" t="s">
        <v>30</v>
      </c>
      <c r="E699" s="57">
        <v>45955</v>
      </c>
      <c r="F699" s="38" t="str">
        <f>IF(C699&lt;&gt;"",VLOOKUP($C699,Carpetas!$C$5:$L$2060,2,FALSE),"")</f>
        <v>ECE054</v>
      </c>
      <c r="G699" s="38" t="s">
        <v>43</v>
      </c>
      <c r="H699" s="44">
        <f>IF(C699&lt;&gt;"",VLOOKUP($C699,Carpetas!$C$5:$L$2060,9,FALSE),"")</f>
        <v>1539924</v>
      </c>
      <c r="I699" s="51" t="str">
        <f>IF(C699&lt;&gt;"",VLOOKUP($C699,Carpetas!$C$5:$L$2060,5,FALSE),"")</f>
        <v>Andino</v>
      </c>
      <c r="J699" s="51"/>
      <c r="K699" s="50">
        <v>45976</v>
      </c>
      <c r="L699" s="39" t="str">
        <f>VLOOKUP($C699,Carpetas!$C$5:$L$2060,4,FALSE)</f>
        <v>Fray Bentos</v>
      </c>
      <c r="M699" s="55">
        <v>45978</v>
      </c>
      <c r="N699" s="53">
        <f t="shared" si="47"/>
        <v>23</v>
      </c>
      <c r="O699" s="51">
        <v>1112</v>
      </c>
      <c r="P699" s="51"/>
      <c r="Q699" s="51"/>
      <c r="R699" s="51"/>
      <c r="S699" s="51"/>
      <c r="T699" s="65"/>
      <c r="U699" s="65"/>
      <c r="V699" s="65"/>
      <c r="W699" s="51"/>
      <c r="X699" s="66" t="s">
        <v>1549</v>
      </c>
    </row>
    <row r="700" hidden="1" ht="27.75" customHeight="1" s="32" customFormat="1">
      <c r="A700" s="37"/>
      <c r="B700" s="31" t="s">
        <v>32</v>
      </c>
      <c r="C700" s="59" t="s">
        <v>1550</v>
      </c>
      <c r="D700" s="57" t="s">
        <v>30</v>
      </c>
      <c r="E700" s="57">
        <v>45974</v>
      </c>
      <c r="F700" s="38" t="str">
        <f>IF(C700&lt;&gt;"",VLOOKUP($C700,Carpetas!$C$5:$L$2060,2,FALSE),"")</f>
        <v>BOB026</v>
      </c>
      <c r="G700" s="38" t="s">
        <v>43</v>
      </c>
      <c r="H700" s="44">
        <f>IF(C700&lt;&gt;"",VLOOKUP($C700,Carpetas!$C$5:$L$2060,9,FALSE),"")</f>
        <v>0</v>
      </c>
      <c r="I700" s="51" t="str">
        <f>IF(C700&lt;&gt;"",VLOOKUP($C700,Carpetas!$C$5:$L$2060,5,FALSE),"")</f>
        <v>Sur Central</v>
      </c>
      <c r="J700" s="51"/>
      <c r="K700" s="50">
        <v>45978</v>
      </c>
      <c r="L700" s="39" t="str">
        <f>VLOOKUP($C700,Carpetas!$C$5:$L$2060,4,FALSE)</f>
        <v>Salto</v>
      </c>
      <c r="M700" s="55">
        <v>45978</v>
      </c>
      <c r="N700" s="53">
        <f t="shared" si="47"/>
        <v>4</v>
      </c>
      <c r="O700" s="51">
        <v>1050</v>
      </c>
      <c r="P700" s="51"/>
      <c r="Q700" s="51">
        <v>1049</v>
      </c>
      <c r="R700" s="51" t="s">
        <v>1551</v>
      </c>
      <c r="S700" s="51">
        <v>20.5</v>
      </c>
      <c r="T700" s="65"/>
      <c r="U700" s="65"/>
      <c r="V700" s="65"/>
      <c r="W700" s="51"/>
      <c r="X700" s="66" t="s">
        <v>1552</v>
      </c>
    </row>
    <row r="701" hidden="1" ht="27.75" customHeight="1" s="32" customFormat="1">
      <c r="A701" s="37"/>
      <c r="B701" s="31" t="s">
        <v>32</v>
      </c>
      <c r="C701" s="59" t="s">
        <v>1553</v>
      </c>
      <c r="D701" s="57" t="s">
        <v>37</v>
      </c>
      <c r="E701" s="57">
        <v>45933</v>
      </c>
      <c r="F701" s="38" t="str">
        <f>IF(C701&lt;&gt;"",VLOOKUP($C701,Carpetas!$C$5:$L$2060,2,FALSE),"")</f>
        <v>GRK002</v>
      </c>
      <c r="G701" s="38" t="s">
        <v>833</v>
      </c>
      <c r="H701" s="44">
        <f>IF(C701&lt;&gt;"",VLOOKUP($C701,Carpetas!$C$5:$L$2060,9,FALSE),"")</f>
        <v>1537078</v>
      </c>
      <c r="I701" s="51" t="str">
        <f>IF(C701&lt;&gt;"",VLOOKUP($C701,Carpetas!$C$5:$L$2060,5,FALSE),"")</f>
        <v>Ciatran</v>
      </c>
      <c r="J701" s="51"/>
      <c r="K701" s="50">
        <v>45977</v>
      </c>
      <c r="L701" s="39" t="str">
        <f>VLOOKUP($C701,Carpetas!$C$5:$L$2060,4,FALSE)</f>
        <v>Montevideo</v>
      </c>
      <c r="M701" s="55">
        <v>45980</v>
      </c>
      <c r="N701" s="53">
        <f t="shared" si="47"/>
        <v>47</v>
      </c>
      <c r="O701" s="51">
        <v>2288</v>
      </c>
      <c r="P701" s="51"/>
      <c r="Q701" s="51">
        <v>2288</v>
      </c>
      <c r="R701" s="51">
        <v>21</v>
      </c>
      <c r="S701" s="51">
        <v>10</v>
      </c>
      <c r="T701" s="65"/>
      <c r="U701" s="65"/>
      <c r="V701" s="65" t="s">
        <v>93</v>
      </c>
      <c r="W701" s="51" t="s">
        <v>1067</v>
      </c>
      <c r="X701" s="66" t="s">
        <v>1554</v>
      </c>
    </row>
    <row r="702" hidden="1" ht="27.75" customHeight="1" s="32" customFormat="1">
      <c r="A702" s="37"/>
      <c r="B702" s="31" t="s">
        <v>32</v>
      </c>
      <c r="C702" s="59" t="s">
        <v>1555</v>
      </c>
      <c r="D702" s="57" t="s">
        <v>656</v>
      </c>
      <c r="E702" s="57">
        <v>45940</v>
      </c>
      <c r="F702" s="38" t="str">
        <f>IF(C702&lt;&gt;"",VLOOKUP($C702,Carpetas!$C$5:$L$2060,2,FALSE),"")</f>
        <v>EGP001</v>
      </c>
      <c r="G702" s="38" t="s">
        <v>657</v>
      </c>
      <c r="H702" s="44">
        <f>IF(C702&lt;&gt;"",VLOOKUP($C702,Carpetas!$C$5:$L$2060,9,FALSE),"")</f>
        <v>1534370</v>
      </c>
      <c r="I702" s="51" t="str">
        <f>IF(C702&lt;&gt;"",VLOOKUP($C702,Carpetas!$C$5:$L$2060,5,FALSE),"")</f>
        <v>Ciatran</v>
      </c>
      <c r="J702" s="51"/>
      <c r="K702" s="50">
        <v>45977</v>
      </c>
      <c r="L702" s="39" t="str">
        <f>VLOOKUP($C702,Carpetas!$C$5:$L$2060,4,FALSE)</f>
        <v>Montevideo</v>
      </c>
      <c r="M702" s="55">
        <v>45980</v>
      </c>
      <c r="N702" s="53">
        <f t="shared" si="47"/>
        <v>40</v>
      </c>
      <c r="O702" s="51">
        <v>1288</v>
      </c>
      <c r="P702" s="51"/>
      <c r="Q702" s="51"/>
      <c r="R702" s="51">
        <v>21</v>
      </c>
      <c r="S702" s="51"/>
      <c r="T702" s="65"/>
      <c r="U702" s="65"/>
      <c r="V702" s="65"/>
      <c r="W702" s="51"/>
      <c r="X702" s="66" t="s">
        <v>1556</v>
      </c>
    </row>
    <row r="703" hidden="1" ht="27.75" customHeight="1" s="32" customFormat="1">
      <c r="A703" s="37"/>
      <c r="B703" s="31" t="s">
        <v>32</v>
      </c>
      <c r="C703" s="59" t="s">
        <v>1557</v>
      </c>
      <c r="D703" s="57" t="s">
        <v>30</v>
      </c>
      <c r="E703" s="57">
        <v>45965</v>
      </c>
      <c r="F703" s="38" t="str">
        <f>IF(C703&lt;&gt;"",VLOOKUP($C703,Carpetas!$C$5:$L$2060,2,FALSE),"")</f>
        <v>ECB048</v>
      </c>
      <c r="G703" s="38" t="s">
        <v>43</v>
      </c>
      <c r="H703" s="44">
        <f>IF(C703&lt;&gt;"",VLOOKUP($C703,Carpetas!$C$5:$L$2060,9,FALSE),"")</f>
        <v>1546038</v>
      </c>
      <c r="I703" s="51" t="str">
        <f>IF(C703&lt;&gt;"",VLOOKUP($C703,Carpetas!$C$5:$L$2060,5,FALSE),"")</f>
        <v>Andino</v>
      </c>
      <c r="J703" s="51"/>
      <c r="K703" s="50">
        <v>45980</v>
      </c>
      <c r="L703" s="39" t="str">
        <f>VLOOKUP($C703,Carpetas!$C$5:$L$2060,4,FALSE)</f>
        <v>Fray Bentos</v>
      </c>
      <c r="M703" s="55">
        <f ref="M703:M727" t="shared" si="48">K703+1</f>
        <v>45981</v>
      </c>
      <c r="N703" s="53">
        <f t="shared" si="47"/>
        <v>16</v>
      </c>
      <c r="O703" s="51">
        <v>2160</v>
      </c>
      <c r="P703" s="51"/>
      <c r="Q703" s="51">
        <v>2160</v>
      </c>
      <c r="R703" s="51">
        <v>40</v>
      </c>
      <c r="S703" s="51"/>
      <c r="T703" s="65"/>
      <c r="U703" s="65"/>
      <c r="V703" s="65"/>
      <c r="W703" s="51"/>
      <c r="X703" s="66" t="s">
        <v>1558</v>
      </c>
    </row>
    <row r="704" hidden="1" ht="27.75" customHeight="1" s="32" customFormat="1">
      <c r="A704" s="37"/>
      <c r="B704" s="31" t="s">
        <v>32</v>
      </c>
      <c r="C704" s="59" t="s">
        <v>1559</v>
      </c>
      <c r="D704" s="57" t="s">
        <v>30</v>
      </c>
      <c r="E704" s="57">
        <v>45965</v>
      </c>
      <c r="F704" s="38" t="str">
        <f>IF(C704&lt;&gt;"",VLOOKUP($C704,Carpetas!$C$5:$L$2060,2,FALSE),"")</f>
        <v>ECE055</v>
      </c>
      <c r="G704" s="38" t="s">
        <v>43</v>
      </c>
      <c r="H704" s="44">
        <f>IF(C704&lt;&gt;"",VLOOKUP($C704,Carpetas!$C$5:$L$2060,9,FALSE),"")</f>
        <v>1530635</v>
      </c>
      <c r="I704" s="51" t="str">
        <f>IF(C704&lt;&gt;"",VLOOKUP($C704,Carpetas!$C$5:$L$2060,5,FALSE),"")</f>
        <v>Andino</v>
      </c>
      <c r="J704" s="51"/>
      <c r="K704" s="50">
        <v>45980</v>
      </c>
      <c r="L704" s="39" t="str">
        <f>VLOOKUP($C704,Carpetas!$C$5:$L$2060,4,FALSE)</f>
        <v>Fray Bentos</v>
      </c>
      <c r="M704" s="55">
        <f t="shared" si="48"/>
        <v>45981</v>
      </c>
      <c r="N704" s="53">
        <f t="shared" si="47"/>
        <v>16</v>
      </c>
      <c r="O704" s="51">
        <v>1080</v>
      </c>
      <c r="P704" s="51"/>
      <c r="Q704" s="51">
        <v>1080</v>
      </c>
      <c r="R704" s="51">
        <v>20</v>
      </c>
      <c r="S704" s="51">
        <v>21</v>
      </c>
      <c r="T704" s="65"/>
      <c r="U704" s="65"/>
      <c r="V704" s="65"/>
      <c r="W704" s="51"/>
      <c r="X704" s="66" t="s">
        <v>1560</v>
      </c>
    </row>
    <row r="705" hidden="1" ht="27.75" customHeight="1" s="32" customFormat="1">
      <c r="A705" s="37"/>
      <c r="B705" s="31" t="s">
        <v>32</v>
      </c>
      <c r="C705" s="59" t="s">
        <v>1561</v>
      </c>
      <c r="D705" s="57" t="s">
        <v>30</v>
      </c>
      <c r="E705" s="57">
        <v>45976</v>
      </c>
      <c r="F705" s="38" t="str">
        <f>IF(C705&lt;&gt;"",VLOOKUP($C705,Carpetas!$C$5:$L$2060,2,FALSE),"")</f>
        <v>BOB027</v>
      </c>
      <c r="G705" s="38" t="s">
        <v>31</v>
      </c>
      <c r="H705" s="44">
        <f>IF(C705&lt;&gt;"",VLOOKUP($C705,Carpetas!$C$5:$L$2060,9,FALSE),"")</f>
        <v>0</v>
      </c>
      <c r="I705" s="51" t="str">
        <f>IF(C705&lt;&gt;"",VLOOKUP($C705,Carpetas!$C$5:$L$2060,5,FALSE),"")</f>
        <v>El Palomar</v>
      </c>
      <c r="J705" s="51"/>
      <c r="K705" s="50">
        <v>45981</v>
      </c>
      <c r="L705" s="39" t="str">
        <f>VLOOKUP($C705,Carpetas!$C$5:$L$2060,4,FALSE)</f>
        <v>Salto</v>
      </c>
      <c r="M705" s="55">
        <f t="shared" si="48"/>
        <v>45982</v>
      </c>
      <c r="N705" s="53">
        <f t="shared" si="47"/>
        <v>6</v>
      </c>
      <c r="O705" s="51">
        <v>1104</v>
      </c>
      <c r="P705" s="51"/>
      <c r="Q705" s="51">
        <v>1104</v>
      </c>
      <c r="R705" s="51">
        <v>22</v>
      </c>
      <c r="S705" s="51">
        <v>21</v>
      </c>
      <c r="T705" s="65"/>
      <c r="U705" s="65"/>
      <c r="V705" s="65" t="s">
        <v>605</v>
      </c>
      <c r="W705" s="51" t="s">
        <v>1562</v>
      </c>
      <c r="X705" s="66" t="s">
        <v>1563</v>
      </c>
    </row>
    <row r="706" hidden="1" ht="27.75" customHeight="1" s="32" customFormat="1">
      <c r="A706" s="37"/>
      <c r="B706" s="31" t="s">
        <v>32</v>
      </c>
      <c r="C706" s="59" t="s">
        <v>1564</v>
      </c>
      <c r="D706" s="57" t="s">
        <v>42</v>
      </c>
      <c r="E706" s="57">
        <v>45965</v>
      </c>
      <c r="F706" s="38" t="str">
        <f>IF(C706&lt;&gt;"",VLOOKUP($C706,Carpetas!$C$5:$L$2060,2,FALSE),"")</f>
        <v>ECA026</v>
      </c>
      <c r="G706" s="38" t="s">
        <v>43</v>
      </c>
      <c r="H706" s="44">
        <f>IF(C706&lt;&gt;"",VLOOKUP($C706,Carpetas!$C$5:$L$2060,9,FALSE),"")</f>
        <v>1540640</v>
      </c>
      <c r="I706" s="51" t="str">
        <f>IF(C706&lt;&gt;"",VLOOKUP($C706,Carpetas!$C$5:$L$2060,5,FALSE),"")</f>
        <v>Andino</v>
      </c>
      <c r="J706" s="51"/>
      <c r="K706" s="50">
        <v>45981</v>
      </c>
      <c r="L706" s="39" t="str">
        <f>VLOOKUP($C706,Carpetas!$C$5:$L$2060,4,FALSE)</f>
        <v>Fray Bentos</v>
      </c>
      <c r="M706" s="55">
        <f t="shared" si="48"/>
        <v>45982</v>
      </c>
      <c r="N706" s="53">
        <f t="shared" si="47"/>
        <v>17</v>
      </c>
      <c r="O706" s="51">
        <v>1680</v>
      </c>
      <c r="P706" s="51"/>
      <c r="Q706" s="51">
        <v>1680</v>
      </c>
      <c r="R706" s="51">
        <v>21</v>
      </c>
      <c r="S706" s="51"/>
      <c r="T706" s="65"/>
      <c r="U706" s="65"/>
      <c r="V706" s="65" t="s">
        <v>1203</v>
      </c>
      <c r="W706" s="51" t="s">
        <v>1565</v>
      </c>
      <c r="X706" s="66" t="s">
        <v>1566</v>
      </c>
    </row>
    <row r="707" hidden="1" ht="27.75" customHeight="1" s="32" customFormat="1">
      <c r="A707" s="37"/>
      <c r="B707" s="31" t="s">
        <v>32</v>
      </c>
      <c r="C707" s="59" t="s">
        <v>1557</v>
      </c>
      <c r="D707" s="57" t="s">
        <v>30</v>
      </c>
      <c r="E707" s="57">
        <v>45965</v>
      </c>
      <c r="F707" s="38" t="str">
        <f>IF(C707&lt;&gt;"",VLOOKUP($C707,Carpetas!$C$5:$L$2060,2,FALSE),"")</f>
        <v>ECB048</v>
      </c>
      <c r="G707" s="38" t="s">
        <v>43</v>
      </c>
      <c r="H707" s="44">
        <f>IF(C707&lt;&gt;"",VLOOKUP($C707,Carpetas!$C$5:$L$2060,9,FALSE),"")</f>
        <v>1546038</v>
      </c>
      <c r="I707" s="51" t="str">
        <f>IF(C707&lt;&gt;"",VLOOKUP($C707,Carpetas!$C$5:$L$2060,5,FALSE),"")</f>
        <v>Andino</v>
      </c>
      <c r="J707" s="51"/>
      <c r="K707" s="50">
        <v>45981</v>
      </c>
      <c r="L707" s="39" t="str">
        <f>VLOOKUP($C707,Carpetas!$C$5:$L$2060,4,FALSE)</f>
        <v>Fray Bentos</v>
      </c>
      <c r="M707" s="55">
        <f t="shared" si="48"/>
        <v>45982</v>
      </c>
      <c r="N707" s="53">
        <f t="shared" si="47"/>
        <v>17</v>
      </c>
      <c r="O707" s="51">
        <v>1080</v>
      </c>
      <c r="P707" s="51"/>
      <c r="Q707" s="51">
        <v>1080</v>
      </c>
      <c r="R707" s="51">
        <v>20</v>
      </c>
      <c r="S707" s="51">
        <v>21</v>
      </c>
      <c r="T707" s="65"/>
      <c r="U707" s="65"/>
      <c r="V707" s="65" t="s">
        <v>302</v>
      </c>
      <c r="W707" s="51" t="s">
        <v>1567</v>
      </c>
      <c r="X707" s="66" t="s">
        <v>1568</v>
      </c>
    </row>
    <row r="708" hidden="1" ht="27.75" customHeight="1" s="32" customFormat="1">
      <c r="A708" s="37"/>
      <c r="B708" s="31" t="s">
        <v>32</v>
      </c>
      <c r="C708" s="59" t="s">
        <v>1569</v>
      </c>
      <c r="D708" s="57" t="s">
        <v>30</v>
      </c>
      <c r="E708" s="57">
        <v>45965</v>
      </c>
      <c r="F708" s="38" t="str">
        <f>IF(C708&lt;&gt;"",VLOOKUP($C708,Carpetas!$C$5:$L$2060,2,FALSE),"")</f>
        <v>ECB049</v>
      </c>
      <c r="G708" s="38" t="s">
        <v>43</v>
      </c>
      <c r="H708" s="44">
        <f>IF(C708&lt;&gt;"",VLOOKUP($C708,Carpetas!$C$5:$L$2060,9,FALSE),"")</f>
        <v>1540637</v>
      </c>
      <c r="I708" s="51" t="str">
        <f>IF(C708&lt;&gt;"",VLOOKUP($C708,Carpetas!$C$5:$L$2060,5,FALSE),"")</f>
        <v>Andino</v>
      </c>
      <c r="J708" s="51"/>
      <c r="K708" s="50">
        <v>45981</v>
      </c>
      <c r="L708" s="39" t="str">
        <f>VLOOKUP($C708,Carpetas!$C$5:$L$2060,4,FALSE)</f>
        <v>Fray Bentos</v>
      </c>
      <c r="M708" s="55">
        <f t="shared" si="48"/>
        <v>45982</v>
      </c>
      <c r="N708" s="53">
        <f t="shared" si="47"/>
        <v>17</v>
      </c>
      <c r="O708" s="51">
        <v>1080</v>
      </c>
      <c r="P708" s="51"/>
      <c r="Q708" s="51">
        <v>1080</v>
      </c>
      <c r="R708" s="51">
        <v>20</v>
      </c>
      <c r="S708" s="51">
        <v>21</v>
      </c>
      <c r="T708" s="65"/>
      <c r="U708" s="65"/>
      <c r="V708" s="65" t="s">
        <v>55</v>
      </c>
      <c r="W708" s="51" t="s">
        <v>325</v>
      </c>
      <c r="X708" s="66" t="s">
        <v>1570</v>
      </c>
    </row>
    <row r="709" hidden="1" ht="27.75" customHeight="1" s="32" customFormat="1">
      <c r="A709" s="37" t="s">
        <v>1571</v>
      </c>
      <c r="B709" s="31" t="s">
        <v>32</v>
      </c>
      <c r="C709" s="59" t="s">
        <v>1559</v>
      </c>
      <c r="D709" s="57" t="s">
        <v>30</v>
      </c>
      <c r="E709" s="57">
        <v>45965</v>
      </c>
      <c r="F709" s="38" t="str">
        <f>IF(C709&lt;&gt;"",VLOOKUP($C709,Carpetas!$C$5:$L$2060,2,FALSE),"")</f>
        <v>ECE055</v>
      </c>
      <c r="G709" s="38" t="s">
        <v>43</v>
      </c>
      <c r="H709" s="44">
        <f>IF(C709&lt;&gt;"",VLOOKUP($C709,Carpetas!$C$5:$L$2060,9,FALSE),"")</f>
        <v>1530635</v>
      </c>
      <c r="I709" s="51" t="str">
        <f>IF(C709&lt;&gt;"",VLOOKUP($C709,Carpetas!$C$5:$L$2060,5,FALSE),"")</f>
        <v>Andino</v>
      </c>
      <c r="J709" s="51"/>
      <c r="K709" s="50">
        <v>45981</v>
      </c>
      <c r="L709" s="39" t="str">
        <f>VLOOKUP($C709,Carpetas!$C$5:$L$2060,4,FALSE)</f>
        <v>Fray Bentos</v>
      </c>
      <c r="M709" s="55">
        <f t="shared" si="48"/>
        <v>45982</v>
      </c>
      <c r="N709" s="53">
        <f t="shared" si="47"/>
        <v>17</v>
      </c>
      <c r="O709" s="51">
        <v>2160</v>
      </c>
      <c r="P709" s="51"/>
      <c r="Q709" s="51">
        <v>2160</v>
      </c>
      <c r="R709" s="51">
        <v>40</v>
      </c>
      <c r="S709" s="51"/>
      <c r="T709" s="65"/>
      <c r="U709" s="65"/>
      <c r="V709" s="65" t="s">
        <v>60</v>
      </c>
      <c r="W709" s="51" t="s">
        <v>1572</v>
      </c>
      <c r="X709" s="66" t="s">
        <v>1573</v>
      </c>
    </row>
    <row r="710" hidden="1" ht="27.75" customHeight="1" s="32" customFormat="1">
      <c r="A710" s="37" t="s">
        <v>0</v>
      </c>
      <c r="B710" s="31" t="s">
        <v>32</v>
      </c>
      <c r="C710" s="59" t="s">
        <v>1574</v>
      </c>
      <c r="D710" s="57" t="s">
        <v>30</v>
      </c>
      <c r="E710" s="57">
        <v>45965</v>
      </c>
      <c r="F710" s="38" t="str">
        <f>IF(C710&lt;&gt;"",VLOOKUP($C710,Carpetas!$C$5:$L$2060,2,FALSE),"")</f>
        <v>ECE056</v>
      </c>
      <c r="G710" s="38" t="s">
        <v>43</v>
      </c>
      <c r="H710" s="44">
        <f>IF(C710&lt;&gt;"",VLOOKUP($C710,Carpetas!$C$5:$L$2060,9,FALSE),"")</f>
        <v>1530636</v>
      </c>
      <c r="I710" s="51" t="str">
        <f>IF(C710&lt;&gt;"",VLOOKUP($C710,Carpetas!$C$5:$L$2060,5,FALSE),"")</f>
        <v>Andino</v>
      </c>
      <c r="J710" s="51"/>
      <c r="K710" s="50">
        <v>45981</v>
      </c>
      <c r="L710" s="39" t="str">
        <f>VLOOKUP($C710,Carpetas!$C$5:$L$2060,4,FALSE)</f>
        <v>Fray Bentos</v>
      </c>
      <c r="M710" s="55">
        <f t="shared" si="48"/>
        <v>45982</v>
      </c>
      <c r="N710" s="53">
        <f t="shared" si="47"/>
        <v>17</v>
      </c>
      <c r="O710" s="51">
        <v>3240</v>
      </c>
      <c r="P710" s="51"/>
      <c r="Q710" s="51">
        <v>3240</v>
      </c>
      <c r="R710" s="51">
        <v>60</v>
      </c>
      <c r="S710" s="51">
        <v>21</v>
      </c>
      <c r="T710" s="65"/>
      <c r="U710" s="65"/>
      <c r="V710" s="65" t="s">
        <v>60</v>
      </c>
      <c r="W710" s="51" t="s">
        <v>1575</v>
      </c>
      <c r="X710" s="66" t="s">
        <v>1576</v>
      </c>
    </row>
    <row r="711" hidden="1" ht="27.75" customHeight="1" s="32" customFormat="1">
      <c r="A711" s="37"/>
      <c r="B711" s="31" t="s">
        <v>32</v>
      </c>
      <c r="C711" s="59" t="s">
        <v>1557</v>
      </c>
      <c r="D711" s="57" t="s">
        <v>30</v>
      </c>
      <c r="E711" s="57">
        <v>45965</v>
      </c>
      <c r="F711" s="38" t="str">
        <f>IF(C711&lt;&gt;"",VLOOKUP($C711,Carpetas!$C$5:$L$2060,2,FALSE),"")</f>
        <v>ECB048</v>
      </c>
      <c r="G711" s="38" t="s">
        <v>43</v>
      </c>
      <c r="H711" s="44">
        <f>IF(C711&lt;&gt;"",VLOOKUP($C711,Carpetas!$C$5:$L$2060,9,FALSE),"")</f>
        <v>1546038</v>
      </c>
      <c r="I711" s="51" t="str">
        <f>IF(C711&lt;&gt;"",VLOOKUP($C711,Carpetas!$C$5:$L$2060,5,FALSE),"")</f>
        <v>Andino</v>
      </c>
      <c r="J711" s="51"/>
      <c r="K711" s="50">
        <v>45982</v>
      </c>
      <c r="L711" s="39" t="str">
        <f>VLOOKUP($C711,Carpetas!$C$5:$L$2060,4,FALSE)</f>
        <v>Fray Bentos</v>
      </c>
      <c r="M711" s="55">
        <f t="shared" si="48"/>
        <v>45983</v>
      </c>
      <c r="N711" s="53">
        <f t="shared" si="47"/>
        <v>18</v>
      </c>
      <c r="O711" s="51">
        <v>1080</v>
      </c>
      <c r="P711" s="51"/>
      <c r="Q711" s="51">
        <v>1080</v>
      </c>
      <c r="R711" s="51">
        <v>20</v>
      </c>
      <c r="S711" s="51"/>
      <c r="T711" s="65"/>
      <c r="U711" s="65"/>
      <c r="V711" s="65"/>
      <c r="W711" s="51" t="s">
        <v>114</v>
      </c>
      <c r="X711" s="66" t="s">
        <v>1577</v>
      </c>
    </row>
    <row r="712" hidden="1" ht="27.75" customHeight="1" s="32" customFormat="1">
      <c r="A712" s="37"/>
      <c r="B712" s="31" t="s">
        <v>32</v>
      </c>
      <c r="C712" s="59" t="s">
        <v>1578</v>
      </c>
      <c r="D712" s="57" t="s">
        <v>48</v>
      </c>
      <c r="E712" s="57">
        <v>45978</v>
      </c>
      <c r="F712" s="38" t="str">
        <f>IF(C712&lt;&gt;"",VLOOKUP($C712,Carpetas!$C$5:$L$2060,2,FALSE),"")</f>
        <v>CLP028</v>
      </c>
      <c r="G712" s="38" t="s">
        <v>35</v>
      </c>
      <c r="H712" s="44">
        <f>IF(C712&lt;&gt;"",VLOOKUP($C712,Carpetas!$C$5:$L$2060,9,FALSE),"")</f>
        <v>1539814</v>
      </c>
      <c r="I712" s="51" t="str">
        <f>IF(C712&lt;&gt;"",VLOOKUP($C712,Carpetas!$C$5:$L$2060,5,FALSE),"")</f>
        <v>Valle Grande</v>
      </c>
      <c r="J712" s="51"/>
      <c r="K712" s="50">
        <v>45982</v>
      </c>
      <c r="L712" s="39" t="str">
        <f>VLOOKUP($C712,Carpetas!$C$5:$L$2060,4,FALSE)</f>
        <v>Fray Bentos</v>
      </c>
      <c r="M712" s="55">
        <f t="shared" si="48"/>
        <v>45983</v>
      </c>
      <c r="N712" s="53">
        <f t="shared" si="47"/>
        <v>5</v>
      </c>
      <c r="O712" s="51">
        <v>2112</v>
      </c>
      <c r="P712" s="51"/>
      <c r="Q712" s="51">
        <v>2112</v>
      </c>
      <c r="R712" s="51">
        <v>24</v>
      </c>
      <c r="S712" s="51"/>
      <c r="T712" s="65"/>
      <c r="U712" s="65"/>
      <c r="V712" s="65"/>
      <c r="W712" s="51" t="s">
        <v>888</v>
      </c>
      <c r="X712" s="66" t="s">
        <v>1579</v>
      </c>
    </row>
    <row r="713" hidden="1" ht="27.75" customHeight="1" s="32" customFormat="1">
      <c r="A713" s="37"/>
      <c r="B713" s="31" t="s">
        <v>32</v>
      </c>
      <c r="C713" s="59" t="s">
        <v>1580</v>
      </c>
      <c r="D713" s="57" t="s">
        <v>30</v>
      </c>
      <c r="E713" s="57">
        <v>45983</v>
      </c>
      <c r="F713" s="38" t="str">
        <f>IF(C713&lt;&gt;"",VLOOKUP($C713,Carpetas!$C$5:$L$2060,2,FALSE),"")</f>
        <v>BOB030</v>
      </c>
      <c r="G713" s="38" t="s">
        <v>31</v>
      </c>
      <c r="H713" s="44">
        <f>IF(C713&lt;&gt;"",VLOOKUP($C713,Carpetas!$C$5:$L$2060,9,FALSE),"")</f>
        <v>0</v>
      </c>
      <c r="I713" s="51" t="str">
        <f>IF(C713&lt;&gt;"",VLOOKUP($C713,Carpetas!$C$5:$L$2060,5,FALSE),"")</f>
        <v>Sur Central</v>
      </c>
      <c r="J713" s="51"/>
      <c r="K713" s="50">
        <v>45985</v>
      </c>
      <c r="L713" s="39" t="str">
        <f>VLOOKUP($C713,Carpetas!$C$5:$L$2060,4,FALSE)</f>
        <v>Salto</v>
      </c>
      <c r="M713" s="55">
        <f t="shared" si="48"/>
        <v>45986</v>
      </c>
      <c r="N713" s="53">
        <f t="shared" si="47"/>
        <v>3</v>
      </c>
      <c r="O713" s="51">
        <v>1050</v>
      </c>
      <c r="P713" s="51"/>
      <c r="Q713" s="51">
        <v>1050</v>
      </c>
      <c r="R713" s="51"/>
      <c r="S713" s="51"/>
      <c r="T713" s="65"/>
      <c r="U713" s="65"/>
      <c r="V713" s="65" t="s">
        <v>895</v>
      </c>
      <c r="W713" s="51"/>
      <c r="X713" s="66" t="s">
        <v>1581</v>
      </c>
    </row>
    <row r="714" hidden="1" ht="27.75" customHeight="1" s="32" customFormat="1">
      <c r="A714" s="37"/>
      <c r="B714" s="31" t="s">
        <v>32</v>
      </c>
      <c r="C714" s="59" t="s">
        <v>1582</v>
      </c>
      <c r="D714" s="57" t="s">
        <v>30</v>
      </c>
      <c r="E714" s="57">
        <v>45977</v>
      </c>
      <c r="F714" s="38" t="str">
        <f>IF(C714&lt;&gt;"",VLOOKUP($C714,Carpetas!$C$5:$L$2060,2,FALSE),"")</f>
        <v>BOB029</v>
      </c>
      <c r="G714" s="38" t="s">
        <v>31</v>
      </c>
      <c r="H714" s="44">
        <f>IF(C714&lt;&gt;"",VLOOKUP($C714,Carpetas!$C$5:$L$2060,9,FALSE),"")</f>
        <v>0</v>
      </c>
      <c r="I714" s="51" t="str">
        <f>IF(C714&lt;&gt;"",VLOOKUP($C714,Carpetas!$C$5:$L$2060,5,FALSE),"")</f>
        <v>Sur Central</v>
      </c>
      <c r="J714" s="51"/>
      <c r="K714" s="50">
        <v>45985</v>
      </c>
      <c r="L714" s="39" t="str">
        <f>VLOOKUP($C714,Carpetas!$C$5:$L$2060,4,FALSE)</f>
        <v>Salto</v>
      </c>
      <c r="M714" s="55">
        <f t="shared" si="48"/>
        <v>45986</v>
      </c>
      <c r="N714" s="53">
        <f t="shared" si="47"/>
        <v>9</v>
      </c>
      <c r="O714" s="51">
        <v>1050</v>
      </c>
      <c r="P714" s="51"/>
      <c r="Q714" s="51">
        <v>1050</v>
      </c>
      <c r="R714" s="51"/>
      <c r="S714" s="51"/>
      <c r="T714" s="65"/>
      <c r="U714" s="65"/>
      <c r="V714" s="65" t="s">
        <v>895</v>
      </c>
      <c r="W714" s="51"/>
      <c r="X714" s="66" t="s">
        <v>1581</v>
      </c>
    </row>
    <row r="715" hidden="1" ht="27.75" customHeight="1" s="32" customFormat="1">
      <c r="A715" s="37"/>
      <c r="B715" s="31" t="s">
        <v>32</v>
      </c>
      <c r="C715" s="59" t="s">
        <v>1583</v>
      </c>
      <c r="D715" s="57" t="s">
        <v>30</v>
      </c>
      <c r="E715" s="57">
        <v>45972</v>
      </c>
      <c r="F715" s="38" t="str">
        <f>IF(C715&lt;&gt;"",VLOOKUP($C715,Carpetas!$C$5:$L$2060,2,FALSE),"")</f>
        <v>ECE057</v>
      </c>
      <c r="G715" s="38" t="s">
        <v>43</v>
      </c>
      <c r="H715" s="44">
        <f>IF(C715&lt;&gt;"",VLOOKUP($C715,Carpetas!$C$5:$L$2060,9,FALSE),"")</f>
        <v>1541232</v>
      </c>
      <c r="I715" s="51" t="str">
        <f>IF(C715&lt;&gt;"",VLOOKUP($C715,Carpetas!$C$5:$L$2060,5,FALSE),"")</f>
        <v>Andino</v>
      </c>
      <c r="J715" s="51"/>
      <c r="K715" s="50">
        <v>45987</v>
      </c>
      <c r="L715" s="39" t="str">
        <f>VLOOKUP($C715,Carpetas!$C$5:$L$2060,4,FALSE)</f>
        <v>Fray Bentos</v>
      </c>
      <c r="M715" s="55">
        <f t="shared" si="48"/>
        <v>45988</v>
      </c>
      <c r="N715" s="53">
        <f t="shared" si="47"/>
        <v>16</v>
      </c>
      <c r="O715" s="51">
        <v>1080</v>
      </c>
      <c r="P715" s="51"/>
      <c r="Q715" s="51">
        <v>1080</v>
      </c>
      <c r="R715" s="51">
        <v>20</v>
      </c>
      <c r="S715" s="51"/>
      <c r="T715" s="65"/>
      <c r="U715" s="65"/>
      <c r="V715" s="65" t="s">
        <v>1584</v>
      </c>
      <c r="W715" s="51"/>
      <c r="X715" s="66" t="s">
        <v>1585</v>
      </c>
    </row>
    <row r="716" hidden="1" ht="27.75" customHeight="1" s="32" customFormat="1">
      <c r="A716" s="37"/>
      <c r="B716" s="31" t="s">
        <v>32</v>
      </c>
      <c r="C716" s="59" t="s">
        <v>1586</v>
      </c>
      <c r="D716" s="57" t="s">
        <v>30</v>
      </c>
      <c r="E716" s="57">
        <v>45983</v>
      </c>
      <c r="F716" s="38" t="str">
        <f>IF(C716&lt;&gt;"",VLOOKUP($C716,Carpetas!$C$5:$L$2060,2,FALSE),"")</f>
        <v>BOB028</v>
      </c>
      <c r="G716" s="38" t="s">
        <v>31</v>
      </c>
      <c r="H716" s="44">
        <f>IF(C716&lt;&gt;"",VLOOKUP($C716,Carpetas!$C$5:$L$2060,9,FALSE),"")</f>
        <v>0</v>
      </c>
      <c r="I716" s="51" t="str">
        <f>IF(C716&lt;&gt;"",VLOOKUP($C716,Carpetas!$C$5:$L$2060,5,FALSE),"")</f>
        <v>El Palomar</v>
      </c>
      <c r="J716" s="51"/>
      <c r="K716" s="50">
        <v>45988</v>
      </c>
      <c r="L716" s="39" t="str">
        <f>VLOOKUP($C716,Carpetas!$C$5:$L$2060,4,FALSE)</f>
        <v>Salto</v>
      </c>
      <c r="M716" s="55">
        <f t="shared" si="48"/>
        <v>45989</v>
      </c>
      <c r="N716" s="53">
        <f t="shared" si="47"/>
        <v>6</v>
      </c>
      <c r="O716" s="51">
        <v>1104</v>
      </c>
      <c r="P716" s="51"/>
      <c r="Q716" s="51">
        <v>1104</v>
      </c>
      <c r="R716" s="51"/>
      <c r="S716" s="51"/>
      <c r="T716" s="65"/>
      <c r="U716" s="65"/>
      <c r="V716" s="65" t="s">
        <v>605</v>
      </c>
      <c r="W716" s="51"/>
      <c r="X716" s="66" t="s">
        <v>1587</v>
      </c>
    </row>
    <row r="717" hidden="1" ht="27.75" customHeight="1" s="32" customFormat="1">
      <c r="A717" s="37"/>
      <c r="B717" s="31" t="s">
        <v>32</v>
      </c>
      <c r="C717" s="59" t="s">
        <v>1588</v>
      </c>
      <c r="D717" s="57" t="s">
        <v>30</v>
      </c>
      <c r="E717" s="57">
        <v>45981</v>
      </c>
      <c r="F717" s="38" t="str">
        <f>IF(C717&lt;&gt;"",VLOOKUP($C717,Carpetas!$C$5:$L$2060,2,FALSE),"")</f>
        <v>BOB031</v>
      </c>
      <c r="G717" s="38" t="s">
        <v>31</v>
      </c>
      <c r="H717" s="44">
        <f>IF(C717&lt;&gt;"",VLOOKUP($C717,Carpetas!$C$5:$L$2060,9,FALSE),"")</f>
        <v>0</v>
      </c>
      <c r="I717" s="51" t="str">
        <f>IF(C717&lt;&gt;"",VLOOKUP($C717,Carpetas!$C$5:$L$2060,5,FALSE),"")</f>
        <v>Sintercargas </v>
      </c>
      <c r="J717" s="51"/>
      <c r="K717" s="50">
        <v>45988</v>
      </c>
      <c r="L717" s="39" t="str">
        <f>VLOOKUP($C717,Carpetas!$C$5:$L$2060,4,FALSE)</f>
        <v>Salto</v>
      </c>
      <c r="M717" s="55">
        <f t="shared" si="48"/>
        <v>45989</v>
      </c>
      <c r="N717" s="53">
        <f t="shared" si="47"/>
        <v>8</v>
      </c>
      <c r="O717" s="51">
        <v>1000</v>
      </c>
      <c r="P717" s="51"/>
      <c r="Q717" s="51">
        <v>1000</v>
      </c>
      <c r="R717" s="51"/>
      <c r="S717" s="51"/>
      <c r="T717" s="65"/>
      <c r="U717" s="65"/>
      <c r="V717" s="65" t="s">
        <v>1589</v>
      </c>
      <c r="W717" s="51"/>
      <c r="X717" s="66" t="s">
        <v>1590</v>
      </c>
    </row>
    <row r="718" hidden="1" ht="27.75" customHeight="1" s="32" customFormat="1">
      <c r="A718" s="37"/>
      <c r="B718" s="31" t="s">
        <v>32</v>
      </c>
      <c r="C718" s="59" t="s">
        <v>1580</v>
      </c>
      <c r="D718" s="57" t="s">
        <v>30</v>
      </c>
      <c r="E718" s="57">
        <v>45984</v>
      </c>
      <c r="F718" s="38" t="str">
        <f>IF(C718&lt;&gt;"",VLOOKUP($C718,Carpetas!$C$5:$L$2060,2,FALSE),"")</f>
        <v>BOB030</v>
      </c>
      <c r="G718" s="38" t="s">
        <v>31</v>
      </c>
      <c r="H718" s="44">
        <f>IF(C718&lt;&gt;"",VLOOKUP($C718,Carpetas!$C$5:$L$2060,9,FALSE),"")</f>
        <v>0</v>
      </c>
      <c r="I718" s="51" t="str">
        <f>IF(C718&lt;&gt;"",VLOOKUP($C718,Carpetas!$C$5:$L$2060,5,FALSE),"")</f>
        <v>Sur Central</v>
      </c>
      <c r="J718" s="51"/>
      <c r="K718" s="50">
        <v>45988</v>
      </c>
      <c r="L718" s="39" t="str">
        <f>VLOOKUP($C718,Carpetas!$C$5:$L$2060,4,FALSE)</f>
        <v>Salto</v>
      </c>
      <c r="M718" s="55">
        <f t="shared" si="48"/>
        <v>45989</v>
      </c>
      <c r="N718" s="53">
        <f t="shared" si="47"/>
        <v>5</v>
      </c>
      <c r="O718" s="51">
        <v>1050</v>
      </c>
      <c r="P718" s="51"/>
      <c r="Q718" s="51">
        <v>1050</v>
      </c>
      <c r="R718" s="51"/>
      <c r="S718" s="51"/>
      <c r="T718" s="65"/>
      <c r="U718" s="65"/>
      <c r="V718" s="65" t="s">
        <v>895</v>
      </c>
      <c r="W718" s="51" t="s">
        <v>1591</v>
      </c>
      <c r="X718" s="66" t="s">
        <v>1592</v>
      </c>
    </row>
    <row r="719" hidden="1" ht="27.75" customHeight="1" s="32" customFormat="1">
      <c r="A719" s="37"/>
      <c r="B719" s="31" t="s">
        <v>32</v>
      </c>
      <c r="C719" s="59" t="s">
        <v>1593</v>
      </c>
      <c r="D719" s="57" t="s">
        <v>30</v>
      </c>
      <c r="E719" s="57">
        <v>45972</v>
      </c>
      <c r="F719" s="38" t="str">
        <f>IF(C719&lt;&gt;"",VLOOKUP($C719,Carpetas!$C$5:$L$2060,2,FALSE),"")</f>
        <v>ECB050a</v>
      </c>
      <c r="G719" s="38" t="s">
        <v>43</v>
      </c>
      <c r="H719" s="44">
        <f>IF(C719&lt;&gt;"",VLOOKUP($C719,Carpetas!$C$5:$L$2060,9,FALSE),"")</f>
        <v>1541230</v>
      </c>
      <c r="I719" s="51" t="str">
        <f>IF(C719&lt;&gt;"",VLOOKUP($C719,Carpetas!$C$5:$L$2060,5,FALSE),"")</f>
        <v>Andino</v>
      </c>
      <c r="J719" s="51"/>
      <c r="K719" s="50">
        <v>45988</v>
      </c>
      <c r="L719" s="39" t="str">
        <f>VLOOKUP($C719,Carpetas!$C$5:$L$2060,4,FALSE)</f>
        <v>Fray Bentos</v>
      </c>
      <c r="M719" s="55">
        <f t="shared" si="48"/>
        <v>45989</v>
      </c>
      <c r="N719" s="53">
        <f t="shared" si="47"/>
        <v>17</v>
      </c>
      <c r="O719" s="51">
        <v>3240</v>
      </c>
      <c r="P719" s="51"/>
      <c r="Q719" s="51" t="s">
        <v>1594</v>
      </c>
      <c r="R719" s="51"/>
      <c r="S719" s="51"/>
      <c r="T719" s="65"/>
      <c r="U719" s="65"/>
      <c r="V719" s="65"/>
      <c r="W719" s="51"/>
      <c r="X719" s="66" t="s">
        <v>1595</v>
      </c>
    </row>
    <row r="720" hidden="1" ht="27.75" customHeight="1" s="32" customFormat="1">
      <c r="A720" s="37"/>
      <c r="B720" s="31" t="s">
        <v>32</v>
      </c>
      <c r="C720" s="59" t="s">
        <v>1583</v>
      </c>
      <c r="D720" s="57" t="s">
        <v>30</v>
      </c>
      <c r="E720" s="57">
        <v>45972</v>
      </c>
      <c r="F720" s="38" t="str">
        <f>IF(C720&lt;&gt;"",VLOOKUP($C720,Carpetas!$C$5:$L$2060,2,FALSE),"")</f>
        <v>ECE057</v>
      </c>
      <c r="G720" s="38" t="s">
        <v>43</v>
      </c>
      <c r="H720" s="44">
        <f>IF(C720&lt;&gt;"",VLOOKUP($C720,Carpetas!$C$5:$L$2060,9,FALSE),"")</f>
        <v>1541232</v>
      </c>
      <c r="I720" s="51" t="str">
        <f>IF(C720&lt;&gt;"",VLOOKUP($C720,Carpetas!$C$5:$L$2060,5,FALSE),"")</f>
        <v>Andino</v>
      </c>
      <c r="J720" s="51"/>
      <c r="K720" s="50">
        <v>45988</v>
      </c>
      <c r="L720" s="39" t="str">
        <f>VLOOKUP($C720,Carpetas!$C$5:$L$2060,4,FALSE)</f>
        <v>Fray Bentos</v>
      </c>
      <c r="M720" s="55">
        <f t="shared" si="48"/>
        <v>45989</v>
      </c>
      <c r="N720" s="53">
        <f t="shared" si="47"/>
        <v>17</v>
      </c>
      <c r="O720" s="51">
        <v>1080</v>
      </c>
      <c r="P720" s="51"/>
      <c r="Q720" s="51">
        <v>1080</v>
      </c>
      <c r="R720" s="51"/>
      <c r="S720" s="51"/>
      <c r="T720" s="65"/>
      <c r="U720" s="65"/>
      <c r="V720" s="65" t="s">
        <v>60</v>
      </c>
      <c r="W720" s="51"/>
      <c r="X720" s="66" t="s">
        <v>1596</v>
      </c>
    </row>
    <row r="721" hidden="1" ht="27.75" customHeight="1" s="32" customFormat="1">
      <c r="A721" s="37"/>
      <c r="B721" s="31" t="s">
        <v>32</v>
      </c>
      <c r="C721" s="59" t="s">
        <v>1597</v>
      </c>
      <c r="D721" s="57" t="s">
        <v>30</v>
      </c>
      <c r="E721" s="57">
        <v>45972</v>
      </c>
      <c r="F721" s="38" t="str">
        <f>IF(C721&lt;&gt;"",VLOOKUP($C721,Carpetas!$C$5:$L$2060,2,FALSE),"")</f>
        <v>ECI001</v>
      </c>
      <c r="G721" s="38" t="s">
        <v>43</v>
      </c>
      <c r="H721" s="44">
        <f>IF(C721&lt;&gt;"",VLOOKUP($C721,Carpetas!$C$5:$L$2060,9,FALSE),"")</f>
        <v>1540862</v>
      </c>
      <c r="I721" s="51" t="str">
        <f>IF(C721&lt;&gt;"",VLOOKUP($C721,Carpetas!$C$5:$L$2060,5,FALSE),"")</f>
        <v>Andino</v>
      </c>
      <c r="J721" s="51"/>
      <c r="K721" s="50">
        <v>45988</v>
      </c>
      <c r="L721" s="39" t="str">
        <f>VLOOKUP($C721,Carpetas!$C$5:$L$2060,4,FALSE)</f>
        <v>Fray Bentos</v>
      </c>
      <c r="M721" s="55">
        <f t="shared" si="48"/>
        <v>45989</v>
      </c>
      <c r="N721" s="53">
        <f t="shared" si="47"/>
        <v>17</v>
      </c>
      <c r="O721" s="51">
        <v>1080</v>
      </c>
      <c r="P721" s="51"/>
      <c r="Q721" s="51">
        <v>1080</v>
      </c>
      <c r="R721" s="51">
        <v>20</v>
      </c>
      <c r="S721" s="51">
        <v>20</v>
      </c>
      <c r="T721" s="65"/>
      <c r="U721" s="65"/>
      <c r="V721" s="65" t="s">
        <v>1598</v>
      </c>
      <c r="W721" s="51"/>
      <c r="X721" s="66" t="s">
        <v>1599</v>
      </c>
    </row>
    <row r="722" hidden="1" ht="27.75" customHeight="1" s="32" customFormat="1">
      <c r="A722" s="37"/>
      <c r="B722" s="31" t="s">
        <v>32</v>
      </c>
      <c r="C722" s="59" t="s">
        <v>1600</v>
      </c>
      <c r="D722" s="57" t="s">
        <v>42</v>
      </c>
      <c r="E722" s="57">
        <v>45972</v>
      </c>
      <c r="F722" s="38" t="str">
        <f>IF(C722&lt;&gt;"",VLOOKUP($C722,Carpetas!$C$5:$L$2060,2,FALSE),"")</f>
        <v>ECA027</v>
      </c>
      <c r="G722" s="38" t="s">
        <v>43</v>
      </c>
      <c r="H722" s="44">
        <f>IF(C722&lt;&gt;"",VLOOKUP($C722,Carpetas!$C$5:$L$2060,9,FALSE),"")</f>
        <v>1541234</v>
      </c>
      <c r="I722" s="51" t="str">
        <f>IF(C722&lt;&gt;"",VLOOKUP($C722,Carpetas!$C$5:$L$2060,5,FALSE),"")</f>
        <v>Andino</v>
      </c>
      <c r="J722" s="51"/>
      <c r="K722" s="50">
        <v>45988</v>
      </c>
      <c r="L722" s="39" t="str">
        <f>VLOOKUP($C722,Carpetas!$C$5:$L$2060,4,FALSE)</f>
        <v>Fray Bentos</v>
      </c>
      <c r="M722" s="55">
        <f t="shared" si="48"/>
        <v>45989</v>
      </c>
      <c r="N722" s="53">
        <f t="shared" si="47"/>
        <v>17</v>
      </c>
      <c r="O722" s="51">
        <v>1680</v>
      </c>
      <c r="P722" s="51"/>
      <c r="Q722" s="51">
        <v>1680</v>
      </c>
      <c r="R722" s="51">
        <v>21</v>
      </c>
      <c r="S722" s="51"/>
      <c r="T722" s="65"/>
      <c r="U722" s="65"/>
      <c r="V722" s="65"/>
      <c r="W722" s="51"/>
      <c r="X722" s="66" t="s">
        <v>1601</v>
      </c>
    </row>
    <row r="723" hidden="1" ht="27.75" customHeight="1" s="32" customFormat="1">
      <c r="A723" s="37"/>
      <c r="B723" s="31" t="s">
        <v>32</v>
      </c>
      <c r="C723" s="59" t="s">
        <v>1602</v>
      </c>
      <c r="D723" s="57" t="s">
        <v>30</v>
      </c>
      <c r="E723" s="57">
        <v>45972</v>
      </c>
      <c r="F723" s="38" t="str">
        <f>IF(C723&lt;&gt;"",VLOOKUP($C723,Carpetas!$C$5:$L$2060,2,FALSE),"")</f>
        <v>ECE059</v>
      </c>
      <c r="G723" s="38" t="s">
        <v>43</v>
      </c>
      <c r="H723" s="44">
        <f>IF(C723&lt;&gt;"",VLOOKUP($C723,Carpetas!$C$5:$L$2060,9,FALSE),"")</f>
        <v>1541233</v>
      </c>
      <c r="I723" s="51" t="str">
        <f>IF(C723&lt;&gt;"",VLOOKUP($C723,Carpetas!$C$5:$L$2060,5,FALSE),"")</f>
        <v>Andino</v>
      </c>
      <c r="J723" s="51"/>
      <c r="K723" s="50">
        <v>45988</v>
      </c>
      <c r="L723" s="39" t="str">
        <f>VLOOKUP($C723,Carpetas!$C$5:$L$2060,4,FALSE)</f>
        <v>Fray Bentos</v>
      </c>
      <c r="M723" s="55">
        <f t="shared" si="48"/>
        <v>45989</v>
      </c>
      <c r="N723" s="53">
        <f t="shared" si="47"/>
        <v>17</v>
      </c>
      <c r="O723" s="51">
        <v>1112</v>
      </c>
      <c r="P723" s="51"/>
      <c r="Q723" s="51">
        <v>1128</v>
      </c>
      <c r="R723" s="51">
        <v>20</v>
      </c>
      <c r="S723" s="51"/>
      <c r="T723" s="65"/>
      <c r="U723" s="65"/>
      <c r="V723" s="65"/>
      <c r="W723" s="51"/>
      <c r="X723" s="66" t="s">
        <v>1603</v>
      </c>
    </row>
    <row r="724" hidden="1" ht="27.75" customHeight="1" s="32" customFormat="1">
      <c r="A724" s="37"/>
      <c r="B724" s="31" t="s">
        <v>32</v>
      </c>
      <c r="C724" s="59" t="s">
        <v>1593</v>
      </c>
      <c r="D724" s="57" t="s">
        <v>30</v>
      </c>
      <c r="E724" s="57">
        <v>45972</v>
      </c>
      <c r="F724" s="38" t="str">
        <f>IF(C724&lt;&gt;"",VLOOKUP($C724,Carpetas!$C$5:$L$2060,2,FALSE),"")</f>
        <v>ECB050a</v>
      </c>
      <c r="G724" s="38" t="s">
        <v>43</v>
      </c>
      <c r="H724" s="44">
        <f>IF(C724&lt;&gt;"",VLOOKUP($C724,Carpetas!$C$5:$L$2060,9,FALSE),"")</f>
        <v>1541230</v>
      </c>
      <c r="I724" s="51" t="str">
        <f>IF(C724&lt;&gt;"",VLOOKUP($C724,Carpetas!$C$5:$L$2060,5,FALSE),"")</f>
        <v>Andino</v>
      </c>
      <c r="J724" s="51"/>
      <c r="K724" s="50">
        <v>45989</v>
      </c>
      <c r="L724" s="39" t="str">
        <f>VLOOKUP($C724,Carpetas!$C$5:$L$2060,4,FALSE)</f>
        <v>Fray Bentos</v>
      </c>
      <c r="M724" s="55">
        <f t="shared" si="48"/>
        <v>45990</v>
      </c>
      <c r="N724" s="53">
        <f t="shared" si="47"/>
        <v>18</v>
      </c>
      <c r="O724" s="51">
        <v>1080</v>
      </c>
      <c r="P724" s="51"/>
      <c r="Q724" s="51">
        <v>1080</v>
      </c>
      <c r="R724" s="51">
        <v>20</v>
      </c>
      <c r="S724" s="51"/>
      <c r="T724" s="65"/>
      <c r="U724" s="65"/>
      <c r="V724" s="65"/>
      <c r="W724" s="51"/>
      <c r="X724" s="66" t="s">
        <v>1604</v>
      </c>
    </row>
    <row r="725" hidden="1" ht="27.75" customHeight="1" s="32" customFormat="1">
      <c r="A725" s="37"/>
      <c r="B725" s="31" t="s">
        <v>32</v>
      </c>
      <c r="C725" s="59" t="s">
        <v>1605</v>
      </c>
      <c r="D725" s="57" t="s">
        <v>30</v>
      </c>
      <c r="E725" s="57">
        <v>45972</v>
      </c>
      <c r="F725" s="38" t="str">
        <f>IF(C725&lt;&gt;"",VLOOKUP($C725,Carpetas!$C$5:$L$2060,2,FALSE),"")</f>
        <v>ECB050b</v>
      </c>
      <c r="G725" s="38" t="s">
        <v>43</v>
      </c>
      <c r="H725" s="44">
        <f>IF(C725&lt;&gt;"",VLOOKUP($C725,Carpetas!$C$5:$L$2060,9,FALSE),"")</f>
        <v>1541230</v>
      </c>
      <c r="I725" s="51" t="str">
        <f>IF(C725&lt;&gt;"",VLOOKUP($C725,Carpetas!$C$5:$L$2060,5,FALSE),"")</f>
        <v>Andino</v>
      </c>
      <c r="J725" s="51"/>
      <c r="K725" s="50">
        <v>45989</v>
      </c>
      <c r="L725" s="39" t="str">
        <f>VLOOKUP($C725,Carpetas!$C$5:$L$2060,4,FALSE)</f>
        <v>Fray Bentos</v>
      </c>
      <c r="M725" s="55">
        <f t="shared" si="48"/>
        <v>45990</v>
      </c>
      <c r="N725" s="53">
        <f t="shared" si="47"/>
        <v>18</v>
      </c>
      <c r="O725" s="51">
        <v>1080</v>
      </c>
      <c r="P725" s="51"/>
      <c r="Q725" s="51">
        <v>1080</v>
      </c>
      <c r="R725" s="51"/>
      <c r="S725" s="51"/>
      <c r="T725" s="65"/>
      <c r="U725" s="65"/>
      <c r="V725" s="65" t="s">
        <v>55</v>
      </c>
      <c r="W725" s="51"/>
      <c r="X725" s="66" t="s">
        <v>1606</v>
      </c>
    </row>
    <row r="726" hidden="1" ht="27.75" customHeight="1" s="32" customFormat="1">
      <c r="A726" s="37"/>
      <c r="B726" s="31" t="s">
        <v>32</v>
      </c>
      <c r="C726" s="59" t="s">
        <v>1583</v>
      </c>
      <c r="D726" s="57" t="s">
        <v>30</v>
      </c>
      <c r="E726" s="57">
        <v>45972</v>
      </c>
      <c r="F726" s="38" t="str">
        <f>IF(C726&lt;&gt;"",VLOOKUP($C726,Carpetas!$C$5:$L$2060,2,FALSE),"")</f>
        <v>ECE057</v>
      </c>
      <c r="G726" s="38" t="s">
        <v>43</v>
      </c>
      <c r="H726" s="44">
        <f>IF(C726&lt;&gt;"",VLOOKUP($C726,Carpetas!$C$5:$L$2060,9,FALSE),"")</f>
        <v>1541232</v>
      </c>
      <c r="I726" s="51" t="str">
        <f>IF(C726&lt;&gt;"",VLOOKUP($C726,Carpetas!$C$5:$L$2060,5,FALSE),"")</f>
        <v>Andino</v>
      </c>
      <c r="J726" s="51"/>
      <c r="K726" s="50">
        <v>45989</v>
      </c>
      <c r="L726" s="39" t="str">
        <f>VLOOKUP($C726,Carpetas!$C$5:$L$2060,4,FALSE)</f>
        <v>Fray Bentos</v>
      </c>
      <c r="M726" s="55">
        <f t="shared" si="48"/>
        <v>45990</v>
      </c>
      <c r="N726" s="53">
        <f t="shared" si="47"/>
        <v>18</v>
      </c>
      <c r="O726" s="51">
        <v>1080</v>
      </c>
      <c r="P726" s="51"/>
      <c r="Q726" s="51">
        <v>1080</v>
      </c>
      <c r="R726" s="51"/>
      <c r="S726" s="51"/>
      <c r="T726" s="65"/>
      <c r="U726" s="65"/>
      <c r="V726" s="65"/>
      <c r="W726" s="51"/>
      <c r="X726" s="66" t="s">
        <v>1607</v>
      </c>
    </row>
    <row r="727" hidden="1" ht="27.75" customHeight="1" s="32" customFormat="1">
      <c r="A727" s="37"/>
      <c r="B727" s="31" t="s">
        <v>32</v>
      </c>
      <c r="C727" s="59" t="s">
        <v>1608</v>
      </c>
      <c r="D727" s="57" t="s">
        <v>30</v>
      </c>
      <c r="E727" s="57">
        <v>45972</v>
      </c>
      <c r="F727" s="38" t="str">
        <f>IF(C727&lt;&gt;"",VLOOKUP($C727,Carpetas!$C$5:$L$2060,2,FALSE),"")</f>
        <v>ECE058</v>
      </c>
      <c r="G727" s="38" t="s">
        <v>43</v>
      </c>
      <c r="H727" s="44">
        <f>IF(C727&lt;&gt;"",VLOOKUP($C727,Carpetas!$C$5:$L$2060,9,FALSE),"")</f>
        <v>1541235</v>
      </c>
      <c r="I727" s="51" t="str">
        <f>IF(C727&lt;&gt;"",VLOOKUP($C727,Carpetas!$C$5:$L$2060,5,FALSE),"")</f>
        <v>Andino</v>
      </c>
      <c r="J727" s="51"/>
      <c r="K727" s="50">
        <v>45989</v>
      </c>
      <c r="L727" s="39" t="str">
        <f>VLOOKUP($C727,Carpetas!$C$5:$L$2060,4,FALSE)</f>
        <v>Fray Bentos</v>
      </c>
      <c r="M727" s="55">
        <f t="shared" si="48"/>
        <v>45990</v>
      </c>
      <c r="N727" s="53">
        <f t="shared" si="47"/>
        <v>18</v>
      </c>
      <c r="O727" s="51">
        <v>2160</v>
      </c>
      <c r="P727" s="51"/>
      <c r="Q727" s="51">
        <v>1080</v>
      </c>
      <c r="R727" s="51">
        <v>20</v>
      </c>
      <c r="S727" s="51"/>
      <c r="T727" s="65"/>
      <c r="U727" s="65"/>
      <c r="V727" s="65"/>
      <c r="W727" s="51"/>
      <c r="X727" s="66" t="s">
        <v>1609</v>
      </c>
    </row>
    <row r="728" hidden="1" ht="27.75" customHeight="1" s="32" customFormat="1">
      <c r="A728" s="37"/>
      <c r="B728" s="31" t="s">
        <v>32</v>
      </c>
      <c r="C728" s="59" t="s">
        <v>1610</v>
      </c>
      <c r="D728" s="57" t="s">
        <v>765</v>
      </c>
      <c r="E728" s="57">
        <v>45988</v>
      </c>
      <c r="F728" s="126" t="str">
        <f>IF(C728&lt;&gt;"",VLOOKUP($C728,Carpetas!$C$5:$L$2060,2,FALSE),"")</f>
        <v>CLL001</v>
      </c>
      <c r="G728" s="38" t="s">
        <v>35</v>
      </c>
      <c r="H728" s="44">
        <f>IF(C728&lt;&gt;"",VLOOKUP($C728,Carpetas!$C$5:$L$2060,9,FALSE),"")</f>
        <v>1543196</v>
      </c>
      <c r="I728" s="51" t="str">
        <f>IF(C728&lt;&gt;"",VLOOKUP($C728,Carpetas!$C$5:$L$2060,5,FALSE),"")</f>
        <v>Cisterna</v>
      </c>
      <c r="J728" s="51"/>
      <c r="K728" s="50">
        <v>45990</v>
      </c>
      <c r="L728" s="39" t="str">
        <f>VLOOKUP($C728,Carpetas!$C$5:$L$2060,4,FALSE)</f>
        <v>Fray Bentos</v>
      </c>
      <c r="M728" s="127">
        <v>45993</v>
      </c>
      <c r="N728" s="53">
        <f t="shared" si="47"/>
        <v>5</v>
      </c>
      <c r="O728" s="51">
        <v>1536</v>
      </c>
      <c r="P728" s="51"/>
      <c r="Q728" s="51">
        <v>1024</v>
      </c>
      <c r="R728" s="51">
        <v>16</v>
      </c>
      <c r="S728" s="51"/>
      <c r="T728" s="65"/>
      <c r="U728" s="65"/>
      <c r="V728" s="65"/>
      <c r="W728" s="51"/>
      <c r="X728" s="66" t="s">
        <v>1611</v>
      </c>
    </row>
    <row r="729" hidden="1" ht="27.75" customHeight="1" s="32" customFormat="1">
      <c r="A729" s="37"/>
      <c r="B729" s="31" t="s">
        <v>32</v>
      </c>
      <c r="C729" s="59" t="s">
        <v>1586</v>
      </c>
      <c r="D729" s="57" t="s">
        <v>30</v>
      </c>
      <c r="E729" s="57">
        <v>45983</v>
      </c>
      <c r="F729" s="126" t="str">
        <f>IF(C729&lt;&gt;"",VLOOKUP($C729,Carpetas!$C$5:$L$2060,2,FALSE),"")</f>
        <v>BOB028</v>
      </c>
      <c r="G729" s="38" t="s">
        <v>31</v>
      </c>
      <c r="H729" s="44">
        <f>IF(C729&lt;&gt;"",VLOOKUP($C729,Carpetas!$C$5:$L$2060,9,FALSE),"")</f>
        <v>0</v>
      </c>
      <c r="I729" s="51" t="str">
        <f>IF(C729&lt;&gt;"",VLOOKUP($C729,Carpetas!$C$5:$L$2060,5,FALSE),"")</f>
        <v>El Palomar</v>
      </c>
      <c r="J729" s="51"/>
      <c r="K729" s="50">
        <v>45992</v>
      </c>
      <c r="L729" s="39" t="str">
        <f>VLOOKUP($C729,Carpetas!$C$5:$L$2060,4,FALSE)</f>
        <v>Salto</v>
      </c>
      <c r="M729" s="127">
        <f>K729+1</f>
        <v>45993</v>
      </c>
      <c r="N729" s="53">
        <f t="shared" si="47"/>
        <v>10</v>
      </c>
      <c r="O729" s="51">
        <v>1104</v>
      </c>
      <c r="P729" s="51"/>
      <c r="Q729" s="51">
        <v>1104</v>
      </c>
      <c r="R729" s="51">
        <v>21</v>
      </c>
      <c r="S729" s="51">
        <v>22</v>
      </c>
      <c r="T729" s="65"/>
      <c r="U729" s="65"/>
      <c r="V729" s="65" t="s">
        <v>1612</v>
      </c>
      <c r="W729" s="51" t="s">
        <v>1613</v>
      </c>
      <c r="X729" s="66" t="s">
        <v>1614</v>
      </c>
    </row>
    <row r="730" hidden="1" ht="27.75" customHeight="1" s="32" customFormat="1">
      <c r="A730" s="37"/>
      <c r="B730" s="31" t="s">
        <v>32</v>
      </c>
      <c r="C730" s="59" t="s">
        <v>1615</v>
      </c>
      <c r="D730" s="57" t="s">
        <v>750</v>
      </c>
      <c r="E730" s="57">
        <v>45988</v>
      </c>
      <c r="F730" s="126" t="str">
        <f>IF(C730&lt;&gt;"",VLOOKUP($C730,Carpetas!$C$5:$L$2060,2,FALSE),"")</f>
        <v>CLCE001</v>
      </c>
      <c r="G730" s="38" t="s">
        <v>35</v>
      </c>
      <c r="H730" s="44">
        <f>IF(C730&lt;&gt;"",VLOOKUP($C730,Carpetas!$C$5:$L$2060,9,FALSE),"")</f>
        <v>1543195</v>
      </c>
      <c r="I730" s="51" t="str">
        <f>IF(C730&lt;&gt;"",VLOOKUP($C730,Carpetas!$C$5:$L$2060,5,FALSE),"")</f>
        <v>Nihuil</v>
      </c>
      <c r="J730" s="51"/>
      <c r="K730" s="50">
        <v>45992</v>
      </c>
      <c r="L730" s="39" t="str">
        <f>VLOOKUP($C730,Carpetas!$C$5:$L$2060,4,FALSE)</f>
        <v>Fray Bentos</v>
      </c>
      <c r="M730" s="127">
        <v>45993</v>
      </c>
      <c r="N730" s="53">
        <f t="shared" si="47"/>
        <v>5</v>
      </c>
      <c r="O730" s="51">
        <v>1728</v>
      </c>
      <c r="P730" s="51"/>
      <c r="Q730" s="51">
        <v>1728</v>
      </c>
      <c r="R730" s="51">
        <v>12</v>
      </c>
      <c r="S730" s="51"/>
      <c r="T730" s="65"/>
      <c r="U730" s="65"/>
      <c r="V730" s="65"/>
      <c r="W730" s="51"/>
      <c r="X730" s="66" t="s">
        <v>1616</v>
      </c>
    </row>
    <row r="731" hidden="1" ht="27.75" customHeight="1" s="32" customFormat="1">
      <c r="A731" s="37"/>
      <c r="B731" s="31" t="s">
        <v>32</v>
      </c>
      <c r="C731" s="59" t="s">
        <v>1597</v>
      </c>
      <c r="D731" s="57" t="s">
        <v>30</v>
      </c>
      <c r="E731" s="57">
        <v>45972</v>
      </c>
      <c r="F731" s="126" t="str">
        <f>IF(C731&lt;&gt;"",VLOOKUP($C731,Carpetas!$C$5:$L$2060,2,FALSE),"")</f>
        <v>ECI001</v>
      </c>
      <c r="G731" s="38" t="s">
        <v>43</v>
      </c>
      <c r="H731" s="44">
        <f>IF(C731&lt;&gt;"",VLOOKUP($C731,Carpetas!$C$5:$L$2060,9,FALSE),"")</f>
        <v>1540862</v>
      </c>
      <c r="I731" s="51" t="str">
        <f>IF(C731&lt;&gt;"",VLOOKUP($C731,Carpetas!$C$5:$L$2060,5,FALSE),"")</f>
        <v>Andino</v>
      </c>
      <c r="J731" s="51"/>
      <c r="K731" s="50">
        <v>45992</v>
      </c>
      <c r="L731" s="39" t="str">
        <f>VLOOKUP($C731,Carpetas!$C$5:$L$2060,4,FALSE)</f>
        <v>Fray Bentos</v>
      </c>
      <c r="M731" s="127">
        <v>45994</v>
      </c>
      <c r="N731" s="53">
        <f t="shared" si="47"/>
        <v>22</v>
      </c>
      <c r="O731" s="51">
        <v>1080</v>
      </c>
      <c r="P731" s="51"/>
      <c r="Q731" s="51">
        <v>1080</v>
      </c>
      <c r="R731" s="51">
        <v>20</v>
      </c>
      <c r="S731" s="51"/>
      <c r="T731" s="65"/>
      <c r="U731" s="65"/>
      <c r="V731" s="65"/>
      <c r="W731" s="51"/>
      <c r="X731" s="66" t="s">
        <v>1617</v>
      </c>
    </row>
    <row r="732" hidden="1" ht="27.75" customHeight="1" s="32" customFormat="1">
      <c r="A732" s="37"/>
      <c r="B732" s="31" t="s">
        <v>32</v>
      </c>
      <c r="C732" s="59" t="s">
        <v>1618</v>
      </c>
      <c r="D732" s="57" t="s">
        <v>42</v>
      </c>
      <c r="E732" s="57">
        <v>45979</v>
      </c>
      <c r="F732" s="126" t="str">
        <f>IF(C732&lt;&gt;"",VLOOKUP($C732,Carpetas!$C$5:$L$2060,2,FALSE),"")</f>
        <v>ECA028</v>
      </c>
      <c r="G732" s="38" t="s">
        <v>43</v>
      </c>
      <c r="H732" s="44">
        <f>IF(C732&lt;&gt;"",VLOOKUP($C732,Carpetas!$C$5:$L$2060,9,FALSE),"")</f>
        <v>1540862</v>
      </c>
      <c r="I732" s="51" t="str">
        <f>IF(C732&lt;&gt;"",VLOOKUP($C732,Carpetas!$C$5:$L$2060,5,FALSE),"")</f>
        <v>Andino</v>
      </c>
      <c r="J732" s="51"/>
      <c r="K732" s="50">
        <v>45994</v>
      </c>
      <c r="L732" s="39" t="str">
        <f>VLOOKUP($C732,Carpetas!$C$5:$L$2060,4,FALSE)</f>
        <v>Fray Bentos</v>
      </c>
      <c r="M732" s="127">
        <f>K732+1</f>
        <v>45995</v>
      </c>
      <c r="N732" s="53">
        <f t="shared" si="47"/>
        <v>16</v>
      </c>
      <c r="O732" s="51">
        <v>1680</v>
      </c>
      <c r="P732" s="51"/>
      <c r="Q732" s="51">
        <v>1680</v>
      </c>
      <c r="R732" s="51">
        <v>21</v>
      </c>
      <c r="S732" s="51"/>
      <c r="T732" s="65"/>
      <c r="U732" s="65"/>
      <c r="V732" s="65"/>
      <c r="W732" s="51"/>
      <c r="X732" s="66" t="s">
        <v>1619</v>
      </c>
    </row>
    <row r="733" hidden="1" ht="27.75" customHeight="1" s="32" customFormat="1">
      <c r="A733" s="37"/>
      <c r="B733" s="31" t="s">
        <v>32</v>
      </c>
      <c r="C733" s="59" t="s">
        <v>1620</v>
      </c>
      <c r="D733" s="57" t="s">
        <v>30</v>
      </c>
      <c r="E733" s="57">
        <v>45991</v>
      </c>
      <c r="F733" s="126" t="str">
        <f>IF(C733&lt;&gt;"",VLOOKUP($C733,Carpetas!$C$5:$L$2060,2,FALSE),"")</f>
        <v>BOB034</v>
      </c>
      <c r="G733" s="38" t="s">
        <v>31</v>
      </c>
      <c r="H733" s="44">
        <f>IF(C733&lt;&gt;"",VLOOKUP($C733,Carpetas!$C$5:$L$2060,9,FALSE),"")</f>
        <v>0</v>
      </c>
      <c r="I733" s="51" t="str">
        <f>IF(C733&lt;&gt;"",VLOOKUP($C733,Carpetas!$C$5:$L$2060,5,FALSE),"")</f>
        <v>El Palomar</v>
      </c>
      <c r="J733" s="51"/>
      <c r="K733" s="50">
        <v>45994</v>
      </c>
      <c r="L733" s="39" t="str">
        <f>VLOOKUP($C733,Carpetas!$C$5:$L$2060,4,FALSE)</f>
        <v>Salto</v>
      </c>
      <c r="M733" s="127">
        <v>45996</v>
      </c>
      <c r="N733" s="53">
        <f t="shared" si="47"/>
        <v>5</v>
      </c>
      <c r="O733" s="51">
        <v>1104</v>
      </c>
      <c r="P733" s="51"/>
      <c r="Q733" s="51">
        <v>1104</v>
      </c>
      <c r="R733" s="51"/>
      <c r="S733" s="51"/>
      <c r="T733" s="65"/>
      <c r="U733" s="65"/>
      <c r="V733" s="65"/>
      <c r="W733" s="51"/>
      <c r="X733" s="66" t="s">
        <v>1621</v>
      </c>
    </row>
    <row r="734" hidden="1" ht="27.75" customHeight="1" s="32" customFormat="1">
      <c r="A734" s="37"/>
      <c r="B734" s="31" t="s">
        <v>32</v>
      </c>
      <c r="C734" s="59" t="s">
        <v>1622</v>
      </c>
      <c r="D734" s="57" t="s">
        <v>30</v>
      </c>
      <c r="E734" s="57">
        <v>45991</v>
      </c>
      <c r="F734" s="126" t="str">
        <f>IF(C734&lt;&gt;"",VLOOKUP($C734,Carpetas!$C$5:$L$2060,2,FALSE),"")</f>
        <v>BOB032</v>
      </c>
      <c r="G734" s="38" t="s">
        <v>31</v>
      </c>
      <c r="H734" s="44">
        <f>IF(C734&lt;&gt;"",VLOOKUP($C734,Carpetas!$C$5:$L$2060,9,FALSE),"")</f>
        <v>0</v>
      </c>
      <c r="I734" s="51" t="str">
        <f>IF(C734&lt;&gt;"",VLOOKUP($C734,Carpetas!$C$5:$L$2060,5,FALSE),"")</f>
        <v>Sur Central</v>
      </c>
      <c r="J734" s="51"/>
      <c r="K734" s="50">
        <v>45994</v>
      </c>
      <c r="L734" s="39" t="str">
        <f>VLOOKUP($C734,Carpetas!$C$5:$L$2060,4,FALSE)</f>
        <v>Salto</v>
      </c>
      <c r="M734" s="127">
        <v>45996</v>
      </c>
      <c r="N734" s="53">
        <f t="shared" si="47"/>
        <v>5</v>
      </c>
      <c r="O734" s="51">
        <v>2100</v>
      </c>
      <c r="P734" s="51"/>
      <c r="Q734" s="51">
        <v>2098</v>
      </c>
      <c r="R734" s="51"/>
      <c r="S734" s="51">
        <v>22</v>
      </c>
      <c r="T734" s="65"/>
      <c r="U734" s="65"/>
      <c r="V734" s="65"/>
      <c r="W734" s="51"/>
      <c r="X734" s="66" t="s">
        <v>1623</v>
      </c>
    </row>
    <row r="735" hidden="1" ht="27.75" customHeight="1" s="32" customFormat="1">
      <c r="A735" s="37"/>
      <c r="B735" s="31" t="s">
        <v>32</v>
      </c>
      <c r="C735" s="59" t="s">
        <v>1624</v>
      </c>
      <c r="D735" s="57" t="s">
        <v>30</v>
      </c>
      <c r="E735" s="57">
        <v>45991</v>
      </c>
      <c r="F735" s="126" t="str">
        <f>IF(C735&lt;&gt;"",VLOOKUP($C735,Carpetas!$C$5:$L$2060,2,FALSE),"")</f>
        <v>BOB033</v>
      </c>
      <c r="G735" s="38" t="s">
        <v>31</v>
      </c>
      <c r="H735" s="44">
        <f>IF(C735&lt;&gt;"",VLOOKUP($C735,Carpetas!$C$5:$L$2060,9,FALSE),"")</f>
        <v>0</v>
      </c>
      <c r="I735" s="51" t="str">
        <f>IF(C735&lt;&gt;"",VLOOKUP($C735,Carpetas!$C$5:$L$2060,5,FALSE),"")</f>
        <v>Sur Central</v>
      </c>
      <c r="J735" s="51"/>
      <c r="K735" s="50">
        <v>45994</v>
      </c>
      <c r="L735" s="39" t="str">
        <f>VLOOKUP($C735,Carpetas!$C$5:$L$2060,4,FALSE)</f>
        <v>Salto</v>
      </c>
      <c r="M735" s="127">
        <v>45996</v>
      </c>
      <c r="N735" s="53">
        <f t="shared" si="47"/>
        <v>5</v>
      </c>
      <c r="O735" s="51">
        <v>1050</v>
      </c>
      <c r="P735" s="51"/>
      <c r="Q735" s="51">
        <v>1049</v>
      </c>
      <c r="R735" s="51"/>
      <c r="S735" s="51">
        <v>22</v>
      </c>
      <c r="T735" s="65"/>
      <c r="U735" s="65"/>
      <c r="V735" s="65"/>
      <c r="W735" s="51"/>
      <c r="X735" s="66" t="s">
        <v>1625</v>
      </c>
    </row>
    <row r="736" hidden="1" ht="27.75" customHeight="1" s="32" customFormat="1">
      <c r="A736" s="37"/>
      <c r="B736" s="31" t="s">
        <v>32</v>
      </c>
      <c r="C736" s="59" t="s">
        <v>1626</v>
      </c>
      <c r="D736" s="57" t="s">
        <v>48</v>
      </c>
      <c r="E736" s="57">
        <v>45959</v>
      </c>
      <c r="F736" s="126" t="str">
        <f>IF(C736&lt;&gt;"",VLOOKUP($C736,Carpetas!$C$5:$L$2060,2,FALSE),"")</f>
        <v>MXP001</v>
      </c>
      <c r="G736" s="38" t="s">
        <v>35</v>
      </c>
      <c r="H736" s="44">
        <f>IF(C736&lt;&gt;"",VLOOKUP($C736,Carpetas!$C$5:$L$2060,9,FALSE),"")</f>
        <v>1540862</v>
      </c>
      <c r="I736" s="51" t="str">
        <f>IF(C736&lt;&gt;"",VLOOKUP($C736,Carpetas!$C$5:$L$2060,5,FALSE),"")</f>
        <v>Andino</v>
      </c>
      <c r="J736" s="51"/>
      <c r="K736" s="50">
        <v>45995</v>
      </c>
      <c r="L736" s="39" t="str">
        <f>VLOOKUP($C736,Carpetas!$C$5:$L$2060,4,FALSE)</f>
        <v>Fray Bentos</v>
      </c>
      <c r="M736" s="127">
        <f ref="M736:M743" t="shared" si="49">K736+1</f>
        <v>45996</v>
      </c>
      <c r="N736" s="53">
        <f t="shared" si="47"/>
        <v>37</v>
      </c>
      <c r="O736" s="51">
        <v>1920</v>
      </c>
      <c r="P736" s="51"/>
      <c r="Q736" s="51">
        <v>1920</v>
      </c>
      <c r="R736" s="51">
        <v>20</v>
      </c>
      <c r="S736" s="51"/>
      <c r="T736" s="65"/>
      <c r="U736" s="65"/>
      <c r="V736" s="65"/>
      <c r="W736" s="51"/>
      <c r="X736" s="66" t="s">
        <v>1627</v>
      </c>
    </row>
    <row r="737" hidden="1" ht="27.75" customHeight="1" s="32" customFormat="1">
      <c r="A737" s="37"/>
      <c r="B737" s="31" t="s">
        <v>32</v>
      </c>
      <c r="C737" s="59" t="s">
        <v>1628</v>
      </c>
      <c r="D737" s="57" t="s">
        <v>30</v>
      </c>
      <c r="E737" s="57">
        <v>45979</v>
      </c>
      <c r="F737" s="126" t="str">
        <f>IF(C737&lt;&gt;"",VLOOKUP($C737,Carpetas!$C$5:$L$2060,2,FALSE),"")</f>
        <v>ECB051</v>
      </c>
      <c r="G737" s="38" t="s">
        <v>43</v>
      </c>
      <c r="H737" s="44">
        <f>IF(C737&lt;&gt;"",VLOOKUP($C737,Carpetas!$C$5:$L$2060,9,FALSE),"")</f>
        <v>1541926</v>
      </c>
      <c r="I737" s="51" t="str">
        <f>IF(C737&lt;&gt;"",VLOOKUP($C737,Carpetas!$C$5:$L$2060,5,FALSE),"")</f>
        <v>Andino</v>
      </c>
      <c r="J737" s="51"/>
      <c r="K737" s="50">
        <v>45995</v>
      </c>
      <c r="L737" s="39" t="str">
        <f>VLOOKUP($C737,Carpetas!$C$5:$L$2060,4,FALSE)</f>
        <v>Fray Bentos</v>
      </c>
      <c r="M737" s="127">
        <f t="shared" si="49"/>
        <v>45996</v>
      </c>
      <c r="N737" s="53">
        <f t="shared" si="47"/>
        <v>17</v>
      </c>
      <c r="O737" s="51">
        <v>3240</v>
      </c>
      <c r="P737" s="51"/>
      <c r="Q737" s="51">
        <v>3240</v>
      </c>
      <c r="R737" s="51">
        <v>80</v>
      </c>
      <c r="S737" s="51"/>
      <c r="T737" s="65"/>
      <c r="U737" s="65"/>
      <c r="V737" s="65"/>
      <c r="W737" s="51"/>
      <c r="X737" s="66" t="s">
        <v>1629</v>
      </c>
    </row>
    <row r="738" hidden="1" ht="27.75" customHeight="1" s="32" customFormat="1">
      <c r="A738" s="37"/>
      <c r="B738" s="31" t="s">
        <v>32</v>
      </c>
      <c r="C738" s="59" t="s">
        <v>1630</v>
      </c>
      <c r="D738" s="57" t="s">
        <v>30</v>
      </c>
      <c r="E738" s="57">
        <v>45979</v>
      </c>
      <c r="F738" s="126" t="str">
        <f>IF(C738&lt;&gt;"",VLOOKUP($C738,Carpetas!$C$5:$L$2060,2,FALSE),"")</f>
        <v>ECE060</v>
      </c>
      <c r="G738" s="38" t="s">
        <v>43</v>
      </c>
      <c r="H738" s="44">
        <f>IF(C738&lt;&gt;"",VLOOKUP($C738,Carpetas!$C$5:$L$2060,9,FALSE),"")</f>
        <v>1541925</v>
      </c>
      <c r="I738" s="51" t="str">
        <f>IF(C738&lt;&gt;"",VLOOKUP($C738,Carpetas!$C$5:$L$2060,5,FALSE),"")</f>
        <v>Andino</v>
      </c>
      <c r="J738" s="51"/>
      <c r="K738" s="50">
        <v>45995</v>
      </c>
      <c r="L738" s="39" t="str">
        <f>VLOOKUP($C738,Carpetas!$C$5:$L$2060,4,FALSE)</f>
        <v>Fray Bentos</v>
      </c>
      <c r="M738" s="127">
        <f t="shared" si="49"/>
        <v>45996</v>
      </c>
      <c r="N738" s="53">
        <f t="shared" si="47"/>
        <v>17</v>
      </c>
      <c r="O738" s="51">
        <v>1080</v>
      </c>
      <c r="P738" s="51"/>
      <c r="Q738" s="51">
        <v>1080</v>
      </c>
      <c r="R738" s="51">
        <v>20</v>
      </c>
      <c r="S738" s="51"/>
      <c r="T738" s="65"/>
      <c r="U738" s="65"/>
      <c r="V738" s="65"/>
      <c r="W738" s="51"/>
      <c r="X738" s="66" t="s">
        <v>1631</v>
      </c>
    </row>
    <row r="739" hidden="1" ht="27.75" customHeight="1" s="32" customFormat="1">
      <c r="A739" s="37"/>
      <c r="B739" s="31" t="s">
        <v>32</v>
      </c>
      <c r="C739" s="59" t="s">
        <v>1632</v>
      </c>
      <c r="D739" s="57" t="s">
        <v>30</v>
      </c>
      <c r="E739" s="57">
        <v>45979</v>
      </c>
      <c r="F739" s="126" t="str">
        <f>IF(C739&lt;&gt;"",VLOOKUP($C739,Carpetas!$C$5:$L$2060,2,FALSE),"")</f>
        <v>ECI002</v>
      </c>
      <c r="G739" s="38" t="s">
        <v>43</v>
      </c>
      <c r="H739" s="44">
        <f>IF(C739&lt;&gt;"",VLOOKUP($C739,Carpetas!$C$5:$L$2060,9,FALSE),"")</f>
        <v>1541924</v>
      </c>
      <c r="I739" s="51" t="str">
        <f>IF(C739&lt;&gt;"",VLOOKUP($C739,Carpetas!$C$5:$L$2060,5,FALSE),"")</f>
        <v>Andino</v>
      </c>
      <c r="J739" s="51"/>
      <c r="K739" s="50">
        <v>45995</v>
      </c>
      <c r="L739" s="39" t="str">
        <f>VLOOKUP($C739,Carpetas!$C$5:$L$2060,4,FALSE)</f>
        <v>Fray Bentos</v>
      </c>
      <c r="M739" s="127">
        <f t="shared" si="49"/>
        <v>45996</v>
      </c>
      <c r="N739" s="53">
        <f t="shared" si="47"/>
        <v>17</v>
      </c>
      <c r="O739" s="51">
        <v>2160</v>
      </c>
      <c r="P739" s="51"/>
      <c r="Q739" s="51">
        <v>2160</v>
      </c>
      <c r="R739" s="51">
        <v>40</v>
      </c>
      <c r="S739" s="51"/>
      <c r="T739" s="65"/>
      <c r="U739" s="65"/>
      <c r="V739" s="65"/>
      <c r="W739" s="51"/>
      <c r="X739" s="66" t="s">
        <v>1633</v>
      </c>
    </row>
    <row r="740" hidden="1" ht="27.75" customHeight="1" s="32" customFormat="1">
      <c r="A740" s="37"/>
      <c r="B740" s="31" t="s">
        <v>32</v>
      </c>
      <c r="C740" s="59" t="s">
        <v>1634</v>
      </c>
      <c r="D740" s="57" t="s">
        <v>632</v>
      </c>
      <c r="E740" s="57">
        <v>45994</v>
      </c>
      <c r="F740" s="38" t="str">
        <f>IF(C740&lt;&gt;"",VLOOKUP($C740,Carpetas!$C$5:$L$2060,2,FALSE),"")</f>
        <v>ECES004</v>
      </c>
      <c r="G740" s="38" t="s">
        <v>43</v>
      </c>
      <c r="H740" s="44">
        <f>IF(C740&lt;&gt;"",VLOOKUP($C740,Carpetas!$C$5:$L$2060,9,FALSE),"")</f>
        <v>1544167</v>
      </c>
      <c r="I740" s="51" t="str">
        <f>IF(C740&lt;&gt;"",VLOOKUP($C740,Carpetas!$C$5:$L$2060,5,FALSE),"")</f>
        <v>Ciatran</v>
      </c>
      <c r="J740" s="51"/>
      <c r="K740" s="50">
        <v>45996</v>
      </c>
      <c r="L740" s="39" t="str">
        <f>VLOOKUP($C740,Carpetas!$C$5:$L$2060,4,FALSE)</f>
        <v>Carrasco</v>
      </c>
      <c r="M740" s="55">
        <f t="shared" si="49"/>
        <v>45997</v>
      </c>
      <c r="N740" s="53">
        <f t="shared" si="47"/>
        <v>3</v>
      </c>
      <c r="O740" s="51">
        <v>100</v>
      </c>
      <c r="P740" s="51"/>
      <c r="Q740" s="51">
        <v>100</v>
      </c>
      <c r="R740" s="51"/>
      <c r="S740" s="51"/>
      <c r="T740" s="65"/>
      <c r="U740" s="65"/>
      <c r="V740" s="65"/>
      <c r="W740" s="51"/>
      <c r="X740" s="66" t="s">
        <v>1635</v>
      </c>
    </row>
    <row r="741" hidden="1" ht="27.75" customHeight="1" s="32" customFormat="1">
      <c r="A741" s="37"/>
      <c r="B741" s="31" t="s">
        <v>32</v>
      </c>
      <c r="C741" s="59" t="s">
        <v>1628</v>
      </c>
      <c r="D741" s="57" t="s">
        <v>30</v>
      </c>
      <c r="E741" s="57">
        <v>45979</v>
      </c>
      <c r="F741" s="38" t="str">
        <f>IF(C741&lt;&gt;"",VLOOKUP($C741,Carpetas!$C$5:$L$2060,2,FALSE),"")</f>
        <v>ECB051</v>
      </c>
      <c r="G741" s="38" t="s">
        <v>43</v>
      </c>
      <c r="H741" s="44">
        <f>IF(C741&lt;&gt;"",VLOOKUP($C741,Carpetas!$C$5:$L$2060,9,FALSE),"")</f>
        <v>1541926</v>
      </c>
      <c r="I741" s="51" t="str">
        <f>IF(C741&lt;&gt;"",VLOOKUP($C741,Carpetas!$C$5:$L$2060,5,FALSE),"")</f>
        <v>Andino</v>
      </c>
      <c r="J741" s="51"/>
      <c r="K741" s="50">
        <v>45996</v>
      </c>
      <c r="L741" s="39" t="str">
        <f>VLOOKUP($C741,Carpetas!$C$5:$L$2060,4,FALSE)</f>
        <v>Fray Bentos</v>
      </c>
      <c r="M741" s="55">
        <f t="shared" si="49"/>
        <v>45997</v>
      </c>
      <c r="N741" s="53">
        <f t="shared" si="47"/>
        <v>18</v>
      </c>
      <c r="O741" s="51">
        <v>3240</v>
      </c>
      <c r="P741" s="51"/>
      <c r="Q741" s="51">
        <v>2160</v>
      </c>
      <c r="R741" s="51">
        <v>40</v>
      </c>
      <c r="S741" s="51"/>
      <c r="T741" s="65"/>
      <c r="U741" s="65"/>
      <c r="V741" s="65"/>
      <c r="W741" s="51"/>
      <c r="X741" s="66" t="s">
        <v>1636</v>
      </c>
    </row>
    <row r="742" hidden="1" ht="27.75" customHeight="1" s="32" customFormat="1">
      <c r="A742" s="37"/>
      <c r="B742" s="31" t="s">
        <v>32</v>
      </c>
      <c r="C742" s="59" t="s">
        <v>1630</v>
      </c>
      <c r="D742" s="57" t="s">
        <v>30</v>
      </c>
      <c r="E742" s="57">
        <v>45979</v>
      </c>
      <c r="F742" s="38" t="str">
        <f>IF(C742&lt;&gt;"",VLOOKUP($C742,Carpetas!$C$5:$L$2060,2,FALSE),"")</f>
        <v>ECE060</v>
      </c>
      <c r="G742" s="38" t="s">
        <v>43</v>
      </c>
      <c r="H742" s="44">
        <f>IF(C742&lt;&gt;"",VLOOKUP($C742,Carpetas!$C$5:$L$2060,9,FALSE),"")</f>
        <v>1541925</v>
      </c>
      <c r="I742" s="51" t="str">
        <f>IF(C742&lt;&gt;"",VLOOKUP($C742,Carpetas!$C$5:$L$2060,5,FALSE),"")</f>
        <v>Andino</v>
      </c>
      <c r="J742" s="51"/>
      <c r="K742" s="50">
        <v>45996</v>
      </c>
      <c r="L742" s="39" t="str">
        <f>VLOOKUP($C742,Carpetas!$C$5:$L$2060,4,FALSE)</f>
        <v>Fray Bentos</v>
      </c>
      <c r="M742" s="55">
        <f t="shared" si="49"/>
        <v>45997</v>
      </c>
      <c r="N742" s="53">
        <f t="shared" si="47"/>
        <v>18</v>
      </c>
      <c r="O742" s="51">
        <v>2160</v>
      </c>
      <c r="P742" s="51"/>
      <c r="Q742" s="51">
        <v>2160</v>
      </c>
      <c r="R742" s="51">
        <v>40</v>
      </c>
      <c r="S742" s="51"/>
      <c r="T742" s="65"/>
      <c r="U742" s="65"/>
      <c r="V742" s="65"/>
      <c r="W742" s="51"/>
      <c r="X742" s="66" t="s">
        <v>1631</v>
      </c>
    </row>
    <row r="743" hidden="1" ht="27.75" customHeight="1" s="32" customFormat="1">
      <c r="A743" s="37"/>
      <c r="B743" s="31" t="s">
        <v>32</v>
      </c>
      <c r="C743" s="59" t="s">
        <v>1632</v>
      </c>
      <c r="D743" s="57" t="s">
        <v>30</v>
      </c>
      <c r="E743" s="57">
        <v>45979</v>
      </c>
      <c r="F743" s="38" t="str">
        <f>IF(C743&lt;&gt;"",VLOOKUP($C743,Carpetas!$C$5:$L$2060,2,FALSE),"")</f>
        <v>ECI002</v>
      </c>
      <c r="G743" s="38" t="s">
        <v>43</v>
      </c>
      <c r="H743" s="44">
        <f>IF(C743&lt;&gt;"",VLOOKUP($C743,Carpetas!$C$5:$L$2060,9,FALSE),"")</f>
        <v>1541924</v>
      </c>
      <c r="I743" s="51" t="str">
        <f>IF(C743&lt;&gt;"",VLOOKUP($C743,Carpetas!$C$5:$L$2060,5,FALSE),"")</f>
        <v>Andino</v>
      </c>
      <c r="J743" s="51"/>
      <c r="K743" s="50">
        <v>45996</v>
      </c>
      <c r="L743" s="39" t="str">
        <f>VLOOKUP($C743,Carpetas!$C$5:$L$2060,4,FALSE)</f>
        <v>Fray Bentos</v>
      </c>
      <c r="M743" s="55">
        <f t="shared" si="49"/>
        <v>45997</v>
      </c>
      <c r="N743" s="53">
        <f t="shared" si="47"/>
        <v>18</v>
      </c>
      <c r="O743" s="51">
        <v>2160</v>
      </c>
      <c r="P743" s="51"/>
      <c r="Q743" s="51">
        <v>2160</v>
      </c>
      <c r="R743" s="51">
        <v>40</v>
      </c>
      <c r="S743" s="51"/>
      <c r="T743" s="65"/>
      <c r="U743" s="65"/>
      <c r="V743" s="65"/>
      <c r="W743" s="51"/>
      <c r="X743" s="66" t="s">
        <v>1633</v>
      </c>
    </row>
    <row r="744" hidden="1" ht="27.75" customHeight="1" s="32" customFormat="1">
      <c r="A744" s="37"/>
      <c r="B744" s="31" t="s">
        <v>32</v>
      </c>
      <c r="C744" s="59" t="s">
        <v>1630</v>
      </c>
      <c r="D744" s="57" t="s">
        <v>30</v>
      </c>
      <c r="E744" s="57">
        <v>45979</v>
      </c>
      <c r="F744" s="38" t="str">
        <f>IF(C744&lt;&gt;"",VLOOKUP($C744,Carpetas!$C$5:$L$2060,2,FALSE),"")</f>
        <v>ECE060</v>
      </c>
      <c r="G744" s="38" t="s">
        <v>43</v>
      </c>
      <c r="H744" s="44">
        <f>IF(C744&lt;&gt;"",VLOOKUP($C744,Carpetas!$C$5:$L$2060,9,FALSE),"")</f>
        <v>1541925</v>
      </c>
      <c r="I744" s="51" t="str">
        <f>IF(C744&lt;&gt;"",VLOOKUP($C744,Carpetas!$C$5:$L$2060,5,FALSE),"")</f>
        <v>Andino</v>
      </c>
      <c r="J744" s="51"/>
      <c r="K744" s="50">
        <v>45997</v>
      </c>
      <c r="L744" s="39" t="str">
        <f>VLOOKUP($C744,Carpetas!$C$5:$L$2060,4,FALSE)</f>
        <v>Fray Bentos</v>
      </c>
      <c r="M744" s="55">
        <v>45999</v>
      </c>
      <c r="N744" s="53">
        <f t="shared" si="47"/>
        <v>20</v>
      </c>
      <c r="O744" s="51">
        <v>1080</v>
      </c>
      <c r="P744" s="51"/>
      <c r="Q744" s="51"/>
      <c r="R744" s="51"/>
      <c r="S744" s="51"/>
      <c r="T744" s="65"/>
      <c r="U744" s="65"/>
      <c r="V744" s="65"/>
      <c r="W744" s="51"/>
      <c r="X744" s="66"/>
    </row>
    <row r="745" hidden="1" ht="27.75" customHeight="1" s="32" customFormat="1">
      <c r="A745" s="37"/>
      <c r="B745" s="31" t="s">
        <v>32</v>
      </c>
      <c r="C745" s="59" t="s">
        <v>1637</v>
      </c>
      <c r="D745" s="57" t="s">
        <v>656</v>
      </c>
      <c r="E745" s="57">
        <v>45967</v>
      </c>
      <c r="F745" s="38" t="str">
        <f>IF(C745&lt;&gt;"",VLOOKUP($C745,Carpetas!$C$5:$L$2060,2,FALSE),"")</f>
        <v>EGP002</v>
      </c>
      <c r="G745" s="38" t="s">
        <v>43</v>
      </c>
      <c r="H745" s="44">
        <f>IF(C745&lt;&gt;"",VLOOKUP($C745,Carpetas!$C$5:$L$2060,9,FALSE),"")</f>
        <v>0</v>
      </c>
      <c r="I745" s="51" t="str">
        <f>IF(C745&lt;&gt;"",VLOOKUP($C745,Carpetas!$C$5:$L$2060,5,FALSE),"")</f>
        <v>Ciatran</v>
      </c>
      <c r="J745" s="51"/>
      <c r="K745" s="50">
        <v>45997</v>
      </c>
      <c r="L745" s="39" t="str">
        <f>VLOOKUP($C745,Carpetas!$C$5:$L$2060,4,FALSE)</f>
        <v>Montevideo</v>
      </c>
      <c r="M745" s="55">
        <v>45999</v>
      </c>
      <c r="N745" s="53">
        <f t="shared" si="47"/>
        <v>32</v>
      </c>
      <c r="O745" s="51">
        <v>1317</v>
      </c>
      <c r="P745" s="51"/>
      <c r="Q745" s="51">
        <v>1352</v>
      </c>
      <c r="R745" s="51"/>
      <c r="S745" s="51"/>
      <c r="T745" s="65"/>
      <c r="U745" s="65"/>
      <c r="V745" s="65"/>
      <c r="W745" s="51"/>
      <c r="X745" s="66" t="s">
        <v>1638</v>
      </c>
    </row>
    <row r="746" hidden="1" ht="27.75" customHeight="1" s="32" customFormat="1">
      <c r="A746" s="37"/>
      <c r="B746" s="31" t="s">
        <v>32</v>
      </c>
      <c r="C746" s="59" t="s">
        <v>1639</v>
      </c>
      <c r="D746" s="57" t="s">
        <v>656</v>
      </c>
      <c r="E746" s="57">
        <v>45967</v>
      </c>
      <c r="F746" s="38" t="str">
        <f>IF(C746&lt;&gt;"",VLOOKUP($C746,Carpetas!$C$5:$L$2060,2,FALSE),"")</f>
        <v>EGP003</v>
      </c>
      <c r="G746" s="38" t="s">
        <v>43</v>
      </c>
      <c r="H746" s="44">
        <f>IF(C746&lt;&gt;"",VLOOKUP($C746,Carpetas!$C$5:$L$2060,9,FALSE),"")</f>
        <v>0</v>
      </c>
      <c r="I746" s="51" t="str">
        <f>IF(C746&lt;&gt;"",VLOOKUP($C746,Carpetas!$C$5:$L$2060,5,FALSE),"")</f>
        <v>Ciatran</v>
      </c>
      <c r="J746" s="51"/>
      <c r="K746" s="50">
        <v>45997</v>
      </c>
      <c r="L746" s="39" t="str">
        <f>VLOOKUP($C746,Carpetas!$C$5:$L$2060,4,FALSE)</f>
        <v>Montevideo</v>
      </c>
      <c r="M746" s="55">
        <v>45999</v>
      </c>
      <c r="N746" s="53">
        <f t="shared" si="47"/>
        <v>32</v>
      </c>
      <c r="O746" s="51">
        <v>1352</v>
      </c>
      <c r="P746" s="51"/>
      <c r="Q746" s="51">
        <v>1317</v>
      </c>
      <c r="R746" s="51">
        <v>21</v>
      </c>
      <c r="S746" s="51"/>
      <c r="T746" s="65"/>
      <c r="U746" s="65"/>
      <c r="V746" s="65"/>
      <c r="W746" s="51"/>
      <c r="X746" s="66" t="s">
        <v>1640</v>
      </c>
    </row>
    <row r="747" hidden="1" ht="27.75" customHeight="1" s="32" customFormat="1">
      <c r="A747" s="37" t="s">
        <v>0</v>
      </c>
      <c r="B747" s="31" t="s">
        <v>32</v>
      </c>
      <c r="C747" s="59" t="s">
        <v>1641</v>
      </c>
      <c r="D747" s="57" t="s">
        <v>37</v>
      </c>
      <c r="E747" s="57">
        <v>45951</v>
      </c>
      <c r="F747" s="38" t="str">
        <f>IF(C747&lt;&gt;"",VLOOKUP($C747,Carpetas!$C$5:$L$2060,2,FALSE),"")</f>
        <v>GRK003</v>
      </c>
      <c r="G747" s="38" t="s">
        <v>833</v>
      </c>
      <c r="H747" s="44">
        <f>IF(C747&lt;&gt;"",VLOOKUP($C747,Carpetas!$C$5:$L$2060,9,FALSE),"")</f>
        <v>1534370</v>
      </c>
      <c r="I747" s="51" t="str">
        <f>IF(C747&lt;&gt;"",VLOOKUP($C747,Carpetas!$C$5:$L$2060,5,FALSE),"")</f>
        <v>Ciatran</v>
      </c>
      <c r="J747" s="51"/>
      <c r="K747" s="50">
        <v>45997</v>
      </c>
      <c r="L747" s="39" t="str">
        <f>VLOOKUP($C747,Carpetas!$C$5:$L$2060,4,FALSE)</f>
        <v>Montevideo</v>
      </c>
      <c r="M747" s="55">
        <v>45999</v>
      </c>
      <c r="N747" s="53">
        <f t="shared" si="47"/>
        <v>48</v>
      </c>
      <c r="O747" s="51">
        <v>2288</v>
      </c>
      <c r="P747" s="51"/>
      <c r="Q747" s="51">
        <v>2288</v>
      </c>
      <c r="R747" s="51">
        <v>21</v>
      </c>
      <c r="S747" s="51"/>
      <c r="T747" s="65"/>
      <c r="U747" s="65"/>
      <c r="V747" s="65"/>
      <c r="W747" s="51"/>
      <c r="X747" s="66" t="s">
        <v>1642</v>
      </c>
    </row>
    <row r="748" hidden="1" ht="27.75" customHeight="1" s="32" customFormat="1">
      <c r="A748" s="37"/>
      <c r="B748" s="31" t="s">
        <v>32</v>
      </c>
      <c r="C748" s="59" t="s">
        <v>1624</v>
      </c>
      <c r="D748" s="57" t="s">
        <v>30</v>
      </c>
      <c r="E748" s="57">
        <v>45994</v>
      </c>
      <c r="F748" s="38" t="str">
        <f>IF(C748&lt;&gt;"",VLOOKUP($C748,Carpetas!$C$5:$L$2060,2,FALSE),"")</f>
        <v>BOB033</v>
      </c>
      <c r="G748" s="38" t="s">
        <v>31</v>
      </c>
      <c r="H748" s="44">
        <f>IF(C748&lt;&gt;"",VLOOKUP($C748,Carpetas!$C$5:$L$2060,9,FALSE),"")</f>
        <v>0</v>
      </c>
      <c r="I748" s="51" t="str">
        <f>IF(C748&lt;&gt;"",VLOOKUP($C748,Carpetas!$C$5:$L$2060,5,FALSE),"")</f>
        <v>Sur Central</v>
      </c>
      <c r="J748" s="51"/>
      <c r="K748" s="50">
        <v>45999</v>
      </c>
      <c r="L748" s="39" t="str">
        <f>VLOOKUP($C748,Carpetas!$C$5:$L$2060,4,FALSE)</f>
        <v>Salto</v>
      </c>
      <c r="M748" s="55">
        <f ref="M748:M772" t="shared" si="50">K748+1</f>
        <v>46000</v>
      </c>
      <c r="N748" s="53">
        <f ref="N748:N811" t="shared" si="51">IF(M748&lt;&gt;"",M748-E748,"-")</f>
        <v>6</v>
      </c>
      <c r="O748" s="51">
        <v>1050</v>
      </c>
      <c r="P748" s="51"/>
      <c r="Q748" s="51">
        <v>1050</v>
      </c>
      <c r="R748" s="51"/>
      <c r="S748" s="51"/>
      <c r="T748" s="65"/>
      <c r="U748" s="65"/>
      <c r="V748" s="65"/>
      <c r="W748" s="51"/>
      <c r="X748" s="66" t="s">
        <v>1643</v>
      </c>
    </row>
    <row r="749" hidden="1" ht="27.75" customHeight="1" s="32" customFormat="1">
      <c r="A749" s="37"/>
      <c r="B749" s="31" t="s">
        <v>32</v>
      </c>
      <c r="C749" s="59" t="s">
        <v>1644</v>
      </c>
      <c r="D749" s="57" t="s">
        <v>48</v>
      </c>
      <c r="E749" s="57">
        <v>45995</v>
      </c>
      <c r="F749" s="38" t="str">
        <f>IF(C749&lt;&gt;"",VLOOKUP($C749,Carpetas!$C$5:$L$2060,2,FALSE),"")</f>
        <v>CLP029</v>
      </c>
      <c r="G749" s="38" t="s">
        <v>35</v>
      </c>
      <c r="H749" s="44">
        <f>IF(C749&lt;&gt;"",VLOOKUP($C749,Carpetas!$C$5:$L$2060,9,FALSE),"")</f>
        <v>1544143</v>
      </c>
      <c r="I749" s="51" t="str">
        <f>IF(C749&lt;&gt;"",VLOOKUP($C749,Carpetas!$C$5:$L$2060,5,FALSE),"")</f>
        <v>Valle Grande</v>
      </c>
      <c r="J749" s="51"/>
      <c r="K749" s="50">
        <v>46000</v>
      </c>
      <c r="L749" s="39" t="str">
        <f>VLOOKUP($C749,Carpetas!$C$5:$L$2060,4,FALSE)</f>
        <v>Fray Bentos</v>
      </c>
      <c r="M749" s="55">
        <f t="shared" si="50"/>
        <v>46001</v>
      </c>
      <c r="N749" s="53">
        <f t="shared" si="51"/>
        <v>6</v>
      </c>
      <c r="O749" s="51">
        <v>2112</v>
      </c>
      <c r="P749" s="51"/>
      <c r="Q749" s="51">
        <v>2112</v>
      </c>
      <c r="R749" s="51">
        <v>24</v>
      </c>
      <c r="S749" s="51"/>
      <c r="T749" s="65"/>
      <c r="U749" s="65"/>
      <c r="V749" s="65"/>
      <c r="W749" s="51"/>
      <c r="X749" s="66" t="s">
        <v>1645</v>
      </c>
    </row>
    <row r="750" hidden="1" ht="27.75" customHeight="1" s="32" customFormat="1">
      <c r="A750" s="37"/>
      <c r="B750" s="31" t="s">
        <v>32</v>
      </c>
      <c r="C750" s="59" t="s">
        <v>1646</v>
      </c>
      <c r="D750" s="57" t="s">
        <v>30</v>
      </c>
      <c r="E750" s="57">
        <v>45997</v>
      </c>
      <c r="F750" s="38" t="str">
        <f>IF(C750&lt;&gt;"",VLOOKUP($C750,Carpetas!$C$5:$L$2060,2,FALSE),"")</f>
        <v>BOB036</v>
      </c>
      <c r="G750" s="38" t="s">
        <v>31</v>
      </c>
      <c r="H750" s="44">
        <f>IF(C750&lt;&gt;"",VLOOKUP($C750,Carpetas!$C$5:$L$2060,9,FALSE),"")</f>
        <v>0</v>
      </c>
      <c r="I750" s="51" t="str">
        <f>IF(C750&lt;&gt;"",VLOOKUP($C750,Carpetas!$C$5:$L$2060,5,FALSE),"")</f>
        <v>Sur Central</v>
      </c>
      <c r="J750" s="51"/>
      <c r="K750" s="50">
        <v>46000</v>
      </c>
      <c r="L750" s="39" t="str">
        <f>VLOOKUP($C750,Carpetas!$C$5:$L$2060,4,FALSE)</f>
        <v>Salto</v>
      </c>
      <c r="M750" s="55">
        <f t="shared" si="50"/>
        <v>46001</v>
      </c>
      <c r="N750" s="53">
        <f t="shared" si="51"/>
        <v>4</v>
      </c>
      <c r="O750" s="51">
        <v>1050</v>
      </c>
      <c r="P750" s="51"/>
      <c r="Q750" s="51">
        <v>1050</v>
      </c>
      <c r="R750" s="51"/>
      <c r="S750" s="51"/>
      <c r="T750" s="65"/>
      <c r="U750" s="65"/>
      <c r="V750" s="65"/>
      <c r="W750" s="51"/>
      <c r="X750" s="66" t="s">
        <v>1647</v>
      </c>
    </row>
    <row r="751" hidden="1" ht="27.75" customHeight="1" s="32" customFormat="1">
      <c r="A751" s="37"/>
      <c r="B751" s="31" t="s">
        <v>32</v>
      </c>
      <c r="C751" s="59" t="s">
        <v>1648</v>
      </c>
      <c r="D751" s="57" t="s">
        <v>48</v>
      </c>
      <c r="E751" s="57">
        <v>45996</v>
      </c>
      <c r="F751" s="38" t="str">
        <f>IF(C751&lt;&gt;"",VLOOKUP($C751,Carpetas!$C$5:$L$2060,2,FALSE),"")</f>
        <v>CLP030</v>
      </c>
      <c r="G751" s="38" t="s">
        <v>35</v>
      </c>
      <c r="H751" s="44">
        <f>IF(C751&lt;&gt;"",VLOOKUP($C751,Carpetas!$C$5:$L$2060,9,FALSE),"")</f>
        <v>1544729</v>
      </c>
      <c r="I751" s="51" t="str">
        <f>IF(C751&lt;&gt;"",VLOOKUP($C751,Carpetas!$C$5:$L$2060,5,FALSE),"")</f>
        <v>RCT</v>
      </c>
      <c r="J751" s="51"/>
      <c r="K751" s="50">
        <v>46000</v>
      </c>
      <c r="L751" s="39" t="str">
        <f>VLOOKUP($C751,Carpetas!$C$5:$L$2060,4,FALSE)</f>
        <v>Fray Bentos</v>
      </c>
      <c r="M751" s="55">
        <f t="shared" si="50"/>
        <v>46001</v>
      </c>
      <c r="N751" s="53">
        <f t="shared" si="51"/>
        <v>5</v>
      </c>
      <c r="O751" s="51">
        <v>2112</v>
      </c>
      <c r="P751" s="51"/>
      <c r="Q751" s="51">
        <v>2112</v>
      </c>
      <c r="R751" s="51">
        <v>24</v>
      </c>
      <c r="S751" s="51"/>
      <c r="T751" s="65"/>
      <c r="U751" s="65"/>
      <c r="V751" s="65"/>
      <c r="W751" s="51"/>
      <c r="X751" s="66" t="s">
        <v>1649</v>
      </c>
    </row>
    <row r="752" hidden="1" ht="27.75" customHeight="1" s="32" customFormat="1">
      <c r="A752" s="37"/>
      <c r="B752" s="31" t="s">
        <v>32</v>
      </c>
      <c r="C752" s="59" t="s">
        <v>1650</v>
      </c>
      <c r="D752" s="57" t="s">
        <v>30</v>
      </c>
      <c r="E752" s="57">
        <v>45993</v>
      </c>
      <c r="F752" s="38" t="str">
        <f>IF(C752&lt;&gt;"",VLOOKUP($C752,Carpetas!$C$5:$L$2060,2,FALSE),"")</f>
        <v>BOB035</v>
      </c>
      <c r="G752" s="38" t="s">
        <v>31</v>
      </c>
      <c r="H752" s="44">
        <f>IF(C752&lt;&gt;"",VLOOKUP($C752,Carpetas!$C$5:$L$2060,9,FALSE),"")</f>
        <v>0</v>
      </c>
      <c r="I752" s="51" t="str">
        <f>IF(C752&lt;&gt;"",VLOOKUP($C752,Carpetas!$C$5:$L$2060,5,FALSE),"")</f>
        <v>Sintercargas </v>
      </c>
      <c r="J752" s="51"/>
      <c r="K752" s="50">
        <v>46002</v>
      </c>
      <c r="L752" s="39" t="str">
        <f>VLOOKUP($C752,Carpetas!$C$5:$L$2060,4,FALSE)</f>
        <v>Salto</v>
      </c>
      <c r="M752" s="55">
        <f t="shared" si="50"/>
        <v>46003</v>
      </c>
      <c r="N752" s="53">
        <f t="shared" si="51"/>
        <v>10</v>
      </c>
      <c r="O752" s="51">
        <v>1000</v>
      </c>
      <c r="P752" s="51"/>
      <c r="Q752" s="51">
        <v>1000</v>
      </c>
      <c r="R752" s="51"/>
      <c r="S752" s="51"/>
      <c r="T752" s="65"/>
      <c r="U752" s="65"/>
      <c r="V752" s="65" t="s">
        <v>1651</v>
      </c>
      <c r="W752" s="51"/>
      <c r="X752" s="66" t="s">
        <v>1652</v>
      </c>
    </row>
    <row r="753" hidden="1" ht="27" customHeight="1" s="32" customFormat="1">
      <c r="A753" s="37"/>
      <c r="B753" s="31" t="s">
        <v>32</v>
      </c>
      <c r="C753" s="59" t="s">
        <v>1653</v>
      </c>
      <c r="D753" s="57" t="s">
        <v>30</v>
      </c>
      <c r="E753" s="57">
        <v>45986</v>
      </c>
      <c r="F753" s="38" t="str">
        <f>IF(C753&lt;&gt;"",VLOOKUP($C753,Carpetas!$C$5:$L$2060,2,FALSE),"")</f>
        <v>ECE061</v>
      </c>
      <c r="G753" s="38" t="s">
        <v>43</v>
      </c>
      <c r="H753" s="44">
        <f>IF(C753&lt;&gt;"",VLOOKUP($C753,Carpetas!$C$5:$L$2060,9,FALSE),"")</f>
        <v>1542621</v>
      </c>
      <c r="I753" s="51" t="str">
        <f>IF(C753&lt;&gt;"",VLOOKUP($C753,Carpetas!$C$5:$L$2060,5,FALSE),"")</f>
        <v>Andino</v>
      </c>
      <c r="J753" s="51"/>
      <c r="K753" s="50">
        <v>46002</v>
      </c>
      <c r="L753" s="39" t="str">
        <f>VLOOKUP($C753,Carpetas!$C$5:$L$2060,4,FALSE)</f>
        <v>Fray Bentos</v>
      </c>
      <c r="M753" s="55">
        <f t="shared" si="50"/>
        <v>46003</v>
      </c>
      <c r="N753" s="53">
        <f t="shared" si="51"/>
        <v>17</v>
      </c>
      <c r="O753" s="51">
        <v>1080</v>
      </c>
      <c r="P753" s="51"/>
      <c r="Q753" s="51">
        <v>1080</v>
      </c>
      <c r="R753" s="51">
        <v>20</v>
      </c>
      <c r="S753" s="51">
        <v>21</v>
      </c>
      <c r="T753" s="65"/>
      <c r="U753" s="65"/>
      <c r="V753" s="65" t="s">
        <v>60</v>
      </c>
      <c r="W753" s="51"/>
      <c r="X753" s="66" t="s">
        <v>1654</v>
      </c>
    </row>
    <row r="754" hidden="1" ht="27.75" customHeight="1" s="32" customFormat="1">
      <c r="A754" s="37"/>
      <c r="B754" s="31" t="s">
        <v>32</v>
      </c>
      <c r="C754" s="59" t="s">
        <v>1655</v>
      </c>
      <c r="D754" s="57" t="s">
        <v>30</v>
      </c>
      <c r="E754" s="57">
        <v>45986</v>
      </c>
      <c r="F754" s="38" t="str">
        <f>IF(C754&lt;&gt;"",VLOOKUP($C754,Carpetas!$C$5:$L$2060,2,FALSE),"")</f>
        <v>ECI003</v>
      </c>
      <c r="G754" s="38" t="s">
        <v>43</v>
      </c>
      <c r="H754" s="44">
        <f>IF(C754&lt;&gt;"",VLOOKUP($C754,Carpetas!$C$5:$L$2060,9,FALSE),"")</f>
        <v>1542621</v>
      </c>
      <c r="I754" s="51" t="str">
        <f>IF(C754&lt;&gt;"",VLOOKUP($C754,Carpetas!$C$5:$L$2060,5,FALSE),"")</f>
        <v>Andino</v>
      </c>
      <c r="J754" s="51"/>
      <c r="K754" s="50">
        <v>46002</v>
      </c>
      <c r="L754" s="39" t="str">
        <f>VLOOKUP($C754,Carpetas!$C$5:$L$2060,4,FALSE)</f>
        <v>Fray Bentos</v>
      </c>
      <c r="M754" s="55">
        <f t="shared" si="50"/>
        <v>46003</v>
      </c>
      <c r="N754" s="53">
        <f t="shared" si="51"/>
        <v>17</v>
      </c>
      <c r="O754" s="51">
        <v>1080</v>
      </c>
      <c r="P754" s="51"/>
      <c r="Q754" s="51">
        <v>1080</v>
      </c>
      <c r="R754" s="51">
        <v>20</v>
      </c>
      <c r="S754" s="51">
        <v>21</v>
      </c>
      <c r="T754" s="65"/>
      <c r="U754" s="65"/>
      <c r="V754" s="65" t="s">
        <v>1656</v>
      </c>
      <c r="W754" s="51"/>
      <c r="X754" s="66" t="s">
        <v>1657</v>
      </c>
    </row>
    <row r="755" hidden="1" ht="27.75" customHeight="1" s="32" customFormat="1">
      <c r="A755" s="37"/>
      <c r="B755" s="31" t="s">
        <v>32</v>
      </c>
      <c r="C755" s="59" t="s">
        <v>1646</v>
      </c>
      <c r="D755" s="57" t="s">
        <v>30</v>
      </c>
      <c r="E755" s="57">
        <v>45997</v>
      </c>
      <c r="F755" s="38" t="str">
        <f>IF(C755&lt;&gt;"",VLOOKUP($C755,Carpetas!$C$5:$L$2060,2,FALSE),"")</f>
        <v>BOB036</v>
      </c>
      <c r="G755" s="38" t="s">
        <v>31</v>
      </c>
      <c r="H755" s="44">
        <f>IF(C755&lt;&gt;"",VLOOKUP($C755,Carpetas!$C$5:$L$2060,9,FALSE),"")</f>
        <v>0</v>
      </c>
      <c r="I755" s="51" t="str">
        <f>IF(C755&lt;&gt;"",VLOOKUP($C755,Carpetas!$C$5:$L$2060,5,FALSE),"")</f>
        <v>Sur Central</v>
      </c>
      <c r="J755" s="51"/>
      <c r="K755" s="50">
        <v>46003</v>
      </c>
      <c r="L755" s="39" t="str">
        <f>VLOOKUP($C755,Carpetas!$C$5:$L$2060,4,FALSE)</f>
        <v>Salto</v>
      </c>
      <c r="M755" s="55">
        <f t="shared" si="50"/>
        <v>46004</v>
      </c>
      <c r="N755" s="53">
        <f t="shared" si="51"/>
        <v>7</v>
      </c>
      <c r="O755" s="51">
        <v>1050</v>
      </c>
      <c r="P755" s="51"/>
      <c r="Q755" s="51">
        <v>1050</v>
      </c>
      <c r="R755" s="51"/>
      <c r="S755" s="51"/>
      <c r="T755" s="65"/>
      <c r="U755" s="65"/>
      <c r="V755" s="65" t="s">
        <v>895</v>
      </c>
      <c r="W755" s="51"/>
      <c r="X755" s="66" t="s">
        <v>1658</v>
      </c>
    </row>
    <row r="756" hidden="1" ht="27.75" customHeight="1" s="32" customFormat="1">
      <c r="A756" s="37"/>
      <c r="B756" s="31" t="s">
        <v>32</v>
      </c>
      <c r="C756" s="59" t="s">
        <v>1655</v>
      </c>
      <c r="D756" s="57" t="s">
        <v>30</v>
      </c>
      <c r="E756" s="57">
        <v>45986</v>
      </c>
      <c r="F756" s="38" t="str">
        <f>IF(C756&lt;&gt;"",VLOOKUP($C756,Carpetas!$C$5:$L$2060,2,FALSE),"")</f>
        <v>ECI003</v>
      </c>
      <c r="G756" s="38" t="s">
        <v>43</v>
      </c>
      <c r="H756" s="44">
        <f>IF(C756&lt;&gt;"",VLOOKUP($C756,Carpetas!$C$5:$L$2060,9,FALSE),"")</f>
        <v>1542621</v>
      </c>
      <c r="I756" s="51" t="str">
        <f>IF(C756&lt;&gt;"",VLOOKUP($C756,Carpetas!$C$5:$L$2060,5,FALSE),"")</f>
        <v>Andino</v>
      </c>
      <c r="J756" s="51"/>
      <c r="K756" s="50">
        <v>46003</v>
      </c>
      <c r="L756" s="39" t="str">
        <f>VLOOKUP($C756,Carpetas!$C$5:$L$2060,4,FALSE)</f>
        <v>Fray Bentos</v>
      </c>
      <c r="M756" s="55">
        <f t="shared" si="50"/>
        <v>46004</v>
      </c>
      <c r="N756" s="53">
        <f t="shared" si="51"/>
        <v>18</v>
      </c>
      <c r="O756" s="51">
        <v>3240</v>
      </c>
      <c r="P756" s="51"/>
      <c r="Q756" s="51" t="s">
        <v>1594</v>
      </c>
      <c r="R756" s="51"/>
      <c r="S756" s="51"/>
      <c r="T756" s="65"/>
      <c r="U756" s="65"/>
      <c r="V756" s="65"/>
      <c r="W756" s="51"/>
      <c r="X756" s="66"/>
    </row>
    <row r="757" hidden="1" ht="27.75" customHeight="1" s="32" customFormat="1">
      <c r="A757" s="37"/>
      <c r="B757" s="31" t="s">
        <v>32</v>
      </c>
      <c r="C757" s="59" t="s">
        <v>1659</v>
      </c>
      <c r="D757" s="57" t="s">
        <v>632</v>
      </c>
      <c r="E757" s="57">
        <v>46002</v>
      </c>
      <c r="F757" s="38" t="str">
        <f>IF(C757&lt;&gt;"",VLOOKUP($C757,Carpetas!$C$5:$L$2060,2,FALSE),"")</f>
        <v>ECES005</v>
      </c>
      <c r="G757" s="38" t="s">
        <v>43</v>
      </c>
      <c r="H757" s="44">
        <f>IF(C757&lt;&gt;"",VLOOKUP($C757,Carpetas!$C$5:$L$2060,9,FALSE),"")</f>
        <v>1544167</v>
      </c>
      <c r="I757" s="51" t="str">
        <f>IF(C757&lt;&gt;"",VLOOKUP($C757,Carpetas!$C$5:$L$2060,5,FALSE),"")</f>
        <v>Ciatran</v>
      </c>
      <c r="J757" s="51"/>
      <c r="K757" s="50">
        <v>46003</v>
      </c>
      <c r="L757" s="39" t="str">
        <f>VLOOKUP($C757,Carpetas!$C$5:$L$2060,4,FALSE)</f>
        <v>Carrasco</v>
      </c>
      <c r="M757" s="55">
        <f t="shared" si="50"/>
        <v>46004</v>
      </c>
      <c r="N757" s="53">
        <f t="shared" si="51"/>
        <v>2</v>
      </c>
      <c r="O757" s="51">
        <v>100</v>
      </c>
      <c r="P757" s="51"/>
      <c r="Q757" s="51">
        <v>100</v>
      </c>
      <c r="R757" s="51"/>
      <c r="S757" s="51"/>
      <c r="T757" s="65"/>
      <c r="U757" s="65"/>
      <c r="V757" s="65"/>
      <c r="W757" s="51"/>
      <c r="X757" s="66" t="s">
        <v>1660</v>
      </c>
    </row>
    <row r="758" hidden="1" ht="27.75" customHeight="1" s="32" customFormat="1">
      <c r="A758" s="37"/>
      <c r="B758" s="31" t="s">
        <v>32</v>
      </c>
      <c r="C758" s="59" t="s">
        <v>1661</v>
      </c>
      <c r="D758" s="57" t="s">
        <v>42</v>
      </c>
      <c r="E758" s="57">
        <v>45986</v>
      </c>
      <c r="F758" s="38" t="str">
        <f>IF(C758&lt;&gt;"",VLOOKUP($C758,Carpetas!$C$5:$L$2060,2,FALSE),"")</f>
        <v>ECA029</v>
      </c>
      <c r="G758" s="38" t="s">
        <v>43</v>
      </c>
      <c r="H758" s="44">
        <f>IF(C758&lt;&gt;"",VLOOKUP($C758,Carpetas!$C$5:$L$2060,9,FALSE),"")</f>
        <v>1542693</v>
      </c>
      <c r="I758" s="51" t="str">
        <f>IF(C758&lt;&gt;"",VLOOKUP($C758,Carpetas!$C$5:$L$2060,5,FALSE),"")</f>
        <v>Andino</v>
      </c>
      <c r="J758" s="51"/>
      <c r="K758" s="50">
        <v>46006</v>
      </c>
      <c r="L758" s="39" t="str">
        <f>VLOOKUP($C758,Carpetas!$C$5:$L$2060,4,FALSE)</f>
        <v>Fray Bentos</v>
      </c>
      <c r="M758" s="55">
        <f t="shared" si="50"/>
        <v>46007</v>
      </c>
      <c r="N758" s="53">
        <f t="shared" si="51"/>
        <v>21</v>
      </c>
      <c r="O758" s="51">
        <v>1680</v>
      </c>
      <c r="P758" s="51"/>
      <c r="Q758" s="51">
        <v>1680</v>
      </c>
      <c r="R758" s="51">
        <v>21</v>
      </c>
      <c r="S758" s="51"/>
      <c r="T758" s="65"/>
      <c r="U758" s="65"/>
      <c r="V758" s="65"/>
      <c r="W758" s="51"/>
      <c r="X758" s="66" t="s">
        <v>1662</v>
      </c>
    </row>
    <row r="759" hidden="1" ht="27.75" customHeight="1" s="32" customFormat="1">
      <c r="A759" s="37"/>
      <c r="B759" s="31" t="s">
        <v>32</v>
      </c>
      <c r="C759" s="59" t="s">
        <v>1663</v>
      </c>
      <c r="D759" s="57" t="s">
        <v>30</v>
      </c>
      <c r="E759" s="57">
        <v>45986</v>
      </c>
      <c r="F759" s="38" t="str">
        <f>IF(C759&lt;&gt;"",VLOOKUP($C759,Carpetas!$C$5:$L$2060,2,FALSE),"")</f>
        <v>ECB052</v>
      </c>
      <c r="G759" s="38" t="s">
        <v>43</v>
      </c>
      <c r="H759" s="44">
        <f>IF(C759&lt;&gt;"",VLOOKUP($C759,Carpetas!$C$5:$L$2060,9,FALSE),"")</f>
        <v>1542630</v>
      </c>
      <c r="I759" s="51" t="str">
        <f>IF(C759&lt;&gt;"",VLOOKUP($C759,Carpetas!$C$5:$L$2060,5,FALSE),"")</f>
        <v>Andino</v>
      </c>
      <c r="J759" s="51"/>
      <c r="K759" s="50">
        <v>46006</v>
      </c>
      <c r="L759" s="39" t="str">
        <f>VLOOKUP($C759,Carpetas!$C$5:$L$2060,4,FALSE)</f>
        <v>Fray Bentos</v>
      </c>
      <c r="M759" s="55">
        <f t="shared" si="50"/>
        <v>46007</v>
      </c>
      <c r="N759" s="53">
        <f t="shared" si="51"/>
        <v>21</v>
      </c>
      <c r="O759" s="51">
        <v>6480</v>
      </c>
      <c r="P759" s="51"/>
      <c r="Q759" s="51" t="s">
        <v>1664</v>
      </c>
      <c r="R759" s="51">
        <v>63</v>
      </c>
      <c r="S759" s="51"/>
      <c r="T759" s="65"/>
      <c r="U759" s="65"/>
      <c r="V759" s="65"/>
      <c r="W759" s="51"/>
      <c r="X759" s="66"/>
    </row>
    <row r="760" hidden="1" ht="27.75" customHeight="1" s="32" customFormat="1">
      <c r="A760" s="37"/>
      <c r="B760" s="31" t="s">
        <v>32</v>
      </c>
      <c r="C760" s="59" t="s">
        <v>1653</v>
      </c>
      <c r="D760" s="57" t="s">
        <v>30</v>
      </c>
      <c r="E760" s="57">
        <v>45986</v>
      </c>
      <c r="F760" s="38" t="str">
        <f>IF(C760&lt;&gt;"",VLOOKUP($C760,Carpetas!$C$5:$L$2060,2,FALSE),"")</f>
        <v>ECE061</v>
      </c>
      <c r="G760" s="38" t="s">
        <v>43</v>
      </c>
      <c r="H760" s="44">
        <f>IF(C760&lt;&gt;"",VLOOKUP($C760,Carpetas!$C$5:$L$2060,9,FALSE),"")</f>
        <v>1542621</v>
      </c>
      <c r="I760" s="51" t="str">
        <f>IF(C760&lt;&gt;"",VLOOKUP($C760,Carpetas!$C$5:$L$2060,5,FALSE),"")</f>
        <v>Andino</v>
      </c>
      <c r="J760" s="51"/>
      <c r="K760" s="50">
        <v>46006</v>
      </c>
      <c r="L760" s="39" t="str">
        <f>VLOOKUP($C760,Carpetas!$C$5:$L$2060,4,FALSE)</f>
        <v>Fray Bentos</v>
      </c>
      <c r="M760" s="55">
        <f t="shared" si="50"/>
        <v>46007</v>
      </c>
      <c r="N760" s="53">
        <f t="shared" si="51"/>
        <v>21</v>
      </c>
      <c r="O760" s="51">
        <v>3240</v>
      </c>
      <c r="P760" s="51"/>
      <c r="Q760" s="51" t="s">
        <v>1594</v>
      </c>
      <c r="R760" s="51"/>
      <c r="S760" s="51"/>
      <c r="T760" s="65"/>
      <c r="U760" s="65"/>
      <c r="V760" s="65"/>
      <c r="W760" s="51"/>
      <c r="X760" s="66"/>
    </row>
    <row r="761" hidden="1" ht="27.75" customHeight="1" s="32" customFormat="1">
      <c r="A761" s="37"/>
      <c r="B761" s="31" t="s">
        <v>32</v>
      </c>
      <c r="C761" s="59" t="s">
        <v>1665</v>
      </c>
      <c r="D761" s="57" t="s">
        <v>750</v>
      </c>
      <c r="E761" s="57">
        <v>46003</v>
      </c>
      <c r="F761" s="38" t="str">
        <f>IF(C761&lt;&gt;"",VLOOKUP($C761,Carpetas!$C$5:$L$2060,2,FALSE),"")</f>
        <v>CLCE002</v>
      </c>
      <c r="G761" s="38" t="s">
        <v>35</v>
      </c>
      <c r="H761" s="44">
        <f>IF(C761&lt;&gt;"",VLOOKUP($C761,Carpetas!$C$5:$L$2060,9,FALSE),"")</f>
        <v>1545074</v>
      </c>
      <c r="I761" s="51" t="str">
        <f>IF(C761&lt;&gt;"",VLOOKUP($C761,Carpetas!$C$5:$L$2060,5,FALSE),"")</f>
        <v>Nihuil</v>
      </c>
      <c r="J761" s="51"/>
      <c r="K761" s="50">
        <v>46006</v>
      </c>
      <c r="L761" s="39" t="str">
        <f>VLOOKUP($C761,Carpetas!$C$5:$L$2060,4,FALSE)</f>
        <v>Fray Bentos</v>
      </c>
      <c r="M761" s="55">
        <f t="shared" si="50"/>
        <v>46007</v>
      </c>
      <c r="N761" s="53">
        <f t="shared" si="51"/>
        <v>4</v>
      </c>
      <c r="O761" s="51">
        <v>1912</v>
      </c>
      <c r="P761" s="51"/>
      <c r="Q761" s="51">
        <v>1912</v>
      </c>
      <c r="R761" s="51"/>
      <c r="S761" s="51"/>
      <c r="T761" s="65"/>
      <c r="U761" s="65"/>
      <c r="V761" s="65"/>
      <c r="W761" s="51"/>
      <c r="X761" s="66" t="s">
        <v>1666</v>
      </c>
    </row>
    <row r="762" hidden="1" ht="27.75" customHeight="1" s="32" customFormat="1">
      <c r="A762" s="37"/>
      <c r="B762" s="31" t="s">
        <v>32</v>
      </c>
      <c r="C762" s="59" t="s">
        <v>1667</v>
      </c>
      <c r="D762" s="57" t="s">
        <v>48</v>
      </c>
      <c r="E762" s="57">
        <v>46002</v>
      </c>
      <c r="F762" s="38" t="str">
        <f>IF(C762&lt;&gt;"",VLOOKUP($C762,Carpetas!$C$5:$L$2060,2,FALSE),"")</f>
        <v>CLP031</v>
      </c>
      <c r="G762" s="38" t="s">
        <v>35</v>
      </c>
      <c r="H762" s="44">
        <f>IF(C762&lt;&gt;"",VLOOKUP($C762,Carpetas!$C$5:$L$2060,9,FALSE),"")</f>
        <v>0</v>
      </c>
      <c r="I762" s="51" t="str">
        <f>IF(C762&lt;&gt;"",VLOOKUP($C762,Carpetas!$C$5:$L$2060,5,FALSE),"")</f>
        <v>RCT</v>
      </c>
      <c r="J762" s="51"/>
      <c r="K762" s="50">
        <v>46006</v>
      </c>
      <c r="L762" s="39" t="str">
        <f>VLOOKUP($C762,Carpetas!$C$5:$L$2060,4,FALSE)</f>
        <v>Fray Bentos</v>
      </c>
      <c r="M762" s="55">
        <f t="shared" si="50"/>
        <v>46007</v>
      </c>
      <c r="N762" s="53">
        <f t="shared" si="51"/>
        <v>5</v>
      </c>
      <c r="O762" s="51">
        <v>2112</v>
      </c>
      <c r="P762" s="51"/>
      <c r="Q762" s="51">
        <v>2112</v>
      </c>
      <c r="R762" s="51">
        <v>24</v>
      </c>
      <c r="S762" s="51"/>
      <c r="T762" s="65"/>
      <c r="U762" s="65"/>
      <c r="V762" s="65"/>
      <c r="W762" s="51"/>
      <c r="X762" s="66" t="s">
        <v>1668</v>
      </c>
    </row>
    <row r="763" hidden="1" ht="27.75" customHeight="1" s="32" customFormat="1">
      <c r="A763" s="37"/>
      <c r="B763" s="31" t="s">
        <v>32</v>
      </c>
      <c r="C763" s="59" t="s">
        <v>1669</v>
      </c>
      <c r="D763" s="57" t="s">
        <v>30</v>
      </c>
      <c r="E763" s="57">
        <v>45993</v>
      </c>
      <c r="F763" s="38" t="str">
        <f>IF(C763&lt;&gt;"",VLOOKUP($C763,Carpetas!$C$5:$L$2060,2,FALSE),"")</f>
        <v>ECE062</v>
      </c>
      <c r="G763" s="38" t="s">
        <v>43</v>
      </c>
      <c r="H763" s="44">
        <f>IF(C763&lt;&gt;"",VLOOKUP($C763,Carpetas!$C$5:$L$2060,9,FALSE),"")</f>
        <v>1542621</v>
      </c>
      <c r="I763" s="51" t="str">
        <f>IF(C763&lt;&gt;"",VLOOKUP($C763,Carpetas!$C$5:$L$2060,5,FALSE),"")</f>
        <v>Andino</v>
      </c>
      <c r="J763" s="51"/>
      <c r="K763" s="50">
        <v>46006</v>
      </c>
      <c r="L763" s="39" t="str">
        <f>VLOOKUP($C763,Carpetas!$C$5:$L$2060,4,FALSE)</f>
        <v>Fray Bentos</v>
      </c>
      <c r="M763" s="55">
        <f t="shared" si="50"/>
        <v>46007</v>
      </c>
      <c r="N763" s="53">
        <f t="shared" si="51"/>
        <v>14</v>
      </c>
      <c r="O763" s="51">
        <v>1128</v>
      </c>
      <c r="P763" s="51"/>
      <c r="Q763" s="51">
        <v>1128</v>
      </c>
      <c r="R763" s="51">
        <v>20</v>
      </c>
      <c r="S763" s="51"/>
      <c r="T763" s="65"/>
      <c r="U763" s="65"/>
      <c r="V763" s="65" t="s">
        <v>1670</v>
      </c>
      <c r="W763" s="51"/>
      <c r="X763" s="66" t="s">
        <v>1671</v>
      </c>
    </row>
    <row r="764" hidden="1" ht="27.75" customHeight="1" s="32" customFormat="1">
      <c r="A764" s="37"/>
      <c r="B764" s="31" t="s">
        <v>32</v>
      </c>
      <c r="C764" s="59" t="s">
        <v>1672</v>
      </c>
      <c r="D764" s="57" t="s">
        <v>432</v>
      </c>
      <c r="E764" s="57">
        <v>45967</v>
      </c>
      <c r="F764" s="38" t="str">
        <f>IF(C764&lt;&gt;"",VLOOKUP($C764,Carpetas!$C$5:$L$2060,2,FALSE),"")</f>
        <v>GRK004</v>
      </c>
      <c r="G764" s="38" t="s">
        <v>833</v>
      </c>
      <c r="H764" s="44">
        <f>IF(C764&lt;&gt;"",VLOOKUP($C764,Carpetas!$C$5:$L$2060,9,FALSE),"")</f>
        <v>0</v>
      </c>
      <c r="I764" s="51" t="str">
        <f>IF(C764&lt;&gt;"",VLOOKUP($C764,Carpetas!$C$5:$L$2060,5,FALSE),"")</f>
        <v>Ciatran</v>
      </c>
      <c r="J764" s="51"/>
      <c r="K764" s="50">
        <v>46008</v>
      </c>
      <c r="L764" s="39" t="str">
        <f>VLOOKUP($C764,Carpetas!$C$5:$L$2060,4,FALSE)</f>
        <v>Montevideo</v>
      </c>
      <c r="M764" s="55">
        <f t="shared" si="50"/>
        <v>46009</v>
      </c>
      <c r="N764" s="53">
        <f t="shared" si="51"/>
        <v>42</v>
      </c>
      <c r="O764" s="51">
        <v>2010</v>
      </c>
      <c r="P764" s="51"/>
      <c r="Q764" s="51">
        <v>2010</v>
      </c>
      <c r="R764" s="51">
        <v>21</v>
      </c>
      <c r="S764" s="51"/>
      <c r="T764" s="65"/>
      <c r="U764" s="65"/>
      <c r="V764" s="65"/>
      <c r="W764" s="51"/>
      <c r="X764" s="66" t="s">
        <v>1673</v>
      </c>
    </row>
    <row r="765" hidden="1" ht="27.75" customHeight="1" s="32" customFormat="1">
      <c r="A765" s="37"/>
      <c r="B765" s="31" t="s">
        <v>32</v>
      </c>
      <c r="C765" s="59" t="s">
        <v>1674</v>
      </c>
      <c r="D765" s="57" t="s">
        <v>30</v>
      </c>
      <c r="E765" s="57">
        <v>46002</v>
      </c>
      <c r="F765" s="38" t="str">
        <f>IF(C765&lt;&gt;"",VLOOKUP($C765,Carpetas!$C$5:$L$2060,2,FALSE),"")</f>
        <v>BOB037</v>
      </c>
      <c r="G765" s="38" t="s">
        <v>31</v>
      </c>
      <c r="H765" s="44">
        <f>IF(C765&lt;&gt;"",VLOOKUP($C765,Carpetas!$C$5:$L$2060,9,FALSE),"")</f>
        <v>0</v>
      </c>
      <c r="I765" s="51" t="str">
        <f>IF(C765&lt;&gt;"",VLOOKUP($C765,Carpetas!$C$5:$L$2060,5,FALSE),"")</f>
        <v>Transvictoria</v>
      </c>
      <c r="J765" s="51"/>
      <c r="K765" s="50">
        <v>46008</v>
      </c>
      <c r="L765" s="39" t="str">
        <f>VLOOKUP($C765,Carpetas!$C$5:$L$2060,4,FALSE)</f>
        <v>Salto</v>
      </c>
      <c r="M765" s="55">
        <f t="shared" si="50"/>
        <v>46009</v>
      </c>
      <c r="N765" s="53">
        <f t="shared" si="51"/>
        <v>7</v>
      </c>
      <c r="O765" s="51">
        <v>1050</v>
      </c>
      <c r="P765" s="51"/>
      <c r="Q765" s="51">
        <v>1050</v>
      </c>
      <c r="R765" s="51"/>
      <c r="S765" s="51"/>
      <c r="T765" s="65"/>
      <c r="U765" s="65"/>
      <c r="V765" s="65"/>
      <c r="W765" s="51"/>
      <c r="X765" s="66" t="s">
        <v>1675</v>
      </c>
    </row>
    <row r="766" hidden="1" ht="27.75" customHeight="1" s="32" customFormat="1">
      <c r="A766" s="37"/>
      <c r="B766" s="31" t="s">
        <v>32</v>
      </c>
      <c r="C766" s="59" t="s">
        <v>1676</v>
      </c>
      <c r="D766" s="57" t="s">
        <v>30</v>
      </c>
      <c r="E766" s="57">
        <v>46004</v>
      </c>
      <c r="F766" s="38" t="str">
        <f>IF(C766&lt;&gt;"",VLOOKUP($C766,Carpetas!$C$5:$L$2060,2,FALSE),"")</f>
        <v>BOB038</v>
      </c>
      <c r="G766" s="38" t="s">
        <v>31</v>
      </c>
      <c r="H766" s="44">
        <f>IF(C766&lt;&gt;"",VLOOKUP($C766,Carpetas!$C$5:$L$2060,9,FALSE),"")</f>
        <v>0</v>
      </c>
      <c r="I766" s="51" t="str">
        <f>IF(C766&lt;&gt;"",VLOOKUP($C766,Carpetas!$C$5:$L$2060,5,FALSE),"")</f>
        <v>Sur Central</v>
      </c>
      <c r="J766" s="51"/>
      <c r="K766" s="50">
        <v>46008</v>
      </c>
      <c r="L766" s="39" t="str">
        <f>VLOOKUP($C766,Carpetas!$C$5:$L$2060,4,FALSE)</f>
        <v>Salto</v>
      </c>
      <c r="M766" s="55">
        <f t="shared" si="50"/>
        <v>46009</v>
      </c>
      <c r="N766" s="53">
        <f t="shared" si="51"/>
        <v>5</v>
      </c>
      <c r="O766" s="51">
        <v>1050</v>
      </c>
      <c r="P766" s="51"/>
      <c r="Q766" s="51">
        <v>1050</v>
      </c>
      <c r="R766" s="51"/>
      <c r="S766" s="51"/>
      <c r="T766" s="65"/>
      <c r="U766" s="65" t="s">
        <v>1677</v>
      </c>
      <c r="V766" s="65"/>
      <c r="W766" s="51"/>
      <c r="X766" s="66" t="s">
        <v>1678</v>
      </c>
    </row>
    <row r="767" hidden="1" ht="27.75" customHeight="1" s="32" customFormat="1">
      <c r="A767" s="37"/>
      <c r="B767" s="31" t="s">
        <v>32</v>
      </c>
      <c r="C767" s="59" t="s">
        <v>1620</v>
      </c>
      <c r="D767" s="57" t="s">
        <v>30</v>
      </c>
      <c r="E767" s="57">
        <v>46003</v>
      </c>
      <c r="F767" s="38" t="str">
        <f>IF(C767&lt;&gt;"",VLOOKUP($C767,Carpetas!$C$5:$L$2060,2,FALSE),"")</f>
        <v>BOB034</v>
      </c>
      <c r="G767" s="38" t="s">
        <v>31</v>
      </c>
      <c r="H767" s="44">
        <f>IF(C767&lt;&gt;"",VLOOKUP($C767,Carpetas!$C$5:$L$2060,9,FALSE),"")</f>
        <v>0</v>
      </c>
      <c r="I767" s="51" t="str">
        <f>IF(C767&lt;&gt;"",VLOOKUP($C767,Carpetas!$C$5:$L$2060,5,FALSE),"")</f>
        <v>El Palomar</v>
      </c>
      <c r="J767" s="51"/>
      <c r="K767" s="50">
        <v>46008</v>
      </c>
      <c r="L767" s="39" t="str">
        <f>VLOOKUP($C767,Carpetas!$C$5:$L$2060,4,FALSE)</f>
        <v>Salto</v>
      </c>
      <c r="M767" s="55">
        <f t="shared" si="50"/>
        <v>46009</v>
      </c>
      <c r="N767" s="53">
        <f t="shared" si="51"/>
        <v>6</v>
      </c>
      <c r="O767" s="51">
        <v>1104</v>
      </c>
      <c r="P767" s="51"/>
      <c r="Q767" s="51">
        <v>1104</v>
      </c>
      <c r="R767" s="51"/>
      <c r="S767" s="51"/>
      <c r="T767" s="65"/>
      <c r="U767" s="65"/>
      <c r="V767" s="65" t="s">
        <v>1612</v>
      </c>
      <c r="W767" s="51"/>
      <c r="X767" s="66" t="s">
        <v>1679</v>
      </c>
    </row>
    <row r="768" hidden="1" ht="27.75" customHeight="1" s="32" customFormat="1">
      <c r="A768" s="37"/>
      <c r="B768" s="31" t="s">
        <v>32</v>
      </c>
      <c r="C768" s="59" t="s">
        <v>1674</v>
      </c>
      <c r="D768" s="57" t="s">
        <v>30</v>
      </c>
      <c r="E768" s="57">
        <v>46004</v>
      </c>
      <c r="F768" s="38" t="str">
        <f>IF(C768&lt;&gt;"",VLOOKUP($C768,Carpetas!$C$5:$L$2060,2,FALSE),"")</f>
        <v>BOB037</v>
      </c>
      <c r="G768" s="38" t="s">
        <v>31</v>
      </c>
      <c r="H768" s="44">
        <f>IF(C768&lt;&gt;"",VLOOKUP($C768,Carpetas!$C$5:$L$2060,9,FALSE),"")</f>
        <v>0</v>
      </c>
      <c r="I768" s="51" t="str">
        <f>IF(C768&lt;&gt;"",VLOOKUP($C768,Carpetas!$C$5:$L$2060,5,FALSE),"")</f>
        <v>Transvictoria</v>
      </c>
      <c r="J768" s="51"/>
      <c r="K768" s="50">
        <f>E768+5</f>
        <v>46009</v>
      </c>
      <c r="L768" s="39" t="str">
        <f>VLOOKUP($C768,Carpetas!$C$5:$L$2060,4,FALSE)</f>
        <v>Salto</v>
      </c>
      <c r="M768" s="55">
        <f t="shared" si="50"/>
        <v>46010</v>
      </c>
      <c r="N768" s="53">
        <f t="shared" si="51"/>
        <v>6</v>
      </c>
      <c r="O768" s="51">
        <v>1050</v>
      </c>
      <c r="P768" s="51"/>
      <c r="Q768" s="51">
        <v>1050</v>
      </c>
      <c r="R768" s="51"/>
      <c r="S768" s="51"/>
      <c r="T768" s="65"/>
      <c r="U768" s="65"/>
      <c r="V768" s="65" t="s">
        <v>895</v>
      </c>
      <c r="W768" s="51"/>
      <c r="X768" s="66" t="s">
        <v>1680</v>
      </c>
    </row>
    <row r="769" hidden="1" ht="27.75" customHeight="1" s="32" customFormat="1">
      <c r="A769" s="37"/>
      <c r="B769" s="31" t="s">
        <v>32</v>
      </c>
      <c r="C769" s="59" t="s">
        <v>1681</v>
      </c>
      <c r="D769" s="57" t="s">
        <v>30</v>
      </c>
      <c r="E769" s="57">
        <v>45993</v>
      </c>
      <c r="F769" s="38" t="str">
        <f>IF(C769&lt;&gt;"",VLOOKUP($C769,Carpetas!$C$5:$L$2060,2,FALSE),"")</f>
        <v>ECI004</v>
      </c>
      <c r="G769" s="38" t="s">
        <v>43</v>
      </c>
      <c r="H769" s="44">
        <f>IF(C769&lt;&gt;"",VLOOKUP($C769,Carpetas!$C$5:$L$2060,9,FALSE),"")</f>
        <v>1543301</v>
      </c>
      <c r="I769" s="51" t="str">
        <f>IF(C769&lt;&gt;"",VLOOKUP($C769,Carpetas!$C$5:$L$2060,5,FALSE),"")</f>
        <v>Andino</v>
      </c>
      <c r="J769" s="51"/>
      <c r="K769" s="50">
        <v>46010</v>
      </c>
      <c r="L769" s="39" t="str">
        <f>VLOOKUP($C769,Carpetas!$C$5:$L$2060,4,FALSE)</f>
        <v>Fray Bentos</v>
      </c>
      <c r="M769" s="55">
        <f t="shared" si="50"/>
        <v>46011</v>
      </c>
      <c r="N769" s="53">
        <f t="shared" si="51"/>
        <v>18</v>
      </c>
      <c r="O769" s="51">
        <v>4320</v>
      </c>
      <c r="P769" s="51"/>
      <c r="Q769" s="51" t="s">
        <v>1682</v>
      </c>
      <c r="R769" s="51"/>
      <c r="S769" s="51"/>
      <c r="T769" s="65"/>
      <c r="U769" s="65"/>
      <c r="V769" s="65"/>
      <c r="W769" s="51"/>
      <c r="X769" s="66"/>
    </row>
    <row r="770" hidden="1" ht="27.75" customHeight="1" s="32" customFormat="1">
      <c r="A770" s="37"/>
      <c r="B770" s="31" t="s">
        <v>32</v>
      </c>
      <c r="C770" s="59" t="s">
        <v>1683</v>
      </c>
      <c r="D770" s="57" t="s">
        <v>765</v>
      </c>
      <c r="E770" s="57">
        <v>46006</v>
      </c>
      <c r="F770" s="38" t="str">
        <f>IF(C770&lt;&gt;"",VLOOKUP($C770,Carpetas!$C$5:$L$2060,2,FALSE),"")</f>
        <v>CLL002</v>
      </c>
      <c r="G770" s="38" t="s">
        <v>35</v>
      </c>
      <c r="H770" s="44">
        <f>IF(C770&lt;&gt;"",VLOOKUP($C770,Carpetas!$C$5:$L$2060,9,FALSE),"")</f>
        <v>1547423</v>
      </c>
      <c r="I770" s="51" t="str">
        <f>IF(C770&lt;&gt;"",VLOOKUP($C770,Carpetas!$C$5:$L$2060,5,FALSE),"")</f>
        <v>Valle Grande</v>
      </c>
      <c r="J770" s="51"/>
      <c r="K770" s="50">
        <v>46010</v>
      </c>
      <c r="L770" s="39" t="str">
        <f>VLOOKUP($C770,Carpetas!$C$5:$L$2060,4,FALSE)</f>
        <v>Fray Bentos</v>
      </c>
      <c r="M770" s="55">
        <f t="shared" si="50"/>
        <v>46011</v>
      </c>
      <c r="N770" s="53">
        <f t="shared" si="51"/>
        <v>5</v>
      </c>
      <c r="O770" s="51">
        <v>1408</v>
      </c>
      <c r="P770" s="51"/>
      <c r="Q770" s="51">
        <v>1408</v>
      </c>
      <c r="R770" s="51"/>
      <c r="S770" s="51"/>
      <c r="T770" s="65"/>
      <c r="U770" s="65"/>
      <c r="V770" s="65"/>
      <c r="W770" s="51"/>
      <c r="X770" s="66" t="s">
        <v>1684</v>
      </c>
    </row>
    <row r="771" hidden="1" ht="27.75" customHeight="1" s="32" customFormat="1">
      <c r="A771" s="37"/>
      <c r="B771" s="31" t="s">
        <v>32</v>
      </c>
      <c r="C771" s="59" t="s">
        <v>1685</v>
      </c>
      <c r="D771" s="57" t="s">
        <v>30</v>
      </c>
      <c r="E771" s="57">
        <v>45993</v>
      </c>
      <c r="F771" s="38" t="str">
        <f>IF(C771&lt;&gt;"",VLOOKUP($C771,Carpetas!$C$5:$L$2060,2,FALSE),"")</f>
        <v>ECB053</v>
      </c>
      <c r="G771" s="38" t="s">
        <v>43</v>
      </c>
      <c r="H771" s="44">
        <f>IF(C771&lt;&gt;"",VLOOKUP($C771,Carpetas!$C$5:$L$2060,9,FALSE),"")</f>
        <v>1543300</v>
      </c>
      <c r="I771" s="51" t="str">
        <f>IF(C771&lt;&gt;"",VLOOKUP($C771,Carpetas!$C$5:$L$2060,5,FALSE),"")</f>
        <v>Andino</v>
      </c>
      <c r="J771" s="51"/>
      <c r="K771" s="50">
        <v>46010</v>
      </c>
      <c r="L771" s="39" t="str">
        <f>VLOOKUP($C771,Carpetas!$C$5:$L$2060,4,FALSE)</f>
        <v>Fray Bentos</v>
      </c>
      <c r="M771" s="55">
        <f t="shared" si="50"/>
        <v>46011</v>
      </c>
      <c r="N771" s="53">
        <f t="shared" si="51"/>
        <v>18</v>
      </c>
      <c r="O771" s="51">
        <v>6480</v>
      </c>
      <c r="P771" s="51"/>
      <c r="Q771" s="51">
        <v>6480</v>
      </c>
      <c r="R771" s="51">
        <v>120</v>
      </c>
      <c r="S771" s="51"/>
      <c r="T771" s="65"/>
      <c r="U771" s="65"/>
      <c r="V771" s="65"/>
      <c r="W771" s="51"/>
      <c r="X771" s="66" t="s">
        <v>1686</v>
      </c>
    </row>
    <row r="772" hidden="1" ht="27.75" customHeight="1" s="32" customFormat="1">
      <c r="A772" s="37"/>
      <c r="B772" s="31" t="s">
        <v>32</v>
      </c>
      <c r="C772" s="59" t="s">
        <v>1687</v>
      </c>
      <c r="D772" s="57" t="s">
        <v>48</v>
      </c>
      <c r="E772" s="57">
        <v>46008</v>
      </c>
      <c r="F772" s="38" t="str">
        <f>IF(C772&lt;&gt;"",VLOOKUP($C772,Carpetas!$C$5:$L$2060,2,FALSE),"")</f>
        <v>CLP032</v>
      </c>
      <c r="G772" s="38" t="s">
        <v>35</v>
      </c>
      <c r="H772" s="44">
        <f>IF(C772&lt;&gt;"",VLOOKUP($C772,Carpetas!$C$5:$L$2060,9,FALSE),"")</f>
        <v>1547423</v>
      </c>
      <c r="I772" s="51" t="str">
        <f>IF(C772&lt;&gt;"",VLOOKUP($C772,Carpetas!$C$5:$L$2060,5,FALSE),"")</f>
        <v>Valle Grande</v>
      </c>
      <c r="J772" s="51"/>
      <c r="K772" s="50">
        <f>E772+5</f>
        <v>46013</v>
      </c>
      <c r="L772" s="39" t="str">
        <f>VLOOKUP($C772,Carpetas!$C$5:$L$2060,4,FALSE)</f>
        <v>Fray Bentos</v>
      </c>
      <c r="M772" s="55">
        <f t="shared" si="50"/>
        <v>46014</v>
      </c>
      <c r="N772" s="53">
        <f t="shared" si="51"/>
        <v>6</v>
      </c>
      <c r="O772" s="51">
        <v>2112</v>
      </c>
      <c r="P772" s="51"/>
      <c r="Q772" s="51">
        <v>2112</v>
      </c>
      <c r="R772" s="51">
        <v>24</v>
      </c>
      <c r="S772" s="51"/>
      <c r="T772" s="65"/>
      <c r="U772" s="65"/>
      <c r="V772" s="65"/>
      <c r="W772" s="51"/>
      <c r="X772" s="66" t="s">
        <v>1688</v>
      </c>
    </row>
    <row r="773" hidden="1" ht="27.75" customHeight="1" s="32" customFormat="1">
      <c r="A773" s="37"/>
      <c r="B773" s="31" t="s">
        <v>32</v>
      </c>
      <c r="C773" s="59" t="s">
        <v>1689</v>
      </c>
      <c r="D773" s="57" t="s">
        <v>432</v>
      </c>
      <c r="E773" s="57">
        <v>45972</v>
      </c>
      <c r="F773" s="38" t="str">
        <f>IF(C773&lt;&gt;"",VLOOKUP($C773,Carpetas!$C$5:$L$2060,2,FALSE),"")</f>
        <v>GRK005</v>
      </c>
      <c r="G773" s="38" t="s">
        <v>833</v>
      </c>
      <c r="H773" s="44">
        <f>IF(C773&lt;&gt;"",VLOOKUP($C773,Carpetas!$C$5:$L$2060,9,FALSE),"")</f>
        <v>0</v>
      </c>
      <c r="I773" s="51" t="str">
        <f>IF(C773&lt;&gt;"",VLOOKUP($C773,Carpetas!$C$5:$L$2060,5,FALSE),"")</f>
        <v>Ciatran</v>
      </c>
      <c r="J773" s="51"/>
      <c r="K773" s="50">
        <v>46013</v>
      </c>
      <c r="L773" s="39" t="str">
        <f>VLOOKUP($C773,Carpetas!$C$5:$L$2060,4,FALSE)</f>
        <v>Montevideo</v>
      </c>
      <c r="M773" s="55">
        <v>46015</v>
      </c>
      <c r="N773" s="53">
        <f t="shared" si="51"/>
        <v>43</v>
      </c>
      <c r="O773" s="51">
        <v>2280</v>
      </c>
      <c r="P773" s="51"/>
      <c r="Q773" s="51">
        <v>2288</v>
      </c>
      <c r="R773" s="51">
        <v>21</v>
      </c>
      <c r="S773" s="51"/>
      <c r="T773" s="65"/>
      <c r="U773" s="65"/>
      <c r="V773" s="65"/>
      <c r="W773" s="51"/>
      <c r="X773" s="66" t="s">
        <v>1690</v>
      </c>
    </row>
    <row r="774" hidden="1" ht="27.75" customHeight="1" s="32" customFormat="1">
      <c r="A774" s="37"/>
      <c r="B774" s="31" t="s">
        <v>32</v>
      </c>
      <c r="C774" s="59" t="s">
        <v>1676</v>
      </c>
      <c r="D774" s="57" t="s">
        <v>30</v>
      </c>
      <c r="E774" s="57">
        <v>46009</v>
      </c>
      <c r="F774" s="38" t="str">
        <f>IF(C774&lt;&gt;"",VLOOKUP($C774,Carpetas!$C$5:$L$2060,2,FALSE),"")</f>
        <v>BOB038</v>
      </c>
      <c r="G774" s="38" t="s">
        <v>35</v>
      </c>
      <c r="H774" s="44">
        <f>IF(C774&lt;&gt;"",VLOOKUP($C774,Carpetas!$C$5:$L$2060,9,FALSE),"")</f>
        <v>0</v>
      </c>
      <c r="I774" s="51" t="str">
        <f>IF(C774&lt;&gt;"",VLOOKUP($C774,Carpetas!$C$5:$L$2060,5,FALSE),"")</f>
        <v>Sur Central</v>
      </c>
      <c r="J774" s="51"/>
      <c r="K774" s="50">
        <f>E774+5</f>
        <v>46014</v>
      </c>
      <c r="L774" s="39" t="str">
        <f>VLOOKUP($C774,Carpetas!$C$5:$L$2060,4,FALSE)</f>
        <v>Salto</v>
      </c>
      <c r="M774" s="55">
        <f>K774+1</f>
        <v>46015</v>
      </c>
      <c r="N774" s="53">
        <f t="shared" si="51"/>
        <v>6</v>
      </c>
      <c r="O774" s="51">
        <v>1050</v>
      </c>
      <c r="P774" s="51"/>
      <c r="Q774" s="51">
        <v>1050</v>
      </c>
      <c r="R774" s="51"/>
      <c r="S774" s="51"/>
      <c r="T774" s="65"/>
      <c r="U774" s="65"/>
      <c r="V774" s="65" t="s">
        <v>1691</v>
      </c>
      <c r="W774" s="51"/>
      <c r="X774" s="66" t="s">
        <v>1692</v>
      </c>
    </row>
    <row r="775" hidden="1" ht="27.75" customHeight="1" s="32" customFormat="1">
      <c r="A775" s="37"/>
      <c r="B775" s="31" t="s">
        <v>32</v>
      </c>
      <c r="C775" s="59" t="s">
        <v>1693</v>
      </c>
      <c r="D775" s="57" t="s">
        <v>30</v>
      </c>
      <c r="E775" s="57">
        <v>46007</v>
      </c>
      <c r="F775" s="38" t="str">
        <f>IF(C775&lt;&gt;"",VLOOKUP($C775,Carpetas!$C$5:$L$2060,2,FALSE),"")</f>
        <v>BOB040</v>
      </c>
      <c r="G775" s="38" t="s">
        <v>35</v>
      </c>
      <c r="H775" s="44">
        <f>IF(C775&lt;&gt;"",VLOOKUP($C775,Carpetas!$C$5:$L$2060,9,FALSE),"")</f>
        <v>0</v>
      </c>
      <c r="I775" s="51" t="str">
        <f>IF(C775&lt;&gt;"",VLOOKUP($C775,Carpetas!$C$5:$L$2060,5,FALSE),"")</f>
        <v>El Palomar</v>
      </c>
      <c r="J775" s="51"/>
      <c r="K775" s="50">
        <v>46015</v>
      </c>
      <c r="L775" s="39" t="str">
        <f>VLOOKUP($C775,Carpetas!$C$5:$L$2060,4,FALSE)</f>
        <v>Salto</v>
      </c>
      <c r="M775" s="55">
        <v>46018</v>
      </c>
      <c r="N775" s="53">
        <f t="shared" si="51"/>
        <v>11</v>
      </c>
      <c r="O775" s="51">
        <v>1104</v>
      </c>
      <c r="P775" s="51"/>
      <c r="Q775" s="51">
        <v>1104</v>
      </c>
      <c r="R775" s="51"/>
      <c r="S775" s="51"/>
      <c r="T775" s="65"/>
      <c r="U775" s="65"/>
      <c r="V775" s="65"/>
      <c r="W775" s="51"/>
      <c r="X775" s="66"/>
    </row>
    <row r="776" hidden="1" ht="27.75" customHeight="1" s="32" customFormat="1">
      <c r="A776" s="37"/>
      <c r="B776" s="31" t="s">
        <v>32</v>
      </c>
      <c r="C776" s="59" t="s">
        <v>1694</v>
      </c>
      <c r="D776" s="57" t="s">
        <v>30</v>
      </c>
      <c r="E776" s="57">
        <v>46009</v>
      </c>
      <c r="F776" s="38" t="str">
        <f>IF(C776&lt;&gt;"",VLOOKUP($C776,Carpetas!$C$5:$L$2060,2,FALSE),"")</f>
        <v>BOB041</v>
      </c>
      <c r="G776" s="38" t="s">
        <v>35</v>
      </c>
      <c r="H776" s="44">
        <f>IF(C776&lt;&gt;"",VLOOKUP($C776,Carpetas!$C$5:$L$2060,9,FALSE),"")</f>
        <v>0</v>
      </c>
      <c r="I776" s="51" t="str">
        <f>IF(C776&lt;&gt;"",VLOOKUP($C776,Carpetas!$C$5:$L$2060,5,FALSE),"")</f>
        <v>Transvictoria</v>
      </c>
      <c r="J776" s="51"/>
      <c r="K776" s="50">
        <v>46015</v>
      </c>
      <c r="L776" s="39" t="str">
        <f>VLOOKUP($C776,Carpetas!$C$5:$L$2060,4,FALSE)</f>
        <v>Salto</v>
      </c>
      <c r="M776" s="55">
        <v>46018</v>
      </c>
      <c r="N776" s="53">
        <f t="shared" si="51"/>
        <v>9</v>
      </c>
      <c r="O776" s="51">
        <v>1050</v>
      </c>
      <c r="P776" s="51"/>
      <c r="Q776" s="51">
        <v>1049</v>
      </c>
      <c r="R776" s="51"/>
      <c r="S776" s="51">
        <v>21</v>
      </c>
      <c r="T776" s="65"/>
      <c r="U776" s="65"/>
      <c r="V776" s="65" t="s">
        <v>895</v>
      </c>
      <c r="W776" s="51"/>
      <c r="X776" s="66" t="s">
        <v>1695</v>
      </c>
    </row>
    <row r="777" hidden="1" ht="27.75" customHeight="1" s="32" customFormat="1">
      <c r="A777" s="37"/>
      <c r="B777" s="31" t="s">
        <v>32</v>
      </c>
      <c r="C777" s="59" t="s">
        <v>1696</v>
      </c>
      <c r="D777" s="57" t="s">
        <v>30</v>
      </c>
      <c r="E777" s="57">
        <v>46009</v>
      </c>
      <c r="F777" s="38" t="str">
        <f>IF(C777&lt;&gt;"",VLOOKUP($C777,Carpetas!$C$5:$L$2060,2,FALSE),"")</f>
        <v>BOB042</v>
      </c>
      <c r="G777" s="38" t="s">
        <v>35</v>
      </c>
      <c r="H777" s="44">
        <f>IF(C777&lt;&gt;"",VLOOKUP($C777,Carpetas!$C$5:$L$2060,9,FALSE),"")</f>
        <v>0</v>
      </c>
      <c r="I777" s="51" t="str">
        <f>IF(C777&lt;&gt;"",VLOOKUP($C777,Carpetas!$C$5:$L$2060,5,FALSE),"")</f>
        <v>Sur Central</v>
      </c>
      <c r="J777" s="51"/>
      <c r="K777" s="50">
        <v>46015</v>
      </c>
      <c r="L777" s="39" t="str">
        <f>VLOOKUP($C777,Carpetas!$C$5:$L$2060,4,FALSE)</f>
        <v>Salto</v>
      </c>
      <c r="M777" s="55">
        <v>46018</v>
      </c>
      <c r="N777" s="53">
        <f t="shared" si="51"/>
        <v>9</v>
      </c>
      <c r="O777" s="51">
        <v>1050</v>
      </c>
      <c r="P777" s="51"/>
      <c r="Q777" s="51">
        <v>1050</v>
      </c>
      <c r="R777" s="51"/>
      <c r="S777" s="51"/>
      <c r="T777" s="65"/>
      <c r="U777" s="65"/>
      <c r="V777" s="65" t="s">
        <v>1589</v>
      </c>
      <c r="W777" s="51"/>
      <c r="X777" s="66" t="s">
        <v>1697</v>
      </c>
    </row>
    <row r="778" hidden="1" ht="27.75" customHeight="1" s="32" customFormat="1">
      <c r="A778" s="37"/>
      <c r="B778" s="31" t="s">
        <v>32</v>
      </c>
      <c r="C778" s="59" t="s">
        <v>1698</v>
      </c>
      <c r="D778" s="57" t="s">
        <v>42</v>
      </c>
      <c r="E778" s="57">
        <v>46000</v>
      </c>
      <c r="F778" s="38" t="str">
        <f>IF(C778&lt;&gt;"",VLOOKUP($C778,Carpetas!$C$5:$L$2060,2,FALSE),"")</f>
        <v>ECA030</v>
      </c>
      <c r="G778" s="38" t="s">
        <v>43</v>
      </c>
      <c r="H778" s="44">
        <f>IF(C778&lt;&gt;"",VLOOKUP($C778,Carpetas!$C$5:$L$2060,9,FALSE),"")</f>
        <v>1543302</v>
      </c>
      <c r="I778" s="51" t="str">
        <f>IF(C778&lt;&gt;"",VLOOKUP($C778,Carpetas!$C$5:$L$2060,5,FALSE),"")</f>
        <v>Andino</v>
      </c>
      <c r="J778" s="51"/>
      <c r="K778" s="50">
        <v>46017</v>
      </c>
      <c r="L778" s="39" t="str">
        <f>VLOOKUP($C778,Carpetas!$C$5:$L$2060,4,FALSE)</f>
        <v>Fray Bentos</v>
      </c>
      <c r="M778" s="55">
        <f ref="M778:M783" t="shared" si="52">K778+1</f>
        <v>46018</v>
      </c>
      <c r="N778" s="53">
        <f t="shared" si="51"/>
        <v>18</v>
      </c>
      <c r="O778" s="51">
        <v>1680</v>
      </c>
      <c r="P778" s="51"/>
      <c r="Q778" s="51">
        <v>1680</v>
      </c>
      <c r="R778" s="51">
        <v>21</v>
      </c>
      <c r="S778" s="51"/>
      <c r="T778" s="65"/>
      <c r="U778" s="65"/>
      <c r="V778" s="65"/>
      <c r="W778" s="51"/>
      <c r="X778" s="66" t="s">
        <v>1699</v>
      </c>
    </row>
    <row r="779" hidden="1" ht="27.75" customHeight="1" s="32" customFormat="1">
      <c r="A779" s="37"/>
      <c r="B779" s="31" t="s">
        <v>32</v>
      </c>
      <c r="C779" s="59" t="s">
        <v>1700</v>
      </c>
      <c r="D779" s="57" t="s">
        <v>30</v>
      </c>
      <c r="E779" s="57">
        <v>46000</v>
      </c>
      <c r="F779" s="38" t="str">
        <f>IF(C779&lt;&gt;"",VLOOKUP($C779,Carpetas!$C$5:$L$2060,2,FALSE),"")</f>
        <v>ECE063</v>
      </c>
      <c r="G779" s="38" t="s">
        <v>43</v>
      </c>
      <c r="H779" s="44">
        <f>IF(C779&lt;&gt;"",VLOOKUP($C779,Carpetas!$C$5:$L$2060,9,FALSE),"")</f>
        <v>1544329</v>
      </c>
      <c r="I779" s="51" t="str">
        <f>IF(C779&lt;&gt;"",VLOOKUP($C779,Carpetas!$C$5:$L$2060,5,FALSE),"")</f>
        <v>Andino</v>
      </c>
      <c r="J779" s="51"/>
      <c r="K779" s="50">
        <v>46017</v>
      </c>
      <c r="L779" s="39" t="str">
        <f>VLOOKUP($C779,Carpetas!$C$5:$L$2060,4,FALSE)</f>
        <v>Fray Bentos</v>
      </c>
      <c r="M779" s="55">
        <f t="shared" si="52"/>
        <v>46018</v>
      </c>
      <c r="N779" s="53">
        <f t="shared" si="51"/>
        <v>18</v>
      </c>
      <c r="O779" s="51">
        <v>1080</v>
      </c>
      <c r="P779" s="51"/>
      <c r="Q779" s="51">
        <v>1080</v>
      </c>
      <c r="R779" s="51">
        <v>21</v>
      </c>
      <c r="S779" s="51"/>
      <c r="T779" s="65"/>
      <c r="U779" s="65"/>
      <c r="V779" s="65"/>
      <c r="W779" s="51"/>
      <c r="X779" s="66" t="s">
        <v>1701</v>
      </c>
    </row>
    <row r="780" hidden="1" ht="27.75" customHeight="1" s="32" customFormat="1">
      <c r="A780" s="37"/>
      <c r="B780" s="31" t="s">
        <v>32</v>
      </c>
      <c r="C780" s="59" t="s">
        <v>1702</v>
      </c>
      <c r="D780" s="57" t="s">
        <v>30</v>
      </c>
      <c r="E780" s="57">
        <v>46000</v>
      </c>
      <c r="F780" s="38" t="str">
        <f>IF(C780&lt;&gt;"",VLOOKUP($C780,Carpetas!$C$5:$L$2060,2,FALSE),"")</f>
        <v>ECB054</v>
      </c>
      <c r="G780" s="38" t="s">
        <v>43</v>
      </c>
      <c r="H780" s="44">
        <f>IF(C780&lt;&gt;"",VLOOKUP($C780,Carpetas!$C$5:$L$2060,9,FALSE),"")</f>
        <v>1544005</v>
      </c>
      <c r="I780" s="51" t="str">
        <f>IF(C780&lt;&gt;"",VLOOKUP($C780,Carpetas!$C$5:$L$2060,5,FALSE),"")</f>
        <v>Andino</v>
      </c>
      <c r="J780" s="51"/>
      <c r="K780" s="50">
        <v>46017</v>
      </c>
      <c r="L780" s="39" t="str">
        <f>VLOOKUP($C780,Carpetas!$C$5:$L$2060,4,FALSE)</f>
        <v>Fray Bentos</v>
      </c>
      <c r="M780" s="55">
        <f t="shared" si="52"/>
        <v>46018</v>
      </c>
      <c r="N780" s="53">
        <f t="shared" si="51"/>
        <v>18</v>
      </c>
      <c r="O780" s="51">
        <v>3240</v>
      </c>
      <c r="P780" s="51"/>
      <c r="Q780" s="51" t="s">
        <v>1594</v>
      </c>
      <c r="R780" s="51">
        <v>60</v>
      </c>
      <c r="S780" s="51"/>
      <c r="T780" s="65"/>
      <c r="U780" s="65"/>
      <c r="V780" s="65"/>
      <c r="W780" s="51"/>
      <c r="X780" s="66"/>
    </row>
    <row r="781" hidden="1" ht="27.75" customHeight="1" s="32" customFormat="1">
      <c r="A781" s="37"/>
      <c r="B781" s="31" t="s">
        <v>32</v>
      </c>
      <c r="C781" s="59" t="s">
        <v>1703</v>
      </c>
      <c r="D781" s="57" t="s">
        <v>30</v>
      </c>
      <c r="E781" s="57">
        <v>46000</v>
      </c>
      <c r="F781" s="38" t="str">
        <f>IF(C781&lt;&gt;"",VLOOKUP($C781,Carpetas!$C$5:$L$2060,2,FALSE),"")</f>
        <v>ECI005</v>
      </c>
      <c r="G781" s="38" t="s">
        <v>43</v>
      </c>
      <c r="H781" s="44">
        <f>IF(C781&lt;&gt;"",VLOOKUP($C781,Carpetas!$C$5:$L$2060,9,FALSE),"")</f>
        <v>1544004</v>
      </c>
      <c r="I781" s="51" t="str">
        <f>IF(C781&lt;&gt;"",VLOOKUP($C781,Carpetas!$C$5:$L$2060,5,FALSE),"")</f>
        <v>Andino</v>
      </c>
      <c r="J781" s="51"/>
      <c r="K781" s="50">
        <v>46017</v>
      </c>
      <c r="L781" s="39" t="str">
        <f>VLOOKUP($C781,Carpetas!$C$5:$L$2060,4,FALSE)</f>
        <v>Fray Bentos</v>
      </c>
      <c r="M781" s="55">
        <f t="shared" si="52"/>
        <v>46018</v>
      </c>
      <c r="N781" s="53">
        <f t="shared" si="51"/>
        <v>18</v>
      </c>
      <c r="O781" s="51">
        <v>3240</v>
      </c>
      <c r="P781" s="51"/>
      <c r="Q781" s="51" t="s">
        <v>1594</v>
      </c>
      <c r="R781" s="51">
        <v>60</v>
      </c>
      <c r="S781" s="51"/>
      <c r="T781" s="65"/>
      <c r="U781" s="65"/>
      <c r="V781" s="65"/>
      <c r="W781" s="51"/>
      <c r="X781" s="66" t="s">
        <v>1704</v>
      </c>
    </row>
    <row r="782" hidden="1" ht="27.75" customHeight="1" s="32" customFormat="1">
      <c r="A782" s="37"/>
      <c r="B782" s="31" t="s">
        <v>32</v>
      </c>
      <c r="C782" s="59" t="s">
        <v>1705</v>
      </c>
      <c r="D782" s="57" t="s">
        <v>48</v>
      </c>
      <c r="E782" s="57">
        <v>45987</v>
      </c>
      <c r="F782" s="38" t="str">
        <f>IF(C782&lt;&gt;"",VLOOKUP($C782,Carpetas!$C$5:$L$2060,2,FALSE),"")</f>
        <v>MXP002</v>
      </c>
      <c r="G782" s="38" t="s">
        <v>78</v>
      </c>
      <c r="H782" s="44">
        <f>IF(C782&lt;&gt;"",VLOOKUP($C782,Carpetas!$C$5:$L$2060,9,FALSE),"")</f>
        <v>0</v>
      </c>
      <c r="I782" s="51" t="str">
        <f>IF(C782&lt;&gt;"",VLOOKUP($C782,Carpetas!$C$5:$L$2060,5,FALSE),"")</f>
        <v>Andino</v>
      </c>
      <c r="J782" s="51"/>
      <c r="K782" s="50">
        <v>46017</v>
      </c>
      <c r="L782" s="39" t="str">
        <f>VLOOKUP($C782,Carpetas!$C$5:$L$2060,4,FALSE)</f>
        <v>Fray Bentos</v>
      </c>
      <c r="M782" s="55">
        <f t="shared" si="52"/>
        <v>46018</v>
      </c>
      <c r="N782" s="53">
        <f t="shared" si="51"/>
        <v>31</v>
      </c>
      <c r="O782" s="51">
        <v>1920</v>
      </c>
      <c r="P782" s="51"/>
      <c r="Q782" s="51">
        <v>1920</v>
      </c>
      <c r="R782" s="51">
        <v>20</v>
      </c>
      <c r="S782" s="51"/>
      <c r="T782" s="65"/>
      <c r="U782" s="65"/>
      <c r="V782" s="65"/>
      <c r="W782" s="51"/>
      <c r="X782" s="66" t="s">
        <v>1706</v>
      </c>
    </row>
    <row r="783" hidden="1" ht="27.75" customHeight="1" s="32" customFormat="1">
      <c r="A783" s="37"/>
      <c r="B783" s="31" t="s">
        <v>32</v>
      </c>
      <c r="C783" s="59" t="s">
        <v>1707</v>
      </c>
      <c r="D783" s="57" t="s">
        <v>30</v>
      </c>
      <c r="E783" s="57">
        <v>46008</v>
      </c>
      <c r="F783" s="38" t="str">
        <f>IF(C783&lt;&gt;"",VLOOKUP($C783,Carpetas!$C$5:$L$2060,2,FALSE),"")</f>
        <v>BOB039</v>
      </c>
      <c r="G783" s="38" t="s">
        <v>35</v>
      </c>
      <c r="H783" s="44">
        <f>IF(C783&lt;&gt;"",VLOOKUP($C783,Carpetas!$C$5:$L$2060,9,FALSE),"")</f>
        <v>0</v>
      </c>
      <c r="I783" s="51" t="str">
        <f>IF(C783&lt;&gt;"",VLOOKUP($C783,Carpetas!$C$5:$L$2060,5,FALSE),"")</f>
        <v>Sur Central</v>
      </c>
      <c r="J783" s="51"/>
      <c r="K783" s="50">
        <v>46017</v>
      </c>
      <c r="L783" s="39" t="str">
        <f>VLOOKUP($C783,Carpetas!$C$5:$L$2060,4,FALSE)</f>
        <v>Salto</v>
      </c>
      <c r="M783" s="55">
        <f t="shared" si="52"/>
        <v>46018</v>
      </c>
      <c r="N783" s="53">
        <f t="shared" si="51"/>
        <v>10</v>
      </c>
      <c r="O783" s="51">
        <v>1000</v>
      </c>
      <c r="P783" s="51"/>
      <c r="Q783" s="51"/>
      <c r="R783" s="51"/>
      <c r="S783" s="51"/>
      <c r="T783" s="65"/>
      <c r="U783" s="65"/>
      <c r="V783" s="65"/>
      <c r="W783" s="51"/>
      <c r="X783" s="66"/>
    </row>
    <row r="784" hidden="1" ht="27.75" customHeight="1" s="32" customFormat="1">
      <c r="A784" s="37"/>
      <c r="B784" s="31" t="s">
        <v>32</v>
      </c>
      <c r="C784" s="59" t="s">
        <v>1700</v>
      </c>
      <c r="D784" s="57" t="s">
        <v>30</v>
      </c>
      <c r="E784" s="57">
        <v>46000</v>
      </c>
      <c r="F784" s="38" t="str">
        <f>IF(C784&lt;&gt;"",VLOOKUP($C784,Carpetas!$C$5:$L$2060,2,FALSE),"")</f>
        <v>ECE063</v>
      </c>
      <c r="G784" s="38" t="s">
        <v>43</v>
      </c>
      <c r="H784" s="44">
        <f>IF(C784&lt;&gt;"",VLOOKUP($C784,Carpetas!$C$5:$L$2060,9,FALSE),"")</f>
        <v>1544329</v>
      </c>
      <c r="I784" s="51" t="str">
        <f>IF(C784&lt;&gt;"",VLOOKUP($C784,Carpetas!$C$5:$L$2060,5,FALSE),"")</f>
        <v>Andino</v>
      </c>
      <c r="J784" s="51"/>
      <c r="K784" s="50">
        <v>46017</v>
      </c>
      <c r="L784" s="39" t="str">
        <f>VLOOKUP($C784,Carpetas!$C$5:$L$2060,4,FALSE)</f>
        <v>Fray Bentos</v>
      </c>
      <c r="M784" s="55">
        <v>46018</v>
      </c>
      <c r="N784" s="53">
        <f t="shared" si="51"/>
        <v>18</v>
      </c>
      <c r="O784" s="51">
        <v>1080</v>
      </c>
      <c r="P784" s="51"/>
      <c r="Q784" s="51">
        <v>1080</v>
      </c>
      <c r="R784" s="51">
        <v>20</v>
      </c>
      <c r="S784" s="51"/>
      <c r="T784" s="65"/>
      <c r="U784" s="65"/>
      <c r="V784" s="65"/>
      <c r="W784" s="51"/>
      <c r="X784" s="66" t="s">
        <v>1708</v>
      </c>
    </row>
    <row r="785" hidden="1" ht="27.75" customHeight="1" s="32" customFormat="1">
      <c r="A785" s="37"/>
      <c r="B785" s="31" t="s">
        <v>32</v>
      </c>
      <c r="C785" s="59" t="s">
        <v>1703</v>
      </c>
      <c r="D785" s="57" t="s">
        <v>30</v>
      </c>
      <c r="E785" s="57">
        <v>46000</v>
      </c>
      <c r="F785" s="38" t="str">
        <f>IF(C785&lt;&gt;"",VLOOKUP($C785,Carpetas!$C$5:$L$2060,2,FALSE),"")</f>
        <v>ECI005</v>
      </c>
      <c r="G785" s="38" t="s">
        <v>43</v>
      </c>
      <c r="H785" s="44">
        <f>IF(C785&lt;&gt;"",VLOOKUP($C785,Carpetas!$C$5:$L$2060,9,FALSE),"")</f>
        <v>1544004</v>
      </c>
      <c r="I785" s="51" t="str">
        <f>IF(C785&lt;&gt;"",VLOOKUP($C785,Carpetas!$C$5:$L$2060,5,FALSE),"")</f>
        <v>Andino</v>
      </c>
      <c r="J785" s="51"/>
      <c r="K785" s="50">
        <v>46017</v>
      </c>
      <c r="L785" s="39" t="str">
        <f>VLOOKUP($C785,Carpetas!$C$5:$L$2060,4,FALSE)</f>
        <v>Fray Bentos</v>
      </c>
      <c r="M785" s="55">
        <v>46018</v>
      </c>
      <c r="N785" s="53">
        <f t="shared" si="51"/>
        <v>18</v>
      </c>
      <c r="O785" s="51">
        <v>1080</v>
      </c>
      <c r="P785" s="51"/>
      <c r="Q785" s="51">
        <v>1080</v>
      </c>
      <c r="R785" s="51">
        <v>20</v>
      </c>
      <c r="S785" s="51"/>
      <c r="T785" s="65"/>
      <c r="U785" s="65"/>
      <c r="V785" s="65"/>
      <c r="W785" s="51"/>
      <c r="X785" s="66" t="s">
        <v>1709</v>
      </c>
    </row>
    <row r="786" hidden="1" ht="27.75" customHeight="1" s="32" customFormat="1">
      <c r="A786" s="37"/>
      <c r="B786" s="31" t="s">
        <v>32</v>
      </c>
      <c r="C786" s="59" t="s">
        <v>1702</v>
      </c>
      <c r="D786" s="57" t="s">
        <v>30</v>
      </c>
      <c r="E786" s="57">
        <v>46000</v>
      </c>
      <c r="F786" s="38" t="str">
        <f>IF(C786&lt;&gt;"",VLOOKUP($C786,Carpetas!$C$5:$L$2060,2,FALSE),"")</f>
        <v>ECB054</v>
      </c>
      <c r="G786" s="38" t="s">
        <v>43</v>
      </c>
      <c r="H786" s="44">
        <f>IF(C786&lt;&gt;"",VLOOKUP($C786,Carpetas!$C$5:$L$2060,9,FALSE),"")</f>
        <v>1544005</v>
      </c>
      <c r="I786" s="51" t="str">
        <f>IF(C786&lt;&gt;"",VLOOKUP($C786,Carpetas!$C$5:$L$2060,5,FALSE),"")</f>
        <v>Andino</v>
      </c>
      <c r="J786" s="51"/>
      <c r="K786" s="50">
        <v>46018</v>
      </c>
      <c r="L786" s="39" t="str">
        <f>VLOOKUP($C786,Carpetas!$C$5:$L$2060,4,FALSE)</f>
        <v>Fray Bentos</v>
      </c>
      <c r="M786" s="55">
        <v>46020</v>
      </c>
      <c r="N786" s="53">
        <f t="shared" si="51"/>
        <v>20</v>
      </c>
      <c r="O786" s="51">
        <v>3240</v>
      </c>
      <c r="P786" s="51"/>
      <c r="Q786" s="51" t="s">
        <v>1594</v>
      </c>
      <c r="R786" s="51">
        <v>60</v>
      </c>
      <c r="S786" s="51">
        <v>3240</v>
      </c>
      <c r="T786" s="65"/>
      <c r="U786" s="65"/>
      <c r="V786" s="65"/>
      <c r="W786" s="51"/>
      <c r="X786" s="66" t="s">
        <v>1710</v>
      </c>
    </row>
    <row r="787" hidden="1" ht="27.75" customHeight="1" s="32" customFormat="1">
      <c r="A787" s="37"/>
      <c r="B787" s="31" t="s">
        <v>32</v>
      </c>
      <c r="C787" s="59" t="s">
        <v>1711</v>
      </c>
      <c r="D787" s="57" t="s">
        <v>48</v>
      </c>
      <c r="E787" s="57">
        <v>45993</v>
      </c>
      <c r="F787" s="38" t="str">
        <f>IF(C787&lt;&gt;"",VLOOKUP($C787,Carpetas!$C$5:$L$2060,2,FALSE),"")</f>
        <v>MXP003</v>
      </c>
      <c r="G787" s="38" t="s">
        <v>78</v>
      </c>
      <c r="H787" s="44">
        <f>IF(C787&lt;&gt;"",VLOOKUP($C787,Carpetas!$C$5:$L$2060,9,FALSE),"")</f>
        <v>0</v>
      </c>
      <c r="I787" s="51" t="str">
        <f>IF(C787&lt;&gt;"",VLOOKUP($C787,Carpetas!$C$5:$L$2060,5,FALSE),"")</f>
        <v>Andino</v>
      </c>
      <c r="J787" s="51" t="str">
        <f>IF(D787&lt;&gt;"",VLOOKUP($C787,Carpetas!$C$5:$L$2060,3,FALSE),"")</f>
        <v>Mission</v>
      </c>
      <c r="K787" s="50">
        <v>46024</v>
      </c>
      <c r="L787" s="39" t="str">
        <f>VLOOKUP($C787,Carpetas!$C$5:$L$2060,4,FALSE)</f>
        <v>Fray Bentos</v>
      </c>
      <c r="M787" s="55">
        <f ref="M787:M809" t="shared" si="53">K787+1</f>
        <v>46025</v>
      </c>
      <c r="N787" s="53">
        <f t="shared" si="51"/>
        <v>32</v>
      </c>
      <c r="O787" s="51">
        <v>1920</v>
      </c>
      <c r="P787" s="51"/>
      <c r="Q787" s="51">
        <v>1920</v>
      </c>
      <c r="R787" s="51">
        <v>20</v>
      </c>
      <c r="S787" s="51"/>
      <c r="T787" s="65"/>
      <c r="U787" s="65"/>
      <c r="V787" s="65"/>
      <c r="W787" s="51"/>
      <c r="X787" s="66" t="s">
        <v>1712</v>
      </c>
    </row>
    <row r="788" hidden="1" ht="27.75" customHeight="1" s="32" customFormat="1">
      <c r="A788" s="37"/>
      <c r="B788" s="31" t="s">
        <v>32</v>
      </c>
      <c r="C788" s="59" t="s">
        <v>1713</v>
      </c>
      <c r="D788" s="57" t="s">
        <v>30</v>
      </c>
      <c r="E788" s="57">
        <v>46020</v>
      </c>
      <c r="F788" s="38" t="str">
        <f>IF(C788&lt;&gt;"",VLOOKUP($C788,Carpetas!$C$5:$L$2060,2,FALSE),"")</f>
        <v>BOB043</v>
      </c>
      <c r="G788" s="38" t="s">
        <v>31</v>
      </c>
      <c r="H788" s="44">
        <f>IF(C788&lt;&gt;"",VLOOKUP($C788,Carpetas!$C$5:$L$2060,9,FALSE),"")</f>
        <v>0</v>
      </c>
      <c r="I788" s="51" t="str">
        <f>IF(C788&lt;&gt;"",VLOOKUP($C788,Carpetas!$C$5:$L$2060,5,FALSE),"")</f>
        <v>Sur Central</v>
      </c>
      <c r="J788" s="51" t="str">
        <f>IF(D788&lt;&gt;"",VLOOKUP($C788,Carpetas!$C$5:$L$2060,3,FALSE),"")</f>
        <v>Banexfrut</v>
      </c>
      <c r="K788" s="50">
        <v>46024</v>
      </c>
      <c r="L788" s="39" t="str">
        <f>VLOOKUP($C788,Carpetas!$C$5:$L$2060,4,FALSE)</f>
        <v>Salto</v>
      </c>
      <c r="M788" s="55">
        <f t="shared" si="53"/>
        <v>46025</v>
      </c>
      <c r="N788" s="53">
        <f t="shared" si="51"/>
        <v>5</v>
      </c>
      <c r="O788" s="51">
        <v>1000</v>
      </c>
      <c r="P788" s="51"/>
      <c r="Q788" s="51">
        <v>1050</v>
      </c>
      <c r="R788" s="51"/>
      <c r="S788" s="51"/>
      <c r="T788" s="65"/>
      <c r="U788" s="65"/>
      <c r="V788" s="65"/>
      <c r="W788" s="51"/>
      <c r="X788" s="66" t="s">
        <v>1714</v>
      </c>
    </row>
    <row r="789" hidden="1" ht="27.75" customHeight="1" s="32" customFormat="1">
      <c r="A789" s="37"/>
      <c r="B789" s="31" t="s">
        <v>32</v>
      </c>
      <c r="C789" s="59" t="s">
        <v>1715</v>
      </c>
      <c r="D789" s="57" t="s">
        <v>30</v>
      </c>
      <c r="E789" s="57">
        <v>46020</v>
      </c>
      <c r="F789" s="38" t="str">
        <f>IF(C789&lt;&gt;"",VLOOKUP($C789,Carpetas!$C$5:$L$2060,2,FALSE),"")</f>
        <v>BOB044</v>
      </c>
      <c r="G789" s="38" t="s">
        <v>31</v>
      </c>
      <c r="H789" s="44">
        <f>IF(C789&lt;&gt;"",VLOOKUP($C789,Carpetas!$C$5:$L$2060,9,FALSE),"")</f>
        <v>0</v>
      </c>
      <c r="I789" s="51" t="str">
        <f>IF(C789&lt;&gt;"",VLOOKUP($C789,Carpetas!$C$5:$L$2060,5,FALSE),"")</f>
        <v>El Palomar</v>
      </c>
      <c r="J789" s="51" t="str">
        <f>IF(D789&lt;&gt;"",VLOOKUP($C789,Carpetas!$C$5:$L$2060,3,FALSE),"")</f>
        <v>Chapare</v>
      </c>
      <c r="K789" s="50">
        <v>46024</v>
      </c>
      <c r="L789" s="39" t="str">
        <f>VLOOKUP($C789,Carpetas!$C$5:$L$2060,4,FALSE)</f>
        <v>Salto</v>
      </c>
      <c r="M789" s="55">
        <f t="shared" si="53"/>
        <v>46025</v>
      </c>
      <c r="N789" s="53">
        <f t="shared" si="51"/>
        <v>5</v>
      </c>
      <c r="O789" s="51">
        <v>1104</v>
      </c>
      <c r="P789" s="51"/>
      <c r="Q789" s="51">
        <v>1104</v>
      </c>
      <c r="R789" s="51"/>
      <c r="S789" s="51"/>
      <c r="T789" s="65"/>
      <c r="U789" s="65"/>
      <c r="V789" s="65" t="s">
        <v>1612</v>
      </c>
      <c r="W789" s="51"/>
      <c r="X789" s="66" t="s">
        <v>1716</v>
      </c>
    </row>
    <row r="790" hidden="1" ht="27.75" customHeight="1" s="32" customFormat="1">
      <c r="A790" s="37"/>
      <c r="B790" s="31" t="s">
        <v>32</v>
      </c>
      <c r="C790" s="59" t="s">
        <v>1717</v>
      </c>
      <c r="D790" s="57" t="s">
        <v>48</v>
      </c>
      <c r="E790" s="57">
        <v>46020</v>
      </c>
      <c r="F790" s="38" t="str">
        <f>IF(C790&lt;&gt;"",VLOOKUP($C790,Carpetas!$C$5:$L$2060,2,FALSE),"")</f>
        <v>CLP033</v>
      </c>
      <c r="G790" s="38" t="s">
        <v>35</v>
      </c>
      <c r="H790" s="44">
        <f>IF(C790&lt;&gt;"",VLOOKUP($C790,Carpetas!$C$5:$L$2060,9,FALSE),"")</f>
        <v>0</v>
      </c>
      <c r="I790" s="51" t="str">
        <f>IF(C790&lt;&gt;"",VLOOKUP($C790,Carpetas!$C$5:$L$2060,5,FALSE),"")</f>
        <v>Falero</v>
      </c>
      <c r="J790" s="51" t="str">
        <f>IF(D790&lt;&gt;"",VLOOKUP($C790,Carpetas!$C$5:$L$2060,3,FALSE),"")</f>
        <v>West Falia</v>
      </c>
      <c r="K790" s="50">
        <v>46024</v>
      </c>
      <c r="L790" s="39" t="str">
        <f>VLOOKUP($C790,Carpetas!$C$5:$L$2060,4,FALSE)</f>
        <v>Fray Bentos</v>
      </c>
      <c r="M790" s="55">
        <f t="shared" si="53"/>
        <v>46025</v>
      </c>
      <c r="N790" s="53">
        <f t="shared" si="51"/>
        <v>5</v>
      </c>
      <c r="O790" s="51">
        <v>2112</v>
      </c>
      <c r="P790" s="51"/>
      <c r="Q790" s="51">
        <v>2112</v>
      </c>
      <c r="R790" s="51">
        <v>24</v>
      </c>
      <c r="S790" s="51"/>
      <c r="T790" s="65"/>
      <c r="U790" s="65"/>
      <c r="V790" s="65"/>
      <c r="W790" s="51"/>
      <c r="X790" s="66" t="s">
        <v>1718</v>
      </c>
    </row>
    <row r="791" hidden="1" ht="27.75" customHeight="1" s="32" customFormat="1">
      <c r="A791" s="37" t="s">
        <v>0</v>
      </c>
      <c r="B791" s="31" t="s">
        <v>32</v>
      </c>
      <c r="C791" s="59" t="s">
        <v>1719</v>
      </c>
      <c r="D791" s="57" t="s">
        <v>42</v>
      </c>
      <c r="E791" s="57">
        <v>46007</v>
      </c>
      <c r="F791" s="38" t="str">
        <f>IF(C791&lt;&gt;"",VLOOKUP($C791,Carpetas!$C$5:$L$2060,2,FALSE),"")</f>
        <v>ECA031</v>
      </c>
      <c r="G791" s="38" t="s">
        <v>43</v>
      </c>
      <c r="H791" s="44">
        <f>IF(C791&lt;&gt;"",VLOOKUP($C791,Carpetas!$C$5:$L$2060,9,FALSE),"")</f>
        <v>1544788</v>
      </c>
      <c r="I791" s="51" t="str">
        <f>IF(C791&lt;&gt;"",VLOOKUP($C791,Carpetas!$C$5:$L$2060,5,FALSE),"")</f>
        <v>Andino</v>
      </c>
      <c r="J791" s="51" t="str">
        <f>IF(D791&lt;&gt;"",VLOOKUP($C791,Carpetas!$C$5:$L$2060,3,FALSE),"")</f>
        <v>Agroeden</v>
      </c>
      <c r="K791" s="50">
        <v>46027</v>
      </c>
      <c r="L791" s="39" t="str">
        <f>VLOOKUP($C791,Carpetas!$C$5:$L$2060,4,FALSE)</f>
        <v>Fray Bentos</v>
      </c>
      <c r="M791" s="55">
        <f t="shared" si="53"/>
        <v>46028</v>
      </c>
      <c r="N791" s="53">
        <f t="shared" si="51"/>
        <v>21</v>
      </c>
      <c r="O791" s="51">
        <v>1680</v>
      </c>
      <c r="P791" s="51"/>
      <c r="Q791" s="51"/>
      <c r="R791" s="51"/>
      <c r="S791" s="51"/>
      <c r="T791" s="65"/>
      <c r="U791" s="65"/>
      <c r="V791" s="65"/>
      <c r="W791" s="51"/>
      <c r="X791" s="66" t="s">
        <v>1720</v>
      </c>
    </row>
    <row r="792" hidden="1" ht="27.75" customHeight="1" s="32" customFormat="1">
      <c r="A792" s="37"/>
      <c r="B792" s="31" t="s">
        <v>32</v>
      </c>
      <c r="C792" s="59" t="s">
        <v>1721</v>
      </c>
      <c r="D792" s="57" t="s">
        <v>37</v>
      </c>
      <c r="E792" s="57">
        <v>45987</v>
      </c>
      <c r="F792" s="38" t="str">
        <f>IF(C792&lt;&gt;"",VLOOKUP($C792,Carpetas!$C$5:$L$2060,2,FALSE),"")</f>
        <v>GRK006</v>
      </c>
      <c r="G792" s="38" t="s">
        <v>43</v>
      </c>
      <c r="H792" s="44">
        <f>IF(C792&lt;&gt;"",VLOOKUP($C792,Carpetas!$C$5:$L$2060,9,FALSE),"")</f>
        <v>0</v>
      </c>
      <c r="I792" s="51" t="str">
        <f>IF(C792&lt;&gt;"",VLOOKUP($C792,Carpetas!$C$5:$L$2060,5,FALSE),"")</f>
        <v>Ciatran</v>
      </c>
      <c r="J792" s="51" t="str">
        <f>IF(D792&lt;&gt;"",VLOOKUP($C792,Carpetas!$C$5:$L$2060,3,FALSE),"")</f>
        <v>Ananias</v>
      </c>
      <c r="K792" s="50">
        <v>46027</v>
      </c>
      <c r="L792" s="39" t="str">
        <f>VLOOKUP($C792,Carpetas!$C$5:$L$2060,4,FALSE)</f>
        <v>Montevideo</v>
      </c>
      <c r="M792" s="55">
        <f t="shared" si="53"/>
        <v>46028</v>
      </c>
      <c r="N792" s="53">
        <f t="shared" si="51"/>
        <v>41</v>
      </c>
      <c r="O792" s="51">
        <v>2280</v>
      </c>
      <c r="P792" s="51"/>
      <c r="Q792" s="51">
        <v>21</v>
      </c>
      <c r="R792" s="51">
        <v>2288</v>
      </c>
      <c r="S792" s="51"/>
      <c r="T792" s="65"/>
      <c r="U792" s="65"/>
      <c r="V792" s="65"/>
      <c r="W792" s="51"/>
      <c r="X792" s="66" t="s">
        <v>1722</v>
      </c>
    </row>
    <row r="793" hidden="1" ht="27.75" customHeight="1" s="32" customFormat="1">
      <c r="A793" s="37"/>
      <c r="B793" s="31" t="s">
        <v>32</v>
      </c>
      <c r="C793" s="59" t="s">
        <v>1723</v>
      </c>
      <c r="D793" s="57" t="s">
        <v>30</v>
      </c>
      <c r="E793" s="57">
        <v>46007</v>
      </c>
      <c r="F793" s="38" t="str">
        <f>IF(C793&lt;&gt;"",VLOOKUP($C793,Carpetas!$C$5:$L$2060,2,FALSE),"")</f>
        <v>ECB055</v>
      </c>
      <c r="G793" s="38" t="s">
        <v>43</v>
      </c>
      <c r="H793" s="44">
        <f>IF(C793&lt;&gt;"",VLOOKUP($C793,Carpetas!$C$5:$L$2060,9,FALSE),"")</f>
        <v>1544776</v>
      </c>
      <c r="I793" s="51" t="str">
        <f>IF(C793&lt;&gt;"",VLOOKUP($C793,Carpetas!$C$5:$L$2060,5,FALSE),"")</f>
        <v>Andino</v>
      </c>
      <c r="J793" s="51" t="str">
        <f>IF(D793&lt;&gt;"",VLOOKUP($C793,Carpetas!$C$5:$L$2060,3,FALSE),"")</f>
        <v>Nobora Trading Group</v>
      </c>
      <c r="K793" s="50">
        <v>46027</v>
      </c>
      <c r="L793" s="39" t="str">
        <f>VLOOKUP($C793,Carpetas!$C$5:$L$2060,4,FALSE)</f>
        <v>Fray Bentos</v>
      </c>
      <c r="M793" s="55">
        <f t="shared" si="53"/>
        <v>46028</v>
      </c>
      <c r="N793" s="53">
        <f t="shared" si="51"/>
        <v>21</v>
      </c>
      <c r="O793" s="51">
        <v>4320</v>
      </c>
      <c r="P793" s="51"/>
      <c r="Q793" s="51" t="s">
        <v>1724</v>
      </c>
      <c r="R793" s="51">
        <v>80</v>
      </c>
      <c r="S793" s="51"/>
      <c r="T793" s="65"/>
      <c r="U793" s="65"/>
      <c r="V793" s="65"/>
      <c r="W793" s="51"/>
      <c r="X793" s="66" t="s">
        <v>1725</v>
      </c>
    </row>
    <row r="794" hidden="1" ht="27.75" customHeight="1" s="32" customFormat="1">
      <c r="A794" s="37"/>
      <c r="B794" s="31" t="s">
        <v>32</v>
      </c>
      <c r="C794" s="59" t="s">
        <v>1726</v>
      </c>
      <c r="D794" s="57" t="s">
        <v>30</v>
      </c>
      <c r="E794" s="57">
        <v>46007</v>
      </c>
      <c r="F794" s="38" t="str">
        <f>IF(C794&lt;&gt;"",VLOOKUP($C794,Carpetas!$C$5:$L$2060,2,FALSE),"")</f>
        <v>ECI006</v>
      </c>
      <c r="G794" s="38" t="s">
        <v>43</v>
      </c>
      <c r="H794" s="44">
        <f>IF(C794&lt;&gt;"",VLOOKUP($C794,Carpetas!$C$5:$L$2060,9,FALSE),"")</f>
        <v>1544778</v>
      </c>
      <c r="I794" s="51" t="str">
        <f>IF(C794&lt;&gt;"",VLOOKUP($C794,Carpetas!$C$5:$L$2060,5,FALSE),"")</f>
        <v>Andino</v>
      </c>
      <c r="J794" s="51" t="str">
        <f>IF(D794&lt;&gt;"",VLOOKUP($C794,Carpetas!$C$5:$L$2060,3,FALSE),"")</f>
        <v>Interbanana</v>
      </c>
      <c r="K794" s="50">
        <v>46027</v>
      </c>
      <c r="L794" s="39" t="str">
        <f>VLOOKUP($C794,Carpetas!$C$5:$L$2060,4,FALSE)</f>
        <v>Fray Bentos</v>
      </c>
      <c r="M794" s="55">
        <f t="shared" si="53"/>
        <v>46028</v>
      </c>
      <c r="N794" s="53">
        <f t="shared" si="51"/>
        <v>21</v>
      </c>
      <c r="O794" s="51">
        <v>3240</v>
      </c>
      <c r="P794" s="51"/>
      <c r="Q794" s="51" t="s">
        <v>1594</v>
      </c>
      <c r="R794" s="51">
        <v>60</v>
      </c>
      <c r="S794" s="51"/>
      <c r="T794" s="65"/>
      <c r="U794" s="65"/>
      <c r="V794" s="65"/>
      <c r="W794" s="51"/>
      <c r="X794" s="66" t="s">
        <v>1727</v>
      </c>
    </row>
    <row r="795" hidden="1" ht="27.75" customHeight="1" s="32" customFormat="1">
      <c r="A795" s="37"/>
      <c r="B795" s="31" t="s">
        <v>32</v>
      </c>
      <c r="C795" s="59" t="s">
        <v>1728</v>
      </c>
      <c r="D795" s="57" t="s">
        <v>34</v>
      </c>
      <c r="E795" s="57">
        <v>46024</v>
      </c>
      <c r="F795" s="38" t="str">
        <f>IF(C795&lt;&gt;"",VLOOKUP($C795,Carpetas!$C$5:$L$2060,2,FALSE),"")</f>
        <v>CLA001-26</v>
      </c>
      <c r="G795" s="38" t="s">
        <v>35</v>
      </c>
      <c r="H795" s="44">
        <f>IF(C795&lt;&gt;"",VLOOKUP($C795,Carpetas!$C$5:$L$2060,9,FALSE),"")</f>
        <v>0</v>
      </c>
      <c r="I795" s="51" t="str">
        <f>IF(C795&lt;&gt;"",VLOOKUP($C795,Carpetas!$C$5:$L$2060,5,FALSE),"")</f>
        <v>Valle Grande</v>
      </c>
      <c r="J795" s="51" t="str">
        <f>IF(D795&lt;&gt;"",VLOOKUP($C795,Carpetas!$C$5:$L$2060,3,FALSE),"")</f>
        <v>Beller Export</v>
      </c>
      <c r="K795" s="50">
        <v>46027</v>
      </c>
      <c r="L795" s="39" t="str">
        <f>VLOOKUP($C795,Carpetas!$C$5:$L$2060,4,FALSE)</f>
        <v>Fray Bentos</v>
      </c>
      <c r="M795" s="55">
        <f t="shared" si="53"/>
        <v>46028</v>
      </c>
      <c r="N795" s="53">
        <f t="shared" si="51"/>
        <v>4</v>
      </c>
      <c r="O795" s="51">
        <v>7260</v>
      </c>
      <c r="P795" s="51"/>
      <c r="Q795" s="51">
        <v>7260</v>
      </c>
      <c r="R795" s="51"/>
      <c r="S795" s="51"/>
      <c r="T795" s="65"/>
      <c r="U795" s="65"/>
      <c r="V795" s="65" t="s">
        <v>1269</v>
      </c>
      <c r="W795" s="51"/>
      <c r="X795" s="66" t="s">
        <v>1729</v>
      </c>
    </row>
    <row r="796" hidden="1" ht="27.75" customHeight="1" s="32" customFormat="1">
      <c r="A796" s="37"/>
      <c r="B796" s="31" t="s">
        <v>32</v>
      </c>
      <c r="C796" s="59" t="s">
        <v>1730</v>
      </c>
      <c r="D796" s="57" t="s">
        <v>30</v>
      </c>
      <c r="E796" s="57">
        <v>46020</v>
      </c>
      <c r="F796" s="38" t="str">
        <f>IF(C796&lt;&gt;"",VLOOKUP($C796,Carpetas!$C$5:$L$2060,2,FALSE),"")</f>
        <v>BOB045</v>
      </c>
      <c r="G796" s="38" t="s">
        <v>31</v>
      </c>
      <c r="H796" s="44">
        <f>IF(C796&lt;&gt;"",VLOOKUP($C796,Carpetas!$C$5:$L$2060,9,FALSE),"")</f>
        <v>0</v>
      </c>
      <c r="I796" s="51" t="str">
        <f>IF(C796&lt;&gt;"",VLOOKUP($C796,Carpetas!$C$5:$L$2060,5,FALSE),"")</f>
        <v>El Palomar</v>
      </c>
      <c r="J796" s="51" t="str">
        <f>IF(D796&lt;&gt;"",VLOOKUP($C796,Carpetas!$C$5:$L$2060,3,FALSE),"")</f>
        <v>Chapare</v>
      </c>
      <c r="K796" s="50">
        <v>46028</v>
      </c>
      <c r="L796" s="39" t="str">
        <f>VLOOKUP($C796,Carpetas!$C$5:$L$2060,4,FALSE)</f>
        <v>Salto</v>
      </c>
      <c r="M796" s="55">
        <f t="shared" si="53"/>
        <v>46029</v>
      </c>
      <c r="N796" s="53">
        <f t="shared" si="51"/>
        <v>9</v>
      </c>
      <c r="O796" s="51">
        <v>1104</v>
      </c>
      <c r="P796" s="51"/>
      <c r="Q796" s="51">
        <v>1004</v>
      </c>
      <c r="R796" s="51">
        <v>23</v>
      </c>
      <c r="S796" s="51">
        <v>21</v>
      </c>
      <c r="T796" s="65"/>
      <c r="U796" s="65"/>
      <c r="V796" s="65" t="s">
        <v>605</v>
      </c>
      <c r="W796" s="51"/>
      <c r="X796" s="66" t="s">
        <v>1731</v>
      </c>
    </row>
    <row r="797" hidden="1" ht="27.75" customHeight="1" s="32" customFormat="1">
      <c r="A797" s="37"/>
      <c r="B797" s="31" t="s">
        <v>32</v>
      </c>
      <c r="C797" s="59" t="s">
        <v>1723</v>
      </c>
      <c r="D797" s="57" t="s">
        <v>30</v>
      </c>
      <c r="E797" s="57">
        <v>46007</v>
      </c>
      <c r="F797" s="38" t="str">
        <f>IF(C797&lt;&gt;"",VLOOKUP($C797,Carpetas!$C$5:$L$2060,2,FALSE),"")</f>
        <v>ECB055</v>
      </c>
      <c r="G797" s="38" t="s">
        <v>43</v>
      </c>
      <c r="H797" s="44">
        <f>IF(C797&lt;&gt;"",VLOOKUP($C797,Carpetas!$C$5:$L$2060,9,FALSE),"")</f>
        <v>1544776</v>
      </c>
      <c r="I797" s="51" t="str">
        <f>IF(C797&lt;&gt;"",VLOOKUP($C797,Carpetas!$C$5:$L$2060,5,FALSE),"")</f>
        <v>Andino</v>
      </c>
      <c r="J797" s="51" t="str">
        <f>IF(D797&lt;&gt;"",VLOOKUP($C797,Carpetas!$C$5:$L$2060,3,FALSE),"")</f>
        <v>Nobora Trading Group</v>
      </c>
      <c r="K797" s="50">
        <v>46029</v>
      </c>
      <c r="L797" s="39" t="str">
        <f>VLOOKUP($C797,Carpetas!$C$5:$L$2060,4,FALSE)</f>
        <v>Fray Bentos</v>
      </c>
      <c r="M797" s="55">
        <f t="shared" si="53"/>
        <v>46030</v>
      </c>
      <c r="N797" s="53">
        <f t="shared" si="51"/>
        <v>23</v>
      </c>
      <c r="O797" s="51">
        <v>1080</v>
      </c>
      <c r="P797" s="51"/>
      <c r="Q797" s="51">
        <v>1080</v>
      </c>
      <c r="R797" s="51">
        <v>20</v>
      </c>
      <c r="S797" s="51"/>
      <c r="T797" s="65"/>
      <c r="U797" s="65"/>
      <c r="V797" s="65"/>
      <c r="W797" s="51"/>
      <c r="X797" s="66" t="s">
        <v>1732</v>
      </c>
    </row>
    <row r="798" hidden="1" ht="27.75" customHeight="1" s="32" customFormat="1">
      <c r="A798" s="37"/>
      <c r="B798" s="31" t="s">
        <v>32</v>
      </c>
      <c r="C798" s="59" t="s">
        <v>1733</v>
      </c>
      <c r="D798" s="57" t="s">
        <v>30</v>
      </c>
      <c r="E798" s="57">
        <v>46020</v>
      </c>
      <c r="F798" s="38" t="str">
        <f>IF(C798&lt;&gt;"",VLOOKUP($C798,Carpetas!$C$5:$L$2060,2,FALSE),"")</f>
        <v>BOB046</v>
      </c>
      <c r="G798" s="38" t="s">
        <v>31</v>
      </c>
      <c r="H798" s="44">
        <f>IF(C798&lt;&gt;"",VLOOKUP($C798,Carpetas!$C$5:$L$2060,9,FALSE),"")</f>
        <v>0</v>
      </c>
      <c r="I798" s="51" t="str">
        <f>IF(C798&lt;&gt;"",VLOOKUP($C798,Carpetas!$C$5:$L$2060,5,FALSE),"")</f>
        <v>Sur Central</v>
      </c>
      <c r="J798" s="51" t="str">
        <f>IF(D798&lt;&gt;"",VLOOKUP($C798,Carpetas!$C$5:$L$2060,3,FALSE),"")</f>
        <v>Banexfrut</v>
      </c>
      <c r="K798" s="50">
        <v>46030</v>
      </c>
      <c r="L798" s="39" t="str">
        <f>VLOOKUP($C798,Carpetas!$C$5:$L$2060,4,FALSE)</f>
        <v>Salto</v>
      </c>
      <c r="M798" s="55">
        <f t="shared" si="53"/>
        <v>46031</v>
      </c>
      <c r="N798" s="53">
        <f t="shared" si="51"/>
        <v>11</v>
      </c>
      <c r="O798" s="51">
        <v>1050</v>
      </c>
      <c r="P798" s="51"/>
      <c r="Q798" s="51">
        <v>1049</v>
      </c>
      <c r="R798" s="51"/>
      <c r="S798" s="51">
        <v>21</v>
      </c>
      <c r="T798" s="65"/>
      <c r="U798" s="65"/>
      <c r="V798" s="65" t="s">
        <v>895</v>
      </c>
      <c r="W798" s="51"/>
      <c r="X798" s="66" t="s">
        <v>1734</v>
      </c>
    </row>
    <row r="799" hidden="1" ht="27.75" customHeight="1" s="32" customFormat="1">
      <c r="A799" s="37"/>
      <c r="B799" s="31" t="s">
        <v>32</v>
      </c>
      <c r="C799" s="59" t="s">
        <v>1723</v>
      </c>
      <c r="D799" s="57" t="s">
        <v>30</v>
      </c>
      <c r="E799" s="57">
        <v>46007</v>
      </c>
      <c r="F799" s="38" t="str">
        <f>IF(C799&lt;&gt;"",VLOOKUP($C799,Carpetas!$C$5:$L$2060,2,FALSE),"")</f>
        <v>ECB055</v>
      </c>
      <c r="G799" s="38" t="s">
        <v>43</v>
      </c>
      <c r="H799" s="44">
        <f>IF(C799&lt;&gt;"",VLOOKUP($C799,Carpetas!$C$5:$L$2060,9,FALSE),"")</f>
        <v>1544776</v>
      </c>
      <c r="I799" s="51" t="str">
        <f>IF(C799&lt;&gt;"",VLOOKUP($C799,Carpetas!$C$5:$L$2060,5,FALSE),"")</f>
        <v>Andino</v>
      </c>
      <c r="J799" s="51" t="str">
        <f>IF(D799&lt;&gt;"",VLOOKUP($C799,Carpetas!$C$5:$L$2060,3,FALSE),"")</f>
        <v>Nobora Trading Group</v>
      </c>
      <c r="K799" s="50">
        <v>46030</v>
      </c>
      <c r="L799" s="39" t="str">
        <f>VLOOKUP($C799,Carpetas!$C$5:$L$2060,4,FALSE)</f>
        <v>Fray Bentos</v>
      </c>
      <c r="M799" s="55">
        <f t="shared" si="53"/>
        <v>46031</v>
      </c>
      <c r="N799" s="53">
        <f t="shared" si="51"/>
        <v>24</v>
      </c>
      <c r="O799" s="51">
        <v>1080</v>
      </c>
      <c r="P799" s="51"/>
      <c r="Q799" s="51">
        <v>1080</v>
      </c>
      <c r="R799" s="51">
        <v>20</v>
      </c>
      <c r="S799" s="51"/>
      <c r="T799" s="65"/>
      <c r="U799" s="65"/>
      <c r="V799" s="65"/>
      <c r="W799" s="51"/>
      <c r="X799" s="66" t="s">
        <v>1735</v>
      </c>
    </row>
    <row r="800" hidden="1" ht="27.75" customHeight="1" s="32" customFormat="1">
      <c r="A800" s="37"/>
      <c r="B800" s="31" t="s">
        <v>32</v>
      </c>
      <c r="C800" s="59" t="s">
        <v>1736</v>
      </c>
      <c r="D800" s="57" t="s">
        <v>42</v>
      </c>
      <c r="E800" s="57">
        <v>46014</v>
      </c>
      <c r="F800" s="38" t="str">
        <f>IF(C800&lt;&gt;"",VLOOKUP($C800,Carpetas!$C$5:$L$2060,2,FALSE),"")</f>
        <v>ECA032</v>
      </c>
      <c r="G800" s="38" t="s">
        <v>43</v>
      </c>
      <c r="H800" s="44">
        <f>IF(C800&lt;&gt;"",VLOOKUP($C800,Carpetas!$C$5:$L$2060,9,FALSE),"")</f>
        <v>1545305</v>
      </c>
      <c r="I800" s="51" t="str">
        <f>IF(C800&lt;&gt;"",VLOOKUP($C800,Carpetas!$C$5:$L$2060,5,FALSE),"")</f>
        <v>Andino</v>
      </c>
      <c r="J800" s="51" t="str">
        <f>IF(D800&lt;&gt;"",VLOOKUP($C800,Carpetas!$C$5:$L$2060,3,FALSE),"")</f>
        <v>Agroeden</v>
      </c>
      <c r="K800" s="50">
        <v>46031</v>
      </c>
      <c r="L800" s="39" t="str">
        <f>VLOOKUP($C800,Carpetas!$C$5:$L$2060,4,FALSE)</f>
        <v>Fray Bentos</v>
      </c>
      <c r="M800" s="55">
        <f t="shared" si="53"/>
        <v>46032</v>
      </c>
      <c r="N800" s="53">
        <f t="shared" si="51"/>
        <v>18</v>
      </c>
      <c r="O800" s="51">
        <v>1680</v>
      </c>
      <c r="P800" s="51"/>
      <c r="Q800" s="51">
        <v>1680</v>
      </c>
      <c r="R800" s="51">
        <v>21</v>
      </c>
      <c r="S800" s="51"/>
      <c r="T800" s="65"/>
      <c r="U800" s="65"/>
      <c r="V800" s="65"/>
      <c r="W800" s="51"/>
      <c r="X800" s="66" t="s">
        <v>1737</v>
      </c>
    </row>
    <row r="801" hidden="1" ht="27.75" customHeight="1" s="32" customFormat="1">
      <c r="A801" s="37"/>
      <c r="B801" s="31" t="s">
        <v>32</v>
      </c>
      <c r="C801" s="59" t="s">
        <v>1738</v>
      </c>
      <c r="D801" s="57" t="s">
        <v>30</v>
      </c>
      <c r="E801" s="57">
        <v>46014</v>
      </c>
      <c r="F801" s="38" t="str">
        <f>IF(C801&lt;&gt;"",VLOOKUP($C801,Carpetas!$C$5:$L$2060,2,FALSE),"")</f>
        <v>ECI007</v>
      </c>
      <c r="G801" s="38" t="s">
        <v>43</v>
      </c>
      <c r="H801" s="44">
        <f>IF(C801&lt;&gt;"",VLOOKUP($C801,Carpetas!$C$5:$L$2060,9,FALSE),"")</f>
        <v>1545303</v>
      </c>
      <c r="I801" s="51" t="str">
        <f>IF(C801&lt;&gt;"",VLOOKUP($C801,Carpetas!$C$5:$L$2060,5,FALSE),"")</f>
        <v>Andino</v>
      </c>
      <c r="J801" s="51" t="str">
        <f>IF(D801&lt;&gt;"",VLOOKUP($C801,Carpetas!$C$5:$L$2060,3,FALSE),"")</f>
        <v>Interbanana</v>
      </c>
      <c r="K801" s="50">
        <v>46034</v>
      </c>
      <c r="L801" s="39" t="str">
        <f>VLOOKUP($C801,Carpetas!$C$5:$L$2060,4,FALSE)</f>
        <v>Fray Bentos</v>
      </c>
      <c r="M801" s="55">
        <f t="shared" si="53"/>
        <v>46035</v>
      </c>
      <c r="N801" s="53">
        <f t="shared" si="51"/>
        <v>21</v>
      </c>
      <c r="O801" s="51">
        <v>2160</v>
      </c>
      <c r="P801" s="51"/>
      <c r="Q801" s="51" t="s">
        <v>439</v>
      </c>
      <c r="R801" s="51">
        <v>40</v>
      </c>
      <c r="S801" s="51"/>
      <c r="T801" s="65"/>
      <c r="U801" s="65"/>
      <c r="V801" s="65"/>
      <c r="W801" s="51"/>
      <c r="X801" s="66" t="s">
        <v>1739</v>
      </c>
    </row>
    <row r="802" hidden="1" ht="27.75" customHeight="1" s="32" customFormat="1">
      <c r="A802" s="37"/>
      <c r="B802" s="31" t="s">
        <v>32</v>
      </c>
      <c r="C802" s="59" t="s">
        <v>1740</v>
      </c>
      <c r="D802" s="57" t="s">
        <v>30</v>
      </c>
      <c r="E802" s="57">
        <v>46014</v>
      </c>
      <c r="F802" s="38" t="str">
        <f>IF(C802&lt;&gt;"",VLOOKUP($C802,Carpetas!$C$5:$L$2060,2,FALSE),"")</f>
        <v>ECB056</v>
      </c>
      <c r="G802" s="38" t="s">
        <v>43</v>
      </c>
      <c r="H802" s="44">
        <f>IF(C802&lt;&gt;"",VLOOKUP($C802,Carpetas!$C$5:$L$2060,9,FALSE),"")</f>
        <v>1545302</v>
      </c>
      <c r="I802" s="51" t="str">
        <f>IF(C802&lt;&gt;"",VLOOKUP($C802,Carpetas!$C$5:$L$2060,5,FALSE),"")</f>
        <v>Andino</v>
      </c>
      <c r="J802" s="51" t="str">
        <f>IF(D802&lt;&gt;"",VLOOKUP($C802,Carpetas!$C$5:$L$2060,3,FALSE),"")</f>
        <v>Nobora Trading Group</v>
      </c>
      <c r="K802" s="50">
        <v>46034</v>
      </c>
      <c r="L802" s="39" t="str">
        <f>VLOOKUP($C802,Carpetas!$C$5:$L$2060,4,FALSE)</f>
        <v>Fray Bentos</v>
      </c>
      <c r="M802" s="55">
        <f t="shared" si="53"/>
        <v>46035</v>
      </c>
      <c r="N802" s="53">
        <f t="shared" si="51"/>
        <v>21</v>
      </c>
      <c r="O802" s="51">
        <v>4320</v>
      </c>
      <c r="P802" s="51"/>
      <c r="Q802" s="51" t="s">
        <v>1724</v>
      </c>
      <c r="R802" s="51"/>
      <c r="S802" s="51"/>
      <c r="T802" s="65"/>
      <c r="U802" s="65"/>
      <c r="V802" s="65"/>
      <c r="W802" s="51"/>
      <c r="X802" s="66" t="s">
        <v>1741</v>
      </c>
    </row>
    <row r="803" hidden="1" ht="27.75" customHeight="1" s="32" customFormat="1">
      <c r="A803" s="37"/>
      <c r="B803" s="31" t="s">
        <v>32</v>
      </c>
      <c r="C803" s="59" t="s">
        <v>1738</v>
      </c>
      <c r="D803" s="57" t="s">
        <v>30</v>
      </c>
      <c r="E803" s="57">
        <v>46014</v>
      </c>
      <c r="F803" s="38" t="str">
        <f>IF(C803&lt;&gt;"",VLOOKUP($C803,Carpetas!$C$5:$L$2060,2,FALSE),"")</f>
        <v>ECI007</v>
      </c>
      <c r="G803" s="38" t="s">
        <v>43</v>
      </c>
      <c r="H803" s="44">
        <f>IF(C803&lt;&gt;"",VLOOKUP($C803,Carpetas!$C$5:$L$2060,9,FALSE),"")</f>
        <v>1545303</v>
      </c>
      <c r="I803" s="51" t="str">
        <f>IF(C803&lt;&gt;"",VLOOKUP($C803,Carpetas!$C$5:$L$2060,5,FALSE),"")</f>
        <v>Andino</v>
      </c>
      <c r="J803" s="51" t="str">
        <f>IF(D803&lt;&gt;"",VLOOKUP($C803,Carpetas!$C$5:$L$2060,3,FALSE),"")</f>
        <v>Interbanana</v>
      </c>
      <c r="K803" s="50">
        <v>46035</v>
      </c>
      <c r="L803" s="39" t="str">
        <f>VLOOKUP($C803,Carpetas!$C$5:$L$2060,4,FALSE)</f>
        <v>Fray Bentos</v>
      </c>
      <c r="M803" s="55">
        <f t="shared" si="53"/>
        <v>46036</v>
      </c>
      <c r="N803" s="53">
        <f t="shared" si="51"/>
        <v>22</v>
      </c>
      <c r="O803" s="51">
        <v>1080</v>
      </c>
      <c r="P803" s="51"/>
      <c r="Q803" s="51">
        <v>1080</v>
      </c>
      <c r="R803" s="51">
        <v>20</v>
      </c>
      <c r="S803" s="51"/>
      <c r="T803" s="65"/>
      <c r="U803" s="65"/>
      <c r="V803" s="65"/>
      <c r="W803" s="51"/>
      <c r="X803" s="66" t="s">
        <v>1742</v>
      </c>
    </row>
    <row r="804" hidden="1" ht="27.75" customHeight="1" s="32" customFormat="1">
      <c r="A804" s="37"/>
      <c r="B804" s="31" t="s">
        <v>32</v>
      </c>
      <c r="C804" s="59" t="s">
        <v>1740</v>
      </c>
      <c r="D804" s="57" t="s">
        <v>30</v>
      </c>
      <c r="E804" s="57">
        <v>46014</v>
      </c>
      <c r="F804" s="38" t="str">
        <f>IF(C804&lt;&gt;"",VLOOKUP($C804,Carpetas!$C$5:$L$2060,2,FALSE),"")</f>
        <v>ECB056</v>
      </c>
      <c r="G804" s="38" t="s">
        <v>43</v>
      </c>
      <c r="H804" s="44">
        <f>IF(C804&lt;&gt;"",VLOOKUP($C804,Carpetas!$C$5:$L$2060,9,FALSE),"")</f>
        <v>1545302</v>
      </c>
      <c r="I804" s="51" t="str">
        <f>IF(C804&lt;&gt;"",VLOOKUP($C804,Carpetas!$C$5:$L$2060,5,FALSE),"")</f>
        <v>Andino</v>
      </c>
      <c r="J804" s="51" t="str">
        <f>IF(D804&lt;&gt;"",VLOOKUP($C804,Carpetas!$C$5:$L$2060,3,FALSE),"")</f>
        <v>Nobora Trading Group</v>
      </c>
      <c r="K804" s="50">
        <v>46035</v>
      </c>
      <c r="L804" s="39" t="str">
        <f>VLOOKUP($C804,Carpetas!$C$5:$L$2060,4,FALSE)</f>
        <v>Fray Bentos</v>
      </c>
      <c r="M804" s="55">
        <f t="shared" si="53"/>
        <v>46036</v>
      </c>
      <c r="N804" s="53">
        <f t="shared" si="51"/>
        <v>22</v>
      </c>
      <c r="O804" s="51">
        <v>2160</v>
      </c>
      <c r="P804" s="51"/>
      <c r="Q804" s="51" t="s">
        <v>439</v>
      </c>
      <c r="R804" s="51">
        <v>40</v>
      </c>
      <c r="S804" s="51"/>
      <c r="T804" s="65"/>
      <c r="U804" s="65"/>
      <c r="V804" s="65"/>
      <c r="W804" s="51"/>
      <c r="X804" s="66" t="s">
        <v>1743</v>
      </c>
    </row>
    <row r="805" hidden="1" ht="27.75" customHeight="1" s="32" customFormat="1">
      <c r="A805" s="37"/>
      <c r="B805" s="31" t="s">
        <v>32</v>
      </c>
      <c r="C805" s="59" t="s">
        <v>1744</v>
      </c>
      <c r="D805" s="57" t="s">
        <v>48</v>
      </c>
      <c r="E805" s="57">
        <v>46004</v>
      </c>
      <c r="F805" s="38" t="str">
        <f>IF(C805&lt;&gt;"",VLOOKUP($C805,Carpetas!$C$5:$L$2060,2,FALSE),"")</f>
        <v>MXP004</v>
      </c>
      <c r="G805" s="38" t="s">
        <v>78</v>
      </c>
      <c r="H805" s="44">
        <f>IF(C805&lt;&gt;"",VLOOKUP($C805,Carpetas!$C$5:$L$2060,9,FALSE),"")</f>
        <v>1544795</v>
      </c>
      <c r="I805" s="51" t="str">
        <f>IF(C805&lt;&gt;"",VLOOKUP($C805,Carpetas!$C$5:$L$2060,5,FALSE),"")</f>
        <v>Andino</v>
      </c>
      <c r="J805" s="51" t="str">
        <f>IF(D805&lt;&gt;"",VLOOKUP($C805,Carpetas!$C$5:$L$2060,3,FALSE),"")</f>
        <v>Mission</v>
      </c>
      <c r="K805" s="50">
        <v>46037</v>
      </c>
      <c r="L805" s="39" t="str">
        <f>VLOOKUP($C805,Carpetas!$C$5:$L$2060,4,FALSE)</f>
        <v>Fray Bentos</v>
      </c>
      <c r="M805" s="55">
        <f t="shared" si="53"/>
        <v>46038</v>
      </c>
      <c r="N805" s="53">
        <f t="shared" si="51"/>
        <v>34</v>
      </c>
      <c r="O805" s="51">
        <v>1920</v>
      </c>
      <c r="P805" s="51"/>
      <c r="Q805" s="51">
        <v>1920</v>
      </c>
      <c r="R805" s="51">
        <v>20</v>
      </c>
      <c r="S805" s="51"/>
      <c r="T805" s="65"/>
      <c r="U805" s="65"/>
      <c r="V805" s="65"/>
      <c r="W805" s="51"/>
      <c r="X805" s="66" t="s">
        <v>1745</v>
      </c>
    </row>
    <row r="806" hidden="1" ht="27.75" customHeight="1" s="32" customFormat="1">
      <c r="A806" s="37"/>
      <c r="B806" s="31" t="s">
        <v>32</v>
      </c>
      <c r="C806" s="59" t="s">
        <v>1746</v>
      </c>
      <c r="D806" s="57" t="s">
        <v>48</v>
      </c>
      <c r="E806" s="57">
        <v>46004</v>
      </c>
      <c r="F806" s="38" t="str">
        <f>IF(C806&lt;&gt;"",VLOOKUP($C806,Carpetas!$C$5:$L$2060,2,FALSE),"")</f>
        <v>MXP005</v>
      </c>
      <c r="G806" s="38" t="s">
        <v>78</v>
      </c>
      <c r="H806" s="44">
        <f>IF(C806&lt;&gt;"",VLOOKUP($C806,Carpetas!$C$5:$L$2060,9,FALSE),"")</f>
        <v>1544796</v>
      </c>
      <c r="I806" s="51" t="str">
        <f>IF(C806&lt;&gt;"",VLOOKUP($C806,Carpetas!$C$5:$L$2060,5,FALSE),"")</f>
        <v>Andino</v>
      </c>
      <c r="J806" s="51" t="str">
        <f>IF(D806&lt;&gt;"",VLOOKUP($C806,Carpetas!$C$5:$L$2060,3,FALSE),"")</f>
        <v>Mission</v>
      </c>
      <c r="K806" s="50">
        <v>46038</v>
      </c>
      <c r="L806" s="39" t="str">
        <f>VLOOKUP($C806,Carpetas!$C$5:$L$2060,4,FALSE)</f>
        <v>Fray Bentos</v>
      </c>
      <c r="M806" s="55">
        <f t="shared" si="53"/>
        <v>46039</v>
      </c>
      <c r="N806" s="53">
        <f t="shared" si="51"/>
        <v>35</v>
      </c>
      <c r="O806" s="51">
        <v>1920</v>
      </c>
      <c r="P806" s="51">
        <v>1</v>
      </c>
      <c r="Q806" s="51">
        <v>1920</v>
      </c>
      <c r="R806" s="51">
        <v>20</v>
      </c>
      <c r="S806" s="51"/>
      <c r="T806" s="65"/>
      <c r="U806" s="65"/>
      <c r="V806" s="65"/>
      <c r="W806" s="51"/>
      <c r="X806" s="66" t="s">
        <v>1747</v>
      </c>
    </row>
    <row r="807" hidden="1" ht="27.75" customHeight="1" s="32" customFormat="1">
      <c r="A807" s="37"/>
      <c r="B807" s="31" t="s">
        <v>32</v>
      </c>
      <c r="C807" s="59" t="s">
        <v>1748</v>
      </c>
      <c r="D807" s="57" t="s">
        <v>42</v>
      </c>
      <c r="E807" s="57">
        <v>46021</v>
      </c>
      <c r="F807" s="38" t="str">
        <f>IF(C807&lt;&gt;"",VLOOKUP($C807,Carpetas!$C$5:$L$2060,2,FALSE),"")</f>
        <v>ECA001/26</v>
      </c>
      <c r="G807" s="38" t="s">
        <v>43</v>
      </c>
      <c r="H807" s="44">
        <f>IF(C807&lt;&gt;"",VLOOKUP($C807,Carpetas!$C$5:$L$2060,9,FALSE),"")</f>
        <v>1546119</v>
      </c>
      <c r="I807" s="51" t="str">
        <f>IF(C807&lt;&gt;"",VLOOKUP($C807,Carpetas!$C$5:$L$2060,5,FALSE),"")</f>
        <v>Andino</v>
      </c>
      <c r="J807" s="51" t="str">
        <f>IF(D807&lt;&gt;"",VLOOKUP($C807,Carpetas!$C$5:$L$2060,3,FALSE),"")</f>
        <v>Agroeden</v>
      </c>
      <c r="K807" s="50">
        <v>46038</v>
      </c>
      <c r="L807" s="39" t="str">
        <f>VLOOKUP($C807,Carpetas!$C$5:$L$2060,4,FALSE)</f>
        <v>Fray Bentos</v>
      </c>
      <c r="M807" s="55">
        <f t="shared" si="53"/>
        <v>46039</v>
      </c>
      <c r="N807" s="53">
        <f t="shared" si="51"/>
        <v>18</v>
      </c>
      <c r="O807" s="51">
        <v>1680</v>
      </c>
      <c r="P807" s="51">
        <v>1</v>
      </c>
      <c r="Q807" s="51">
        <v>1680</v>
      </c>
      <c r="R807" s="51">
        <v>21</v>
      </c>
      <c r="S807" s="51"/>
      <c r="T807" s="65"/>
      <c r="U807" s="65"/>
      <c r="V807" s="65"/>
      <c r="W807" s="51"/>
      <c r="X807" s="66" t="s">
        <v>1749</v>
      </c>
    </row>
    <row r="808" hidden="1" ht="27.75" customHeight="1" s="32" customFormat="1">
      <c r="A808" s="37"/>
      <c r="B808" s="31" t="s">
        <v>32</v>
      </c>
      <c r="C808" s="59" t="s">
        <v>1750</v>
      </c>
      <c r="D808" s="57" t="s">
        <v>30</v>
      </c>
      <c r="E808" s="57">
        <v>46021</v>
      </c>
      <c r="F808" s="38" t="str">
        <f>IF(C808&lt;&gt;"",VLOOKUP($C808,Carpetas!$C$5:$L$2060,2,FALSE),"")</f>
        <v>ECI001-26</v>
      </c>
      <c r="G808" s="38" t="s">
        <v>43</v>
      </c>
      <c r="H808" s="44">
        <f>IF(C808&lt;&gt;"",VLOOKUP($C808,Carpetas!$C$5:$L$2060,9,FALSE),"")</f>
        <v>1546121</v>
      </c>
      <c r="I808" s="51" t="str">
        <f>IF(C808&lt;&gt;"",VLOOKUP($C808,Carpetas!$C$5:$L$2060,5,FALSE),"")</f>
        <v>Andino</v>
      </c>
      <c r="J808" s="51" t="str">
        <f>IF(D808&lt;&gt;"",VLOOKUP($C808,Carpetas!$C$5:$L$2060,3,FALSE),"")</f>
        <v>Interbanana</v>
      </c>
      <c r="K808" s="50">
        <v>46038</v>
      </c>
      <c r="L808" s="39" t="str">
        <f>VLOOKUP($C808,Carpetas!$C$5:$L$2060,4,FALSE)</f>
        <v>Fray Bentos</v>
      </c>
      <c r="M808" s="55">
        <f t="shared" si="53"/>
        <v>46039</v>
      </c>
      <c r="N808" s="53">
        <f t="shared" si="51"/>
        <v>18</v>
      </c>
      <c r="O808" s="51">
        <v>2160</v>
      </c>
      <c r="P808" s="51">
        <v>2</v>
      </c>
      <c r="Q808" s="51" t="s">
        <v>439</v>
      </c>
      <c r="R808" s="51">
        <v>40</v>
      </c>
      <c r="S808" s="51"/>
      <c r="T808" s="65"/>
      <c r="U808" s="65"/>
      <c r="V808" s="65"/>
      <c r="W808" s="51"/>
      <c r="X808" s="66" t="s">
        <v>1751</v>
      </c>
    </row>
    <row r="809" hidden="1" ht="27.75" customHeight="1" s="32" customFormat="1">
      <c r="A809" s="37"/>
      <c r="B809" s="31" t="s">
        <v>32</v>
      </c>
      <c r="C809" s="59" t="s">
        <v>1752</v>
      </c>
      <c r="D809" s="57" t="s">
        <v>30</v>
      </c>
      <c r="E809" s="57">
        <v>46030</v>
      </c>
      <c r="F809" s="38" t="str">
        <f>IF(C809&lt;&gt;"",VLOOKUP($C809,Carpetas!$C$5:$L$2060,2,FALSE),"")</f>
        <v>BOB002-26</v>
      </c>
      <c r="G809" s="38" t="s">
        <v>31</v>
      </c>
      <c r="H809" s="44">
        <f>IF(C809&lt;&gt;"",VLOOKUP($C809,Carpetas!$C$5:$L$2060,9,FALSE),"")</f>
        <v>1544708</v>
      </c>
      <c r="I809" s="51" t="str">
        <f>IF(C809&lt;&gt;"",VLOOKUP($C809,Carpetas!$C$5:$L$2060,5,FALSE),"")</f>
        <v>El Palomar</v>
      </c>
      <c r="J809" s="51" t="str">
        <f>IF(D809&lt;&gt;"",VLOOKUP($C809,Carpetas!$C$5:$L$2060,3,FALSE),"")</f>
        <v>Chapare</v>
      </c>
      <c r="K809" s="50">
        <v>46038</v>
      </c>
      <c r="L809" s="39" t="str">
        <f>VLOOKUP($C809,Carpetas!$C$5:$L$2060,4,FALSE)</f>
        <v>Salto</v>
      </c>
      <c r="M809" s="55">
        <f t="shared" si="53"/>
        <v>46039</v>
      </c>
      <c r="N809" s="53">
        <f t="shared" si="51"/>
        <v>9</v>
      </c>
      <c r="O809" s="51">
        <v>1104</v>
      </c>
      <c r="P809" s="51">
        <v>1</v>
      </c>
      <c r="Q809" s="51">
        <v>1104</v>
      </c>
      <c r="R809" s="51">
        <v>23</v>
      </c>
      <c r="S809" s="51">
        <v>21</v>
      </c>
      <c r="T809" s="65"/>
      <c r="U809" s="65"/>
      <c r="V809" s="65" t="s">
        <v>605</v>
      </c>
      <c r="W809" s="51"/>
      <c r="X809" s="66" t="s">
        <v>1753</v>
      </c>
    </row>
    <row r="810" hidden="1" ht="27.75" customHeight="1" s="32" customFormat="1">
      <c r="A810" s="37"/>
      <c r="B810" s="31" t="s">
        <v>32</v>
      </c>
      <c r="C810" s="59" t="s">
        <v>1754</v>
      </c>
      <c r="D810" s="57" t="s">
        <v>30</v>
      </c>
      <c r="E810" s="57">
        <v>46030</v>
      </c>
      <c r="F810" s="38" t="str">
        <f>IF(C810&lt;&gt;"",VLOOKUP($C810,Carpetas!$C$5:$L$2060,2,FALSE),"")</f>
        <v>BOB001-26</v>
      </c>
      <c r="G810" s="38" t="s">
        <v>31</v>
      </c>
      <c r="H810" s="44">
        <f>IF(C810&lt;&gt;"",VLOOKUP($C810,Carpetas!$C$5:$L$2060,9,FALSE),"")</f>
        <v>1547719</v>
      </c>
      <c r="I810" s="51" t="str">
        <f>IF(C810&lt;&gt;"",VLOOKUP($C810,Carpetas!$C$5:$L$2060,5,FALSE),"")</f>
        <v>Sur Central</v>
      </c>
      <c r="J810" s="51" t="str">
        <f>IF(D810&lt;&gt;"",VLOOKUP($C810,Carpetas!$C$5:$L$2060,3,FALSE),"")</f>
        <v>Banexfrut</v>
      </c>
      <c r="K810" s="50">
        <v>46039</v>
      </c>
      <c r="L810" s="39" t="str">
        <f>VLOOKUP($C810,Carpetas!$C$5:$L$2060,4,FALSE)</f>
        <v>Salto</v>
      </c>
      <c r="M810" s="55">
        <v>46041</v>
      </c>
      <c r="N810" s="53">
        <f t="shared" si="51"/>
        <v>11</v>
      </c>
      <c r="O810" s="51">
        <v>1050</v>
      </c>
      <c r="P810" s="51">
        <v>1</v>
      </c>
      <c r="Q810" s="51">
        <v>1050</v>
      </c>
      <c r="R810" s="51"/>
      <c r="S810" s="51">
        <v>21</v>
      </c>
      <c r="T810" s="65"/>
      <c r="U810" s="65"/>
      <c r="V810" s="65" t="s">
        <v>895</v>
      </c>
      <c r="W810" s="51"/>
      <c r="X810" s="66" t="s">
        <v>1755</v>
      </c>
    </row>
    <row r="811" hidden="1" ht="27.75" customHeight="1" s="32" customFormat="1">
      <c r="A811" s="37"/>
      <c r="B811" s="31" t="s">
        <v>32</v>
      </c>
      <c r="C811" s="59" t="s">
        <v>1756</v>
      </c>
      <c r="D811" s="57" t="s">
        <v>48</v>
      </c>
      <c r="E811" s="57">
        <v>46036</v>
      </c>
      <c r="F811" s="38" t="str">
        <f>IF(C811&lt;&gt;"",VLOOKUP($C811,Carpetas!$C$5:$L$2060,2,FALSE),"")</f>
        <v>CLP002-26</v>
      </c>
      <c r="G811" s="38" t="s">
        <v>35</v>
      </c>
      <c r="H811" s="44">
        <f>IF(C811&lt;&gt;"",VLOOKUP($C811,Carpetas!$C$5:$L$2060,9,FALSE),"")</f>
        <v>1547423</v>
      </c>
      <c r="I811" s="51" t="str">
        <f>IF(C811&lt;&gt;"",VLOOKUP($C811,Carpetas!$C$5:$L$2060,5,FALSE),"")</f>
        <v>Nihuil</v>
      </c>
      <c r="J811" s="51" t="str">
        <f>IF(D811&lt;&gt;"",VLOOKUP($C811,Carpetas!$C$5:$L$2060,3,FALSE),"")</f>
        <v>Propal</v>
      </c>
      <c r="K811" s="50">
        <v>46039</v>
      </c>
      <c r="L811" s="39" t="str">
        <f>VLOOKUP($C811,Carpetas!$C$5:$L$2060,4,FALSE)</f>
        <v>Fray Bentos</v>
      </c>
      <c r="M811" s="55">
        <v>46041</v>
      </c>
      <c r="N811" s="53">
        <f t="shared" si="51"/>
        <v>5</v>
      </c>
      <c r="O811" s="51">
        <v>2112</v>
      </c>
      <c r="P811" s="51">
        <v>1</v>
      </c>
      <c r="Q811" s="51"/>
      <c r="R811" s="51"/>
      <c r="S811" s="51"/>
      <c r="T811" s="65"/>
      <c r="U811" s="65"/>
      <c r="V811" s="65"/>
      <c r="W811" s="51"/>
      <c r="X811" s="66" t="s">
        <v>1757</v>
      </c>
    </row>
    <row r="812" hidden="1" ht="27.75" customHeight="1" s="32" customFormat="1">
      <c r="A812" s="37"/>
      <c r="B812" s="31" t="s">
        <v>32</v>
      </c>
      <c r="C812" s="59" t="s">
        <v>1758</v>
      </c>
      <c r="D812" s="57" t="s">
        <v>37</v>
      </c>
      <c r="E812" s="57">
        <v>45992</v>
      </c>
      <c r="F812" s="38" t="str">
        <f>IF(C812&lt;&gt;"",VLOOKUP($C812,Carpetas!$C$5:$L$2060,2,FALSE),"")</f>
        <v>GRK007</v>
      </c>
      <c r="G812" s="38" t="s">
        <v>833</v>
      </c>
      <c r="H812" s="44">
        <f>IF(C812&lt;&gt;"",VLOOKUP($C812,Carpetas!$C$5:$L$2060,9,FALSE),"")</f>
        <v>1544076</v>
      </c>
      <c r="I812" s="51" t="str">
        <f>IF(C812&lt;&gt;"",VLOOKUP($C812,Carpetas!$C$5:$L$2060,5,FALSE),"")</f>
        <v>Ciatran</v>
      </c>
      <c r="J812" s="51" t="str">
        <f>IF(D812&lt;&gt;"",VLOOKUP($C812,Carpetas!$C$5:$L$2060,3,FALSE),"")</f>
        <v>Gliortofrutti</v>
      </c>
      <c r="K812" s="50">
        <v>46040</v>
      </c>
      <c r="L812" s="39" t="str">
        <f>VLOOKUP($C812,Carpetas!$C$5:$L$2060,4,FALSE)</f>
        <v>Montevideo</v>
      </c>
      <c r="M812" s="55">
        <f ref="M812:M851" t="shared" si="54">K812+1</f>
        <v>46041</v>
      </c>
      <c r="N812" s="53">
        <f ref="N812:N875" t="shared" si="55">IF(M812&lt;&gt;"",M812-E812,"-")</f>
        <v>49</v>
      </c>
      <c r="O812" s="51">
        <v>2100</v>
      </c>
      <c r="P812" s="51">
        <v>1</v>
      </c>
      <c r="Q812" s="51">
        <v>2100</v>
      </c>
      <c r="R812" s="51">
        <v>21</v>
      </c>
      <c r="S812" s="51"/>
      <c r="T812" s="65"/>
      <c r="U812" s="65"/>
      <c r="V812" s="65"/>
      <c r="W812" s="51"/>
      <c r="X812" s="66" t="s">
        <v>1759</v>
      </c>
    </row>
    <row r="813" hidden="1" ht="27.75" customHeight="1" s="32" customFormat="1">
      <c r="A813" s="37"/>
      <c r="B813" s="31" t="s">
        <v>32</v>
      </c>
      <c r="C813" s="59" t="s">
        <v>1754</v>
      </c>
      <c r="D813" s="57" t="s">
        <v>30</v>
      </c>
      <c r="E813" s="57">
        <v>46036</v>
      </c>
      <c r="F813" s="38" t="str">
        <f>IF(C813&lt;&gt;"",VLOOKUP($C813,Carpetas!$C$5:$L$2060,2,FALSE),"")</f>
        <v>BOB001-26</v>
      </c>
      <c r="G813" s="38" t="s">
        <v>31</v>
      </c>
      <c r="H813" s="44">
        <f>IF(C813&lt;&gt;"",VLOOKUP($C813,Carpetas!$C$5:$L$2060,9,FALSE),"")</f>
        <v>1547719</v>
      </c>
      <c r="I813" s="51" t="str">
        <f>IF(C813&lt;&gt;"",VLOOKUP($C813,Carpetas!$C$5:$L$2060,5,FALSE),"")</f>
        <v>Sur Central</v>
      </c>
      <c r="J813" s="51" t="str">
        <f>IF(D813&lt;&gt;"",VLOOKUP($C813,Carpetas!$C$5:$L$2060,3,FALSE),"")</f>
        <v>Banexfrut</v>
      </c>
      <c r="K813" s="50">
        <f>E813+5</f>
        <v>46041</v>
      </c>
      <c r="L813" s="39" t="str">
        <f>VLOOKUP($C813,Carpetas!$C$5:$L$2060,4,FALSE)</f>
        <v>Salto</v>
      </c>
      <c r="M813" s="55">
        <f t="shared" si="54"/>
        <v>46042</v>
      </c>
      <c r="N813" s="53">
        <f t="shared" si="55"/>
        <v>6</v>
      </c>
      <c r="O813" s="51">
        <v>1050</v>
      </c>
      <c r="P813" s="51">
        <v>1</v>
      </c>
      <c r="Q813" s="51">
        <v>1050</v>
      </c>
      <c r="R813" s="51">
        <v>21</v>
      </c>
      <c r="S813" s="51"/>
      <c r="T813" s="65"/>
      <c r="U813" s="65"/>
      <c r="V813" s="65" t="s">
        <v>895</v>
      </c>
      <c r="W813" s="51"/>
      <c r="X813" s="66" t="s">
        <v>1760</v>
      </c>
    </row>
    <row r="814" hidden="1" ht="27.75" customHeight="1" s="32" customFormat="1">
      <c r="A814" s="37"/>
      <c r="B814" s="31" t="s">
        <v>32</v>
      </c>
      <c r="C814" s="129" t="s">
        <v>1761</v>
      </c>
      <c r="D814" s="57" t="s">
        <v>30</v>
      </c>
      <c r="E814" s="57">
        <v>46038</v>
      </c>
      <c r="F814" s="38" t="str">
        <f>IF(C814&lt;&gt;"",VLOOKUP($C814,Carpetas!$C$5:$L$2060,2,FALSE),"")</f>
        <v>BOB004-26</v>
      </c>
      <c r="G814" s="38" t="s">
        <v>31</v>
      </c>
      <c r="H814" s="44">
        <f>IF(C814&lt;&gt;"",VLOOKUP($C814,Carpetas!$C$5:$L$2060,9,FALSE),"")</f>
        <v>1547508</v>
      </c>
      <c r="I814" s="51" t="str">
        <f>IF(C814&lt;&gt;"",VLOOKUP($C814,Carpetas!$C$5:$L$2060,5,FALSE),"")</f>
        <v>Sur Central</v>
      </c>
      <c r="J814" s="51" t="str">
        <f>IF(D814&lt;&gt;"",VLOOKUP($C814,Carpetas!$C$5:$L$2060,3,FALSE),"")</f>
        <v>Banexfrut</v>
      </c>
      <c r="K814" s="50">
        <f>E814+5</f>
        <v>46043</v>
      </c>
      <c r="L814" s="39" t="str">
        <f>VLOOKUP($C814,Carpetas!$C$5:$L$2060,4,FALSE)</f>
        <v>Salto</v>
      </c>
      <c r="M814" s="55">
        <f t="shared" si="54"/>
        <v>46044</v>
      </c>
      <c r="N814" s="53">
        <f t="shared" si="55"/>
        <v>6</v>
      </c>
      <c r="O814" s="51">
        <v>1050</v>
      </c>
      <c r="P814" s="51">
        <v>1</v>
      </c>
      <c r="Q814" s="51">
        <v>1050</v>
      </c>
      <c r="R814" s="51"/>
      <c r="S814" s="51">
        <v>21</v>
      </c>
      <c r="T814" s="65"/>
      <c r="U814" s="65"/>
      <c r="V814" s="65" t="s">
        <v>895</v>
      </c>
      <c r="W814" s="51"/>
      <c r="X814" s="66" t="s">
        <v>1762</v>
      </c>
    </row>
    <row r="815" hidden="1" ht="27.75" customHeight="1" s="32" customFormat="1">
      <c r="A815" s="37"/>
      <c r="B815" s="31" t="s">
        <v>32</v>
      </c>
      <c r="C815" s="129" t="s">
        <v>1763</v>
      </c>
      <c r="D815" s="57" t="s">
        <v>30</v>
      </c>
      <c r="E815" s="57">
        <v>46038</v>
      </c>
      <c r="F815" s="38" t="str">
        <f>IF(C815&lt;&gt;"",VLOOKUP($C815,Carpetas!$C$5:$L$2060,2,FALSE),"")</f>
        <v>BOB003-26</v>
      </c>
      <c r="G815" s="38" t="s">
        <v>31</v>
      </c>
      <c r="H815" s="44">
        <f>IF(C815&lt;&gt;"",VLOOKUP($C815,Carpetas!$C$5:$L$2060,9,FALSE),"")</f>
        <v>1547507</v>
      </c>
      <c r="I815" s="51" t="str">
        <f>IF(C815&lt;&gt;"",VLOOKUP($C815,Carpetas!$C$5:$L$2060,5,FALSE),"")</f>
        <v>Sur Central</v>
      </c>
      <c r="J815" s="51" t="str">
        <f>IF(D815&lt;&gt;"",VLOOKUP($C815,Carpetas!$C$5:$L$2060,3,FALSE),"")</f>
        <v>Banexfrut</v>
      </c>
      <c r="K815" s="50">
        <f>E815+5</f>
        <v>46043</v>
      </c>
      <c r="L815" s="39" t="str">
        <f>VLOOKUP($C815,Carpetas!$C$5:$L$2060,4,FALSE)</f>
        <v>Salto</v>
      </c>
      <c r="M815" s="55">
        <f t="shared" si="54"/>
        <v>46044</v>
      </c>
      <c r="N815" s="53">
        <f t="shared" si="55"/>
        <v>6</v>
      </c>
      <c r="O815" s="51">
        <v>1050</v>
      </c>
      <c r="P815" s="51">
        <v>1</v>
      </c>
      <c r="Q815" s="51">
        <v>1050</v>
      </c>
      <c r="R815" s="51"/>
      <c r="S815" s="51"/>
      <c r="T815" s="65"/>
      <c r="U815" s="65"/>
      <c r="V815" s="65" t="s">
        <v>895</v>
      </c>
      <c r="W815" s="51"/>
      <c r="X815" s="66" t="s">
        <v>1762</v>
      </c>
    </row>
    <row r="816" hidden="1" ht="27.75" customHeight="1" s="32" customFormat="1">
      <c r="A816" s="37"/>
      <c r="B816" s="31" t="s">
        <v>32</v>
      </c>
      <c r="C816" s="59" t="s">
        <v>1764</v>
      </c>
      <c r="D816" s="57" t="s">
        <v>30</v>
      </c>
      <c r="E816" s="57">
        <v>46029</v>
      </c>
      <c r="F816" s="38" t="str">
        <f>IF(C816&lt;&gt;"",VLOOKUP($C816,Carpetas!$C$5:$L$2060,2,FALSE),"")</f>
        <v>ECI003-26</v>
      </c>
      <c r="G816" s="38" t="s">
        <v>43</v>
      </c>
      <c r="H816" s="44">
        <f>IF(C816&lt;&gt;"",VLOOKUP($C816,Carpetas!$C$5:$L$2060,9,FALSE),"")</f>
        <v>1546909</v>
      </c>
      <c r="I816" s="51" t="str">
        <f>IF(C816&lt;&gt;"",VLOOKUP($C816,Carpetas!$C$5:$L$2060,5,FALSE),"")</f>
        <v>Andino</v>
      </c>
      <c r="J816" s="51" t="str">
        <f>IF(D816&lt;&gt;"",VLOOKUP($C816,Carpetas!$C$5:$L$2060,3,FALSE),"")</f>
        <v>Interbanana</v>
      </c>
      <c r="K816" s="50">
        <v>46043</v>
      </c>
      <c r="L816" s="39" t="str">
        <f>VLOOKUP($C816,Carpetas!$C$5:$L$2060,4,FALSE)</f>
        <v>Fray Bentos</v>
      </c>
      <c r="M816" s="55">
        <f t="shared" si="54"/>
        <v>46044</v>
      </c>
      <c r="N816" s="53">
        <f t="shared" si="55"/>
        <v>15</v>
      </c>
      <c r="O816" s="51">
        <v>2160</v>
      </c>
      <c r="P816" s="51">
        <v>3</v>
      </c>
      <c r="Q816" s="51">
        <v>2160</v>
      </c>
      <c r="R816" s="51">
        <v>40</v>
      </c>
      <c r="S816" s="51"/>
      <c r="T816" s="65"/>
      <c r="U816" s="65"/>
      <c r="V816" s="65"/>
      <c r="W816" s="51"/>
      <c r="X816" s="66" t="s">
        <v>1765</v>
      </c>
    </row>
    <row r="817" hidden="1" ht="27.75" customHeight="1" s="32" customFormat="1">
      <c r="A817" s="37"/>
      <c r="B817" s="31" t="s">
        <v>32</v>
      </c>
      <c r="C817" s="59" t="s">
        <v>1766</v>
      </c>
      <c r="D817" s="57" t="s">
        <v>30</v>
      </c>
      <c r="E817" s="57">
        <v>46029</v>
      </c>
      <c r="F817" s="38" t="str">
        <f>IF(C817&lt;&gt;"",VLOOKUP($C817,Carpetas!$C$5:$L$2060,2,FALSE),"")</f>
        <v>ECI002-26</v>
      </c>
      <c r="G817" s="38" t="s">
        <v>43</v>
      </c>
      <c r="H817" s="44">
        <f>IF(C817&lt;&gt;"",VLOOKUP($C817,Carpetas!$C$5:$L$2060,9,FALSE),"")</f>
        <v>1546564</v>
      </c>
      <c r="I817" s="51" t="str">
        <f>IF(C817&lt;&gt;"",VLOOKUP($C817,Carpetas!$C$5:$L$2060,5,FALSE),"")</f>
        <v>Andino</v>
      </c>
      <c r="J817" s="51" t="str">
        <f>IF(D817&lt;&gt;"",VLOOKUP($C817,Carpetas!$C$5:$L$2060,3,FALSE),"")</f>
        <v>Interbanana</v>
      </c>
      <c r="K817" s="50">
        <v>46043</v>
      </c>
      <c r="L817" s="39" t="str">
        <f>VLOOKUP($C817,Carpetas!$C$5:$L$2060,4,FALSE)</f>
        <v>Fray Bentos</v>
      </c>
      <c r="M817" s="55">
        <f t="shared" si="54"/>
        <v>46044</v>
      </c>
      <c r="N817" s="53">
        <f t="shared" si="55"/>
        <v>15</v>
      </c>
      <c r="O817" s="51">
        <v>3240</v>
      </c>
      <c r="P817" s="51">
        <v>3</v>
      </c>
      <c r="Q817" s="51">
        <v>3240</v>
      </c>
      <c r="R817" s="51">
        <v>80</v>
      </c>
      <c r="S817" s="51"/>
      <c r="T817" s="65"/>
      <c r="U817" s="65"/>
      <c r="V817" s="65"/>
      <c r="W817" s="51"/>
      <c r="X817" s="66" t="s">
        <v>1767</v>
      </c>
    </row>
    <row r="818" hidden="1" ht="27.75" customHeight="1" s="32" customFormat="1">
      <c r="A818" s="37"/>
      <c r="B818" s="31" t="s">
        <v>32</v>
      </c>
      <c r="C818" s="59" t="s">
        <v>1768</v>
      </c>
      <c r="D818" s="57" t="s">
        <v>48</v>
      </c>
      <c r="E818" s="57">
        <v>46018</v>
      </c>
      <c r="F818" s="38" t="str">
        <f>IF(C818&lt;&gt;"",VLOOKUP($C818,Carpetas!$C$5:$L$2060,2,FALSE),"")</f>
        <v>MXP008</v>
      </c>
      <c r="G818" s="38" t="s">
        <v>78</v>
      </c>
      <c r="H818" s="44">
        <f>IF(C818&lt;&gt;"",VLOOKUP($C818,Carpetas!$C$5:$L$2060,9,FALSE),"")</f>
        <v>1544799</v>
      </c>
      <c r="I818" s="51" t="str">
        <f>IF(C818&lt;&gt;"",VLOOKUP($C818,Carpetas!$C$5:$L$2060,5,FALSE),"")</f>
        <v>Andino</v>
      </c>
      <c r="J818" s="51" t="str">
        <f>IF(D818&lt;&gt;"",VLOOKUP($C818,Carpetas!$C$5:$L$2060,3,FALSE),"")</f>
        <v>Mission</v>
      </c>
      <c r="K818" s="50">
        <v>46043</v>
      </c>
      <c r="L818" s="39" t="str">
        <f>VLOOKUP($C818,Carpetas!$C$5:$L$2060,4,FALSE)</f>
        <v>Fray Bentos</v>
      </c>
      <c r="M818" s="55">
        <f t="shared" si="54"/>
        <v>46044</v>
      </c>
      <c r="N818" s="53">
        <f t="shared" si="55"/>
        <v>26</v>
      </c>
      <c r="O818" s="51">
        <v>1920</v>
      </c>
      <c r="P818" s="51">
        <v>1</v>
      </c>
      <c r="Q818" s="51">
        <v>1920</v>
      </c>
      <c r="R818" s="51">
        <v>20</v>
      </c>
      <c r="S818" s="51"/>
      <c r="T818" s="65"/>
      <c r="U818" s="65"/>
      <c r="V818" s="65"/>
      <c r="W818" s="51"/>
      <c r="X818" s="66" t="s">
        <v>1769</v>
      </c>
    </row>
    <row r="819" hidden="1" ht="27.75" customHeight="1" s="32" customFormat="1">
      <c r="A819" s="37"/>
      <c r="B819" s="31" t="s">
        <v>32</v>
      </c>
      <c r="C819" s="59" t="s">
        <v>1770</v>
      </c>
      <c r="D819" s="57" t="s">
        <v>1771</v>
      </c>
      <c r="E819" s="57">
        <v>46043</v>
      </c>
      <c r="F819" s="38" t="str">
        <f>IF(C819&lt;&gt;"",VLOOKUP($C819,Carpetas!$C$5:$L$2060,2,FALSE),"")</f>
        <v>ECP001-26</v>
      </c>
      <c r="G819" s="38" t="s">
        <v>43</v>
      </c>
      <c r="H819" s="44">
        <f>IF(C819&lt;&gt;"",VLOOKUP($C819,Carpetas!$C$5:$L$2060,9,FALSE),"")</f>
        <v>1547650</v>
      </c>
      <c r="I819" s="51" t="str">
        <f>IF(C819&lt;&gt;"",VLOOKUP($C819,Carpetas!$C$5:$L$2060,5,FALSE),"")</f>
        <v>Ciatran</v>
      </c>
      <c r="J819" s="51"/>
      <c r="K819" s="50">
        <v>46044</v>
      </c>
      <c r="L819" s="39" t="str">
        <f>VLOOKUP($C819,Carpetas!$C$5:$L$2060,4,FALSE)</f>
        <v>Carrasco</v>
      </c>
      <c r="M819" s="55">
        <f t="shared" si="54"/>
        <v>46045</v>
      </c>
      <c r="N819" s="53">
        <f t="shared" si="55"/>
        <v>2</v>
      </c>
      <c r="O819" s="51">
        <v>60</v>
      </c>
      <c r="P819" s="51"/>
      <c r="Q819" s="51"/>
      <c r="R819" s="51"/>
      <c r="S819" s="51"/>
      <c r="T819" s="65"/>
      <c r="U819" s="65"/>
      <c r="V819" s="65"/>
      <c r="W819" s="51"/>
      <c r="X819" s="66" t="s">
        <v>1660</v>
      </c>
    </row>
    <row r="820" hidden="1" ht="27.75" customHeight="1" s="32" customFormat="1">
      <c r="A820" s="37"/>
      <c r="B820" s="31" t="s">
        <v>32</v>
      </c>
      <c r="C820" s="59" t="s">
        <v>1772</v>
      </c>
      <c r="D820" s="57" t="s">
        <v>42</v>
      </c>
      <c r="E820" s="57">
        <v>46029</v>
      </c>
      <c r="F820" s="38" t="str">
        <f>IF(C820&lt;&gt;"",VLOOKUP($C820,Carpetas!$C$5:$L$2060,2,FALSE),"")</f>
        <v>ECA002/26</v>
      </c>
      <c r="G820" s="38" t="s">
        <v>43</v>
      </c>
      <c r="H820" s="44">
        <f>IF(C820&lt;&gt;"",VLOOKUP($C820,Carpetas!$C$5:$L$2060,9,FALSE),"")</f>
        <v>1546562</v>
      </c>
      <c r="I820" s="51" t="str">
        <f>IF(C820&lt;&gt;"",VLOOKUP($C820,Carpetas!$C$5:$L$2060,5,FALSE),"")</f>
        <v>Andino</v>
      </c>
      <c r="J820" s="51" t="str">
        <f>IF(D820&lt;&gt;"",VLOOKUP($C820,Carpetas!$C$5:$L$2060,3,FALSE),"")</f>
        <v>Agroeden</v>
      </c>
      <c r="K820" s="50">
        <v>46044</v>
      </c>
      <c r="L820" s="39" t="str">
        <f>VLOOKUP($C820,Carpetas!$C$5:$L$2060,4,FALSE)</f>
        <v>Fray Bentos</v>
      </c>
      <c r="M820" s="55">
        <f t="shared" si="54"/>
        <v>46045</v>
      </c>
      <c r="N820" s="53">
        <f t="shared" si="55"/>
        <v>16</v>
      </c>
      <c r="O820" s="51">
        <v>1680</v>
      </c>
      <c r="P820" s="51">
        <v>1</v>
      </c>
      <c r="Q820" s="51">
        <v>1680</v>
      </c>
      <c r="R820" s="51">
        <v>20</v>
      </c>
      <c r="S820" s="51"/>
      <c r="T820" s="65"/>
      <c r="U820" s="65"/>
      <c r="V820" s="65"/>
      <c r="W820" s="51"/>
      <c r="X820" s="66" t="s">
        <v>1773</v>
      </c>
    </row>
    <row r="821" hidden="1" ht="27.75" customHeight="1" s="32" customFormat="1">
      <c r="A821" s="37"/>
      <c r="B821" s="31" t="s">
        <v>32</v>
      </c>
      <c r="C821" s="59" t="s">
        <v>1774</v>
      </c>
      <c r="D821" s="57" t="s">
        <v>30</v>
      </c>
      <c r="E821" s="57">
        <v>46029</v>
      </c>
      <c r="F821" s="38" t="str">
        <f>IF(C821&lt;&gt;"",VLOOKUP($C821,Carpetas!$C$5:$L$2060,2,FALSE),"")</f>
        <v>ECB001-26</v>
      </c>
      <c r="G821" s="38" t="s">
        <v>43</v>
      </c>
      <c r="H821" s="44">
        <f>IF(C821&lt;&gt;"",VLOOKUP($C821,Carpetas!$C$5:$L$2060,9,FALSE),"")</f>
        <v>1546563</v>
      </c>
      <c r="I821" s="51" t="str">
        <f>IF(C821&lt;&gt;"",VLOOKUP($C821,Carpetas!$C$5:$L$2060,5,FALSE),"")</f>
        <v>Andino</v>
      </c>
      <c r="J821" s="51" t="str">
        <f>IF(D821&lt;&gt;"",VLOOKUP($C821,Carpetas!$C$5:$L$2060,3,FALSE),"")</f>
        <v>Nobora Trading Group</v>
      </c>
      <c r="K821" s="50">
        <v>46044</v>
      </c>
      <c r="L821" s="39" t="str">
        <f>VLOOKUP($C821,Carpetas!$C$5:$L$2060,4,FALSE)</f>
        <v>Fray Bentos</v>
      </c>
      <c r="M821" s="55">
        <f t="shared" si="54"/>
        <v>46045</v>
      </c>
      <c r="N821" s="53">
        <f t="shared" si="55"/>
        <v>16</v>
      </c>
      <c r="O821" s="51">
        <v>3240</v>
      </c>
      <c r="P821" s="51">
        <v>3</v>
      </c>
      <c r="Q821" s="51">
        <v>3240</v>
      </c>
      <c r="R821" s="51">
        <v>60</v>
      </c>
      <c r="S821" s="51"/>
      <c r="T821" s="65"/>
      <c r="U821" s="65"/>
      <c r="V821" s="65" t="s">
        <v>55</v>
      </c>
      <c r="W821" s="51"/>
      <c r="X821" s="66" t="s">
        <v>1775</v>
      </c>
    </row>
    <row r="822" hidden="1" ht="27.75" customHeight="1" s="32" customFormat="1">
      <c r="A822" s="37"/>
      <c r="B822" s="31" t="s">
        <v>32</v>
      </c>
      <c r="C822" s="129" t="s">
        <v>1776</v>
      </c>
      <c r="D822" s="57" t="s">
        <v>48</v>
      </c>
      <c r="E822" s="57">
        <v>46018</v>
      </c>
      <c r="F822" s="38" t="str">
        <f>IF(C822&lt;&gt;"",VLOOKUP($C822,Carpetas!$C$5:$L$2060,2,FALSE),"")</f>
        <v>MXP007</v>
      </c>
      <c r="G822" s="38" t="s">
        <v>78</v>
      </c>
      <c r="H822" s="44">
        <f>IF(C822&lt;&gt;"",VLOOKUP($C822,Carpetas!$C$5:$L$2060,9,FALSE),"")</f>
        <v>1544798</v>
      </c>
      <c r="I822" s="51" t="str">
        <f>IF(C822&lt;&gt;"",VLOOKUP($C822,Carpetas!$C$5:$L$2060,5,FALSE),"")</f>
        <v>Andino</v>
      </c>
      <c r="J822" s="51" t="str">
        <f>IF(D822&lt;&gt;"",VLOOKUP($C822,Carpetas!$C$5:$L$2060,3,FALSE),"")</f>
        <v>Mission</v>
      </c>
      <c r="K822" s="50">
        <v>46044</v>
      </c>
      <c r="L822" s="39" t="str">
        <f>VLOOKUP($C822,Carpetas!$C$5:$L$2060,4,FALSE)</f>
        <v>Fray Bentos</v>
      </c>
      <c r="M822" s="55">
        <f t="shared" si="54"/>
        <v>46045</v>
      </c>
      <c r="N822" s="53">
        <f t="shared" si="55"/>
        <v>27</v>
      </c>
      <c r="O822" s="51">
        <v>1920</v>
      </c>
      <c r="P822" s="51">
        <v>1</v>
      </c>
      <c r="Q822" s="51">
        <v>1920</v>
      </c>
      <c r="R822" s="51">
        <v>20</v>
      </c>
      <c r="S822" s="51"/>
      <c r="T822" s="65"/>
      <c r="U822" s="65"/>
      <c r="V822" s="65"/>
      <c r="W822" s="51"/>
      <c r="X822" s="66" t="s">
        <v>1777</v>
      </c>
    </row>
    <row r="823" hidden="1" ht="27.75" customHeight="1" s="32" customFormat="1">
      <c r="A823" s="37"/>
      <c r="B823" s="31" t="s">
        <v>32</v>
      </c>
      <c r="C823" s="59" t="s">
        <v>1778</v>
      </c>
      <c r="D823" s="57" t="s">
        <v>48</v>
      </c>
      <c r="E823" s="57">
        <v>46042</v>
      </c>
      <c r="F823" s="38" t="str">
        <f>IF(C823&lt;&gt;"",VLOOKUP($C823,Carpetas!$C$5:$L$2060,2,FALSE),"")</f>
        <v>CLP001-26</v>
      </c>
      <c r="G823" s="38" t="s">
        <v>35</v>
      </c>
      <c r="H823" s="44">
        <f>IF(C823&lt;&gt;"",VLOOKUP($C823,Carpetas!$C$5:$L$2060,9,FALSE),"")</f>
        <v>1547639</v>
      </c>
      <c r="I823" s="51" t="str">
        <f>IF(C823&lt;&gt;"",VLOOKUP($C823,Carpetas!$C$5:$L$2060,5,FALSE),"")</f>
        <v>RCT</v>
      </c>
      <c r="J823" s="51" t="str">
        <f>IF(D823&lt;&gt;"",VLOOKUP($C823,Carpetas!$C$5:$L$2060,3,FALSE),"")</f>
        <v>West Falia</v>
      </c>
      <c r="K823" s="50">
        <f>E823+5</f>
        <v>46047</v>
      </c>
      <c r="L823" s="39" t="str">
        <f>VLOOKUP($C823,Carpetas!$C$5:$L$2060,4,FALSE)</f>
        <v>Fray Bentos</v>
      </c>
      <c r="M823" s="55">
        <f t="shared" si="54"/>
        <v>46048</v>
      </c>
      <c r="N823" s="53">
        <f t="shared" si="55"/>
        <v>6</v>
      </c>
      <c r="O823" s="51">
        <v>2112</v>
      </c>
      <c r="P823" s="51">
        <v>1</v>
      </c>
      <c r="Q823" s="51">
        <v>2112</v>
      </c>
      <c r="R823" s="51">
        <v>24</v>
      </c>
      <c r="S823" s="51"/>
      <c r="T823" s="65"/>
      <c r="U823" s="65"/>
      <c r="V823" s="65"/>
      <c r="W823" s="51"/>
      <c r="X823" s="66" t="s">
        <v>1779</v>
      </c>
    </row>
    <row r="824" hidden="1" ht="27.75" customHeight="1" s="32" customFormat="1">
      <c r="A824" s="37"/>
      <c r="B824" s="31" t="s">
        <v>32</v>
      </c>
      <c r="C824" s="59" t="s">
        <v>1780</v>
      </c>
      <c r="D824" s="57" t="s">
        <v>30</v>
      </c>
      <c r="E824" s="57">
        <v>46044</v>
      </c>
      <c r="F824" s="38" t="str">
        <f>IF(C824&lt;&gt;"",VLOOKUP($C824,Carpetas!$C$5:$L$2060,2,FALSE),"")</f>
        <v>BOB005-26</v>
      </c>
      <c r="G824" s="38" t="s">
        <v>31</v>
      </c>
      <c r="H824" s="44">
        <f>IF(C824&lt;&gt;"",VLOOKUP($C824,Carpetas!$C$5:$L$2060,9,FALSE),"")</f>
        <v>1547735</v>
      </c>
      <c r="I824" s="51" t="str">
        <f>IF(C824&lt;&gt;"",VLOOKUP($C824,Carpetas!$C$5:$L$2060,5,FALSE),"")</f>
        <v>Sintercargas </v>
      </c>
      <c r="J824" s="51" t="str">
        <f>IF(D824&lt;&gt;"",VLOOKUP($C824,Carpetas!$C$5:$L$2060,3,FALSE),"")</f>
        <v>Delifuit</v>
      </c>
      <c r="K824" s="50">
        <f>E824+5</f>
        <v>46049</v>
      </c>
      <c r="L824" s="39" t="str">
        <f>VLOOKUP($C824,Carpetas!$C$5:$L$2060,4,FALSE)</f>
        <v>Salto</v>
      </c>
      <c r="M824" s="55">
        <f t="shared" si="54"/>
        <v>46050</v>
      </c>
      <c r="N824" s="53">
        <f t="shared" si="55"/>
        <v>6</v>
      </c>
      <c r="O824" s="51">
        <v>1000</v>
      </c>
      <c r="P824" s="51">
        <v>1</v>
      </c>
      <c r="Q824" s="51">
        <v>1000</v>
      </c>
      <c r="R824" s="51"/>
      <c r="S824" s="51">
        <v>21</v>
      </c>
      <c r="T824" s="65"/>
      <c r="U824" s="65"/>
      <c r="V824" s="65" t="s">
        <v>1589</v>
      </c>
      <c r="W824" s="51"/>
      <c r="X824" s="66" t="s">
        <v>1781</v>
      </c>
    </row>
    <row r="825" hidden="1" ht="27.75" customHeight="1" s="32" customFormat="1">
      <c r="A825" s="37"/>
      <c r="B825" s="31" t="s">
        <v>32</v>
      </c>
      <c r="C825" s="59" t="s">
        <v>1782</v>
      </c>
      <c r="D825" s="57" t="s">
        <v>30</v>
      </c>
      <c r="E825" s="57">
        <v>46044</v>
      </c>
      <c r="F825" s="38" t="str">
        <f>IF(C825&lt;&gt;"",VLOOKUP($C825,Carpetas!$C$5:$L$2060,2,FALSE),"")</f>
        <v>BOB008-26</v>
      </c>
      <c r="G825" s="38" t="s">
        <v>31</v>
      </c>
      <c r="H825" s="44">
        <f>IF(C825&lt;&gt;"",VLOOKUP($C825,Carpetas!$C$5:$L$2060,9,FALSE),"")</f>
        <v>1548055</v>
      </c>
      <c r="I825" s="51" t="str">
        <f>IF(C825&lt;&gt;"",VLOOKUP($C825,Carpetas!$C$5:$L$2060,5,FALSE),"")</f>
        <v>Sintercargas </v>
      </c>
      <c r="J825" s="51" t="str">
        <f>IF(D825&lt;&gt;"",VLOOKUP($C825,Carpetas!$C$5:$L$2060,3,FALSE),"")</f>
        <v>Banexfrut</v>
      </c>
      <c r="K825" s="50">
        <f>E825+5</f>
        <v>46049</v>
      </c>
      <c r="L825" s="39" t="str">
        <f>VLOOKUP($C825,Carpetas!$C$5:$L$2060,4,FALSE)</f>
        <v>Salto</v>
      </c>
      <c r="M825" s="55">
        <f t="shared" si="54"/>
        <v>46050</v>
      </c>
      <c r="N825" s="53">
        <f t="shared" si="55"/>
        <v>6</v>
      </c>
      <c r="O825" s="51">
        <v>1050</v>
      </c>
      <c r="P825" s="51">
        <v>1</v>
      </c>
      <c r="Q825" s="51">
        <v>1050</v>
      </c>
      <c r="R825" s="51"/>
      <c r="S825" s="51">
        <v>21</v>
      </c>
      <c r="T825" s="65"/>
      <c r="U825" s="65"/>
      <c r="V825" s="65" t="s">
        <v>895</v>
      </c>
      <c r="W825" s="51"/>
      <c r="X825" s="66" t="s">
        <v>1783</v>
      </c>
    </row>
    <row r="826" hidden="1" ht="27.75" customHeight="1" s="32" customFormat="1">
      <c r="A826" s="37"/>
      <c r="B826" s="31" t="s">
        <v>32</v>
      </c>
      <c r="C826" s="59" t="s">
        <v>1784</v>
      </c>
      <c r="D826" s="57" t="s">
        <v>34</v>
      </c>
      <c r="E826" s="57">
        <v>46044</v>
      </c>
      <c r="F826" s="38" t="str">
        <f>IF(C826&lt;&gt;"",VLOOKUP($C826,Carpetas!$C$5:$L$2060,2,FALSE),"")</f>
        <v>CLA002-26</v>
      </c>
      <c r="G826" s="38" t="s">
        <v>35</v>
      </c>
      <c r="H826" s="44">
        <v>1547187</v>
      </c>
      <c r="I826" s="51" t="str">
        <f>IF(C826&lt;&gt;"",VLOOKUP($C826,Carpetas!$C$5:$L$2060,5,FALSE),"")</f>
        <v>Valle Grande</v>
      </c>
      <c r="J826" s="51" t="str">
        <f>IF(D826&lt;&gt;"",VLOOKUP($C826,Carpetas!$C$5:$L$2060,3,FALSE),"")</f>
        <v>Beller Export</v>
      </c>
      <c r="K826" s="50">
        <f>E826+5</f>
        <v>46049</v>
      </c>
      <c r="L826" s="39" t="str">
        <f>VLOOKUP($C826,Carpetas!$C$5:$L$2060,4,FALSE)</f>
        <v>Fray Bentos</v>
      </c>
      <c r="M826" s="55">
        <f t="shared" si="54"/>
        <v>46050</v>
      </c>
      <c r="N826" s="53">
        <f t="shared" si="55"/>
        <v>6</v>
      </c>
      <c r="O826" s="51">
        <v>7260</v>
      </c>
      <c r="P826" s="51">
        <v>1</v>
      </c>
      <c r="Q826" s="51">
        <v>7260</v>
      </c>
      <c r="R826" s="51">
        <v>22</v>
      </c>
      <c r="S826" s="51"/>
      <c r="T826" s="65"/>
      <c r="U826" s="65"/>
      <c r="V826" s="65"/>
      <c r="W826" s="51"/>
      <c r="X826" s="66" t="s">
        <v>1785</v>
      </c>
    </row>
    <row r="827" hidden="1" ht="27.75" customHeight="1" s="32" customFormat="1">
      <c r="A827" s="37"/>
      <c r="B827" s="31" t="s">
        <v>32</v>
      </c>
      <c r="C827" s="129" t="s">
        <v>1786</v>
      </c>
      <c r="D827" s="57" t="s">
        <v>30</v>
      </c>
      <c r="E827" s="57">
        <v>46049</v>
      </c>
      <c r="F827" s="38" t="str">
        <f>IF(C827&lt;&gt;"",VLOOKUP($C827,Carpetas!$C$5:$L$2060,2,FALSE),"")</f>
        <v>BOB007-26</v>
      </c>
      <c r="G827" s="38" t="s">
        <v>31</v>
      </c>
      <c r="H827" s="44">
        <f>IF(C827&lt;&gt;"",VLOOKUP($C827,Carpetas!$C$5:$L$2060,9,FALSE),"")</f>
        <v>1548911</v>
      </c>
      <c r="I827" s="51" t="str">
        <f>IF(C827&lt;&gt;"",VLOOKUP($C827,Carpetas!$C$5:$L$2060,5,FALSE),"")</f>
        <v>Sintercargas </v>
      </c>
      <c r="J827" s="51" t="str">
        <f>IF(D827&lt;&gt;"",VLOOKUP($C827,Carpetas!$C$5:$L$2060,3,FALSE),"")</f>
        <v>Berfrut</v>
      </c>
      <c r="K827" s="50">
        <v>46055</v>
      </c>
      <c r="L827" s="39" t="str">
        <f>VLOOKUP($C827,Carpetas!$C$5:$L$2060,4,FALSE)</f>
        <v>Salto</v>
      </c>
      <c r="M827" s="55">
        <f t="shared" si="54"/>
        <v>46056</v>
      </c>
      <c r="N827" s="53">
        <f t="shared" si="55"/>
        <v>7</v>
      </c>
      <c r="O827" s="51">
        <v>1050</v>
      </c>
      <c r="P827" s="51">
        <v>1</v>
      </c>
      <c r="Q827" s="51">
        <v>1050</v>
      </c>
      <c r="R827" s="51"/>
      <c r="S827" s="51">
        <v>21</v>
      </c>
      <c r="T827" s="65"/>
      <c r="U827" s="65"/>
      <c r="V827" s="65" t="s">
        <v>1691</v>
      </c>
      <c r="W827" s="51"/>
      <c r="X827" s="66" t="s">
        <v>1787</v>
      </c>
    </row>
    <row r="828" hidden="1" ht="27.75" customHeight="1" s="32" customFormat="1">
      <c r="A828" s="37"/>
      <c r="B828" s="31" t="s">
        <v>32</v>
      </c>
      <c r="C828" s="59" t="s">
        <v>1788</v>
      </c>
      <c r="D828" s="57" t="s">
        <v>37</v>
      </c>
      <c r="E828" s="57">
        <v>46007</v>
      </c>
      <c r="F828" s="38" t="str">
        <f>IF(C828&lt;&gt;"",VLOOKUP($C828,Carpetas!$C$5:$L$2060,2,FALSE),"")</f>
        <v>GRK008</v>
      </c>
      <c r="G828" s="38" t="s">
        <v>833</v>
      </c>
      <c r="H828" s="44">
        <f>IF(C828&lt;&gt;"",VLOOKUP($C828,Carpetas!$C$5:$L$2060,9,FALSE),"")</f>
        <v>154597</v>
      </c>
      <c r="I828" s="51" t="str">
        <f>IF(C828&lt;&gt;"",VLOOKUP($C828,Carpetas!$C$5:$L$2060,5,FALSE),"")</f>
        <v>Ciatran</v>
      </c>
      <c r="J828" s="51" t="str">
        <f>IF(D828&lt;&gt;"",VLOOKUP($C828,Carpetas!$C$5:$L$2060,3,FALSE),"")</f>
        <v>Frueat</v>
      </c>
      <c r="K828" s="50">
        <v>46055</v>
      </c>
      <c r="L828" s="39" t="str">
        <f>VLOOKUP($C828,Carpetas!$C$5:$L$2060,4,FALSE)</f>
        <v>Montevideo</v>
      </c>
      <c r="M828" s="55">
        <f t="shared" si="54"/>
        <v>46056</v>
      </c>
      <c r="N828" s="53">
        <f t="shared" si="55"/>
        <v>49</v>
      </c>
      <c r="O828" s="51">
        <v>2100</v>
      </c>
      <c r="P828" s="51">
        <v>1</v>
      </c>
      <c r="Q828" s="51">
        <v>2200</v>
      </c>
      <c r="R828" s="51">
        <v>21</v>
      </c>
      <c r="S828" s="51"/>
      <c r="T828" s="65"/>
      <c r="U828" s="65"/>
      <c r="V828" s="65"/>
      <c r="W828" s="51"/>
      <c r="X828" s="66" t="s">
        <v>1789</v>
      </c>
    </row>
    <row r="829" hidden="1" ht="27.75" customHeight="1" s="32" customFormat="1">
      <c r="A829" s="37"/>
      <c r="B829" s="31" t="s">
        <v>32</v>
      </c>
      <c r="C829" s="59" t="s">
        <v>1790</v>
      </c>
      <c r="D829" s="57" t="s">
        <v>42</v>
      </c>
      <c r="E829" s="57">
        <v>46051</v>
      </c>
      <c r="F829" s="38" t="str">
        <f>IF(C829&lt;&gt;"",VLOOKUP($C829,Carpetas!$C$5:$L$2060,2,FALSE),"")</f>
        <v>ECA003/26</v>
      </c>
      <c r="G829" s="38" t="s">
        <v>43</v>
      </c>
      <c r="H829" s="44">
        <f>IF(C829&lt;&gt;"",VLOOKUP($C829,Carpetas!$C$5:$L$2060,9,FALSE),"")</f>
        <v>1547318</v>
      </c>
      <c r="I829" s="51" t="str">
        <f>IF(C829&lt;&gt;"",VLOOKUP($C829,Carpetas!$C$5:$L$2060,5,FALSE),"")</f>
        <v>Andino</v>
      </c>
      <c r="J829" s="51" t="str">
        <f>IF(D829&lt;&gt;"",VLOOKUP($C829,Carpetas!$C$5:$L$2060,3,FALSE),"")</f>
        <v>Agroeden</v>
      </c>
      <c r="K829" s="50">
        <v>46055</v>
      </c>
      <c r="L829" s="39" t="str">
        <f>VLOOKUP($C829,Carpetas!$C$5:$L$2060,4,FALSE)</f>
        <v>Fray Bentos</v>
      </c>
      <c r="M829" s="55">
        <f t="shared" si="54"/>
        <v>46056</v>
      </c>
      <c r="N829" s="53">
        <f t="shared" si="55"/>
        <v>5</v>
      </c>
      <c r="O829" s="51">
        <v>1680</v>
      </c>
      <c r="P829" s="51">
        <v>1</v>
      </c>
      <c r="Q829" s="51">
        <v>1680</v>
      </c>
      <c r="R829" s="51">
        <v>21</v>
      </c>
      <c r="S829" s="51"/>
      <c r="T829" s="65"/>
      <c r="U829" s="65"/>
      <c r="V829" s="65"/>
      <c r="W829" s="51"/>
      <c r="X829" s="66" t="s">
        <v>1791</v>
      </c>
    </row>
    <row r="830" hidden="1" ht="27.75" customHeight="1" s="32" customFormat="1">
      <c r="A830" s="37"/>
      <c r="B830" s="31" t="s">
        <v>32</v>
      </c>
      <c r="C830" s="59" t="s">
        <v>1792</v>
      </c>
      <c r="D830" s="57" t="s">
        <v>30</v>
      </c>
      <c r="E830" s="57">
        <v>46052</v>
      </c>
      <c r="F830" s="38" t="str">
        <f>IF(C830&lt;&gt;"",VLOOKUP($C830,Carpetas!$C$5:$L$2060,2,FALSE),"")</f>
        <v>BOB006-26</v>
      </c>
      <c r="G830" s="38" t="s">
        <v>31</v>
      </c>
      <c r="H830" s="44">
        <f>IF(C830&lt;&gt;"",VLOOKUP($C830,Carpetas!$C$5:$L$2060,9,FALSE),"")</f>
        <v>1548056</v>
      </c>
      <c r="I830" s="51" t="str">
        <f>IF(C830&lt;&gt;"",VLOOKUP($C830,Carpetas!$C$5:$L$2060,5,FALSE),"")</f>
        <v>Sintercargas </v>
      </c>
      <c r="J830" s="51" t="str">
        <f>IF(D830&lt;&gt;"",VLOOKUP($C830,Carpetas!$C$5:$L$2060,3,FALSE),"")</f>
        <v>Banexfrut</v>
      </c>
      <c r="K830" s="50">
        <v>46056</v>
      </c>
      <c r="L830" s="39" t="str">
        <f>VLOOKUP($C830,Carpetas!$C$5:$L$2060,4,FALSE)</f>
        <v>Salto</v>
      </c>
      <c r="M830" s="55">
        <f t="shared" si="54"/>
        <v>46057</v>
      </c>
      <c r="N830" s="53">
        <f t="shared" si="55"/>
        <v>5</v>
      </c>
      <c r="O830" s="51">
        <v>1050</v>
      </c>
      <c r="P830" s="51">
        <v>1</v>
      </c>
      <c r="Q830" s="51">
        <v>1050</v>
      </c>
      <c r="R830" s="51"/>
      <c r="S830" s="51">
        <v>21</v>
      </c>
      <c r="T830" s="65"/>
      <c r="U830" s="65"/>
      <c r="V830" s="65" t="s">
        <v>895</v>
      </c>
      <c r="W830" s="51"/>
      <c r="X830" s="66" t="s">
        <v>1793</v>
      </c>
    </row>
    <row r="831" hidden="1" ht="27.75" customHeight="1" s="32" customFormat="1">
      <c r="A831" s="37"/>
      <c r="B831" s="31" t="s">
        <v>32</v>
      </c>
      <c r="C831" s="59" t="s">
        <v>1794</v>
      </c>
      <c r="D831" s="57" t="s">
        <v>30</v>
      </c>
      <c r="E831" s="57">
        <v>46048</v>
      </c>
      <c r="F831" s="38" t="str">
        <f>IF(C831&lt;&gt;"",VLOOKUP($C831,Carpetas!$C$5:$L$2060,2,FALSE),"")</f>
        <v>ECB002-26</v>
      </c>
      <c r="G831" s="38" t="s">
        <v>43</v>
      </c>
      <c r="H831" s="44">
        <f>IF(C831&lt;&gt;"",VLOOKUP($C831,Carpetas!$C$5:$L$2060,9,FALSE),"")</f>
        <v>1547320</v>
      </c>
      <c r="I831" s="51" t="str">
        <f>IF(C831&lt;&gt;"",VLOOKUP($C831,Carpetas!$C$5:$L$2060,5,FALSE),"")</f>
        <v>Andino</v>
      </c>
      <c r="J831" s="51" t="str">
        <f>IF(D831&lt;&gt;"",VLOOKUP($C831,Carpetas!$C$5:$L$2060,3,FALSE),"")</f>
        <v>Nobora Trading Group</v>
      </c>
      <c r="K831" s="50">
        <v>46057</v>
      </c>
      <c r="L831" s="39" t="str">
        <f>VLOOKUP($C831,Carpetas!$C$5:$L$2060,4,FALSE)</f>
        <v>Fray Bentos</v>
      </c>
      <c r="M831" s="55">
        <f t="shared" si="54"/>
        <v>46058</v>
      </c>
      <c r="N831" s="53">
        <f t="shared" si="55"/>
        <v>10</v>
      </c>
      <c r="O831" s="51">
        <v>4320</v>
      </c>
      <c r="P831" s="51">
        <v>3</v>
      </c>
      <c r="Q831" s="51">
        <v>4320</v>
      </c>
      <c r="R831" s="51">
        <v>80</v>
      </c>
      <c r="S831" s="51"/>
      <c r="T831" s="65"/>
      <c r="U831" s="65"/>
      <c r="V831" s="65"/>
      <c r="W831" s="51"/>
      <c r="X831" s="66" t="s">
        <v>1795</v>
      </c>
    </row>
    <row r="832" hidden="1" ht="27.75" customHeight="1" s="32" customFormat="1">
      <c r="A832" s="37"/>
      <c r="B832" s="31" t="s">
        <v>32</v>
      </c>
      <c r="C832" s="59" t="s">
        <v>1796</v>
      </c>
      <c r="D832" s="57" t="s">
        <v>30</v>
      </c>
      <c r="E832" s="57">
        <v>46053</v>
      </c>
      <c r="F832" s="38" t="str">
        <f>IF(C832&lt;&gt;"",VLOOKUP($C832,Carpetas!$C$5:$L$2060,2,FALSE),"")</f>
        <v>BOB009-26</v>
      </c>
      <c r="G832" s="38" t="s">
        <v>31</v>
      </c>
      <c r="H832" s="44">
        <f>IF(C832&lt;&gt;"",VLOOKUP($C832,Carpetas!$C$5:$L$2060,9,FALSE),"")</f>
        <v>0</v>
      </c>
      <c r="I832" s="51" t="str">
        <f>IF(C832&lt;&gt;"",VLOOKUP($C832,Carpetas!$C$5:$L$2060,5,FALSE),"")</f>
        <v>Sintercargas </v>
      </c>
      <c r="J832" s="51" t="str">
        <f>IF(D832&lt;&gt;"",VLOOKUP($C832,Carpetas!$C$5:$L$2060,3,FALSE),"")</f>
        <v>Banexfrut</v>
      </c>
      <c r="K832" s="50">
        <v>46060</v>
      </c>
      <c r="L832" s="39" t="str">
        <f>VLOOKUP($C832,Carpetas!$C$5:$L$2060,4,FALSE)</f>
        <v>Salto</v>
      </c>
      <c r="M832" s="55">
        <f t="shared" si="54"/>
        <v>46061</v>
      </c>
      <c r="N832" s="53">
        <f t="shared" si="55"/>
        <v>8</v>
      </c>
      <c r="O832" s="51">
        <v>1050</v>
      </c>
      <c r="P832" s="51">
        <v>1</v>
      </c>
      <c r="Q832" s="51">
        <v>1050</v>
      </c>
      <c r="R832" s="51">
        <v>20</v>
      </c>
      <c r="S832" s="51">
        <v>21</v>
      </c>
      <c r="T832" s="65"/>
      <c r="U832" s="65"/>
      <c r="V832" s="65"/>
      <c r="W832" s="51"/>
      <c r="X832" s="66" t="s">
        <v>1797</v>
      </c>
    </row>
    <row r="833" hidden="1" ht="27.75" customHeight="1" s="32" customFormat="1">
      <c r="A833" s="37"/>
      <c r="B833" s="31" t="s">
        <v>32</v>
      </c>
      <c r="C833" s="59" t="s">
        <v>1798</v>
      </c>
      <c r="D833" s="57" t="s">
        <v>30</v>
      </c>
      <c r="E833" s="57">
        <v>46055</v>
      </c>
      <c r="F833" s="38" t="str">
        <f>IF(C833&lt;&gt;"",VLOOKUP($C833,Carpetas!$C$5:$L$2060,2,FALSE),"")</f>
        <v>BOB010-26</v>
      </c>
      <c r="G833" s="38" t="s">
        <v>31</v>
      </c>
      <c r="H833" s="44">
        <f>IF(C833&lt;&gt;"",VLOOKUP($C833,Carpetas!$C$5:$L$2060,9,FALSE),"")</f>
        <v>0</v>
      </c>
      <c r="I833" s="51" t="str">
        <f>IF(C833&lt;&gt;"",VLOOKUP($C833,Carpetas!$C$5:$L$2060,5,FALSE),"")</f>
        <v>ESTRACOND S.R.L</v>
      </c>
      <c r="J833" s="51" t="str">
        <f>IF(D833&lt;&gt;"",VLOOKUP($C833,Carpetas!$C$5:$L$2060,3,FALSE),"")</f>
        <v>Befrut</v>
      </c>
      <c r="K833" s="50">
        <v>46060</v>
      </c>
      <c r="L833" s="39" t="str">
        <f>VLOOKUP($C833,Carpetas!$C$5:$L$2060,4,FALSE)</f>
        <v>Salto</v>
      </c>
      <c r="M833" s="55">
        <f t="shared" si="54"/>
        <v>46061</v>
      </c>
      <c r="N833" s="53">
        <f t="shared" si="55"/>
        <v>6</v>
      </c>
      <c r="O833" s="51">
        <v>1050</v>
      </c>
      <c r="P833" s="51">
        <v>1</v>
      </c>
      <c r="Q833" s="51"/>
      <c r="R833" s="51"/>
      <c r="S833" s="51"/>
      <c r="T833" s="65"/>
      <c r="U833" s="65"/>
      <c r="V833" s="65"/>
      <c r="W833" s="51"/>
      <c r="X833" s="66"/>
    </row>
    <row r="834" hidden="1" ht="27.75" customHeight="1" s="32" customFormat="1">
      <c r="A834" s="37"/>
      <c r="B834" s="31" t="s">
        <v>32</v>
      </c>
      <c r="C834" s="59" t="s">
        <v>1796</v>
      </c>
      <c r="D834" s="57" t="s">
        <v>30</v>
      </c>
      <c r="E834" s="57">
        <v>46053</v>
      </c>
      <c r="F834" s="38" t="str">
        <f>IF(C834&lt;&gt;"",VLOOKUP($C834,Carpetas!$C$5:$L$2060,2,FALSE),"")</f>
        <v>BOB009-26</v>
      </c>
      <c r="G834" s="38" t="s">
        <v>31</v>
      </c>
      <c r="H834" s="44">
        <f>IF(C834&lt;&gt;"",VLOOKUP($C834,Carpetas!$C$5:$L$2060,9,FALSE),"")</f>
        <v>0</v>
      </c>
      <c r="I834" s="51" t="str">
        <f>IF(C834&lt;&gt;"",VLOOKUP($C834,Carpetas!$C$5:$L$2060,5,FALSE),"")</f>
        <v>Sintercargas </v>
      </c>
      <c r="J834" s="51" t="str">
        <f>IF(D834&lt;&gt;"",VLOOKUP($C834,Carpetas!$C$5:$L$2060,3,FALSE),"")</f>
        <v>Banexfrut</v>
      </c>
      <c r="K834" s="50">
        <v>46061</v>
      </c>
      <c r="L834" s="39" t="str">
        <f>VLOOKUP($C834,Carpetas!$C$5:$L$2060,4,FALSE)</f>
        <v>Salto</v>
      </c>
      <c r="M834" s="55">
        <f t="shared" si="54"/>
        <v>46062</v>
      </c>
      <c r="N834" s="53">
        <f t="shared" si="55"/>
        <v>9</v>
      </c>
      <c r="O834" s="51">
        <v>1050</v>
      </c>
      <c r="P834" s="51">
        <v>1</v>
      </c>
      <c r="Q834" s="51">
        <v>1050</v>
      </c>
      <c r="R834" s="51"/>
      <c r="S834" s="51">
        <v>21</v>
      </c>
      <c r="T834" s="65"/>
      <c r="U834" s="65"/>
      <c r="V834" s="65" t="s">
        <v>895</v>
      </c>
      <c r="W834" s="51"/>
      <c r="X834" s="66" t="s">
        <v>1799</v>
      </c>
    </row>
    <row r="835" hidden="1" ht="27.75" customHeight="1" s="32" customFormat="1">
      <c r="A835" s="37"/>
      <c r="B835" s="31" t="s">
        <v>32</v>
      </c>
      <c r="C835" s="59" t="s">
        <v>1800</v>
      </c>
      <c r="D835" s="57" t="s">
        <v>30</v>
      </c>
      <c r="E835" s="57">
        <v>46049</v>
      </c>
      <c r="F835" s="38" t="str">
        <f>IF(C835&lt;&gt;"",VLOOKUP($C835,Carpetas!$C$5:$L$2060,2,FALSE),"")</f>
        <v>ECB003-26</v>
      </c>
      <c r="G835" s="38" t="s">
        <v>43</v>
      </c>
      <c r="H835" s="44">
        <f>IF(C835&lt;&gt;"",VLOOKUP($C835,Carpetas!$C$5:$L$2060,9,FALSE),"")</f>
        <v>1547749</v>
      </c>
      <c r="I835" s="51" t="str">
        <f>IF(C835&lt;&gt;"",VLOOKUP($C835,Carpetas!$C$5:$L$2060,5,FALSE),"")</f>
        <v>Andino</v>
      </c>
      <c r="J835" s="51" t="str">
        <f>IF(D835&lt;&gt;"",VLOOKUP($C835,Carpetas!$C$5:$L$2060,3,FALSE),"")</f>
        <v>Nobora Trading Group</v>
      </c>
      <c r="K835" s="50">
        <v>46063</v>
      </c>
      <c r="L835" s="39" t="str">
        <f>VLOOKUP($C835,Carpetas!$C$5:$L$2060,4,FALSE)</f>
        <v>Fray Bentos</v>
      </c>
      <c r="M835" s="55">
        <f t="shared" si="54"/>
        <v>46064</v>
      </c>
      <c r="N835" s="53">
        <f t="shared" si="55"/>
        <v>15</v>
      </c>
      <c r="O835" s="51">
        <v>4320</v>
      </c>
      <c r="P835" s="51">
        <v>1</v>
      </c>
      <c r="Q835" s="51">
        <v>4320</v>
      </c>
      <c r="R835" s="51">
        <v>80</v>
      </c>
      <c r="S835" s="51"/>
      <c r="T835" s="65"/>
      <c r="U835" s="65"/>
      <c r="V835" s="65"/>
      <c r="W835" s="51"/>
      <c r="X835" s="66" t="s">
        <v>1801</v>
      </c>
    </row>
    <row r="836" hidden="1" ht="27.75" customHeight="1" s="32" customFormat="1">
      <c r="A836" s="37"/>
      <c r="B836" s="31" t="s">
        <v>32</v>
      </c>
      <c r="C836" s="59" t="s">
        <v>1802</v>
      </c>
      <c r="D836" s="57" t="s">
        <v>30</v>
      </c>
      <c r="E836" s="57">
        <v>46057</v>
      </c>
      <c r="F836" s="38" t="str">
        <f>IF(C836&lt;&gt;"",VLOOKUP($C836,Carpetas!$C$5:$L$2060,2,FALSE),"")</f>
        <v>BOB011-26</v>
      </c>
      <c r="G836" s="38" t="s">
        <v>31</v>
      </c>
      <c r="H836" s="44">
        <f>IF(C836&lt;&gt;"",VLOOKUP($C836,Carpetas!$C$5:$L$2060,9,FALSE),"")</f>
        <v>0</v>
      </c>
      <c r="I836" s="51">
        <f>IF(C836&lt;&gt;"",VLOOKUP($C836,Carpetas!$C$5:$L$2060,5,FALSE),"")</f>
        <v>0</v>
      </c>
      <c r="J836" s="51" t="str">
        <f>IF(D836&lt;&gt;"",VLOOKUP($C836,Carpetas!$C$5:$L$2060,3,FALSE),"")</f>
        <v>Delifrut</v>
      </c>
      <c r="K836" s="50">
        <v>46064</v>
      </c>
      <c r="L836" s="39" t="str">
        <f>VLOOKUP($C836,Carpetas!$C$5:$L$2060,4,FALSE)</f>
        <v>Salto</v>
      </c>
      <c r="M836" s="55">
        <f t="shared" si="54"/>
        <v>46065</v>
      </c>
      <c r="N836" s="53">
        <f t="shared" si="55"/>
        <v>8</v>
      </c>
      <c r="O836" s="51">
        <v>1000</v>
      </c>
      <c r="P836" s="51">
        <v>1</v>
      </c>
      <c r="Q836" s="51">
        <v>1000</v>
      </c>
      <c r="R836" s="51"/>
      <c r="S836" s="51">
        <v>21</v>
      </c>
      <c r="T836" s="65"/>
      <c r="U836" s="65"/>
      <c r="V836" s="65" t="s">
        <v>1589</v>
      </c>
      <c r="W836" s="51"/>
      <c r="X836" s="66" t="s">
        <v>1803</v>
      </c>
    </row>
    <row r="837" hidden="1" ht="27.75" customHeight="1" s="32" customFormat="1">
      <c r="A837" s="37"/>
      <c r="B837" s="31" t="s">
        <v>32</v>
      </c>
      <c r="C837" s="59" t="s">
        <v>1798</v>
      </c>
      <c r="D837" s="57" t="s">
        <v>30</v>
      </c>
      <c r="E837" s="57">
        <v>46062</v>
      </c>
      <c r="F837" s="38" t="str">
        <f>IF(C837&lt;&gt;"",VLOOKUP($C837,Carpetas!$C$5:$L$2060,2,FALSE),"")</f>
        <v>BOB010-26</v>
      </c>
      <c r="G837" s="38" t="s">
        <v>31</v>
      </c>
      <c r="H837" s="44">
        <f>IF(C837&lt;&gt;"",VLOOKUP($C837,Carpetas!$C$5:$L$2060,9,FALSE),"")</f>
        <v>0</v>
      </c>
      <c r="I837" s="51" t="str">
        <f>IF(C837&lt;&gt;"",VLOOKUP($C837,Carpetas!$C$5:$L$2060,5,FALSE),"")</f>
        <v>ESTRACOND S.R.L</v>
      </c>
      <c r="J837" s="51" t="str">
        <f>IF(D837&lt;&gt;"",VLOOKUP($C837,Carpetas!$C$5:$L$2060,3,FALSE),"")</f>
        <v>Befrut</v>
      </c>
      <c r="K837" s="50">
        <v>46065</v>
      </c>
      <c r="L837" s="39" t="str">
        <f>VLOOKUP($C837,Carpetas!$C$5:$L$2060,4,FALSE)</f>
        <v>Salto</v>
      </c>
      <c r="M837" s="55">
        <f t="shared" si="54"/>
        <v>46066</v>
      </c>
      <c r="N837" s="53">
        <f t="shared" si="55"/>
        <v>4</v>
      </c>
      <c r="O837" s="51">
        <v>1050</v>
      </c>
      <c r="P837" s="51">
        <v>1</v>
      </c>
      <c r="Q837" s="51">
        <v>1050</v>
      </c>
      <c r="R837" s="51"/>
      <c r="S837" s="51"/>
      <c r="T837" s="65"/>
      <c r="U837" s="65"/>
      <c r="V837" s="65" t="s">
        <v>1804</v>
      </c>
      <c r="W837" s="51"/>
      <c r="X837" s="66" t="s">
        <v>1805</v>
      </c>
    </row>
    <row r="838" hidden="1" ht="27.75" customHeight="1" s="32" customFormat="1">
      <c r="A838" s="37"/>
      <c r="B838" s="31" t="s">
        <v>32</v>
      </c>
      <c r="C838" s="59" t="s">
        <v>1806</v>
      </c>
      <c r="D838" s="57" t="s">
        <v>30</v>
      </c>
      <c r="E838" s="57">
        <v>46049</v>
      </c>
      <c r="F838" s="38" t="str">
        <f>IF(C838&lt;&gt;"",VLOOKUP($C838,Carpetas!$C$5:$L$2060,2,FALSE),"")</f>
        <v>ECE001-26</v>
      </c>
      <c r="G838" s="38" t="s">
        <v>43</v>
      </c>
      <c r="H838" s="44">
        <f>IF(C838&lt;&gt;"",VLOOKUP($C838,Carpetas!$C$5:$L$2060,9,FALSE),"")</f>
        <v>1548268</v>
      </c>
      <c r="I838" s="51" t="str">
        <f>IF(C838&lt;&gt;"",VLOOKUP($C838,Carpetas!$C$5:$L$2060,5,FALSE),"")</f>
        <v>Andino</v>
      </c>
      <c r="J838" s="51" t="str">
        <f>IF(D838&lt;&gt;"",VLOOKUP($C838,Carpetas!$C$5:$L$2060,3,FALSE),"")</f>
        <v>Exporsweet</v>
      </c>
      <c r="K838" s="50">
        <v>46066</v>
      </c>
      <c r="L838" s="39" t="str">
        <f>VLOOKUP($C838,Carpetas!$C$5:$L$2060,4,FALSE)</f>
        <v>Fray Bentos</v>
      </c>
      <c r="M838" s="55">
        <f t="shared" si="54"/>
        <v>46067</v>
      </c>
      <c r="N838" s="53">
        <f t="shared" si="55"/>
        <v>18</v>
      </c>
      <c r="O838" s="51">
        <v>1080</v>
      </c>
      <c r="P838" s="51">
        <v>1</v>
      </c>
      <c r="Q838" s="51">
        <v>1128</v>
      </c>
      <c r="R838" s="51">
        <v>20</v>
      </c>
      <c r="S838" s="51"/>
      <c r="T838" s="65"/>
      <c r="U838" s="65"/>
      <c r="V838" s="65"/>
      <c r="W838" s="51"/>
      <c r="X838" s="66" t="s">
        <v>1807</v>
      </c>
    </row>
    <row r="839" hidden="1" ht="27.75" customHeight="1" s="32" customFormat="1">
      <c r="A839" s="37"/>
      <c r="B839" s="31" t="s">
        <v>32</v>
      </c>
      <c r="C839" s="59" t="s">
        <v>1808</v>
      </c>
      <c r="D839" s="57" t="s">
        <v>30</v>
      </c>
      <c r="E839" s="57">
        <v>46049</v>
      </c>
      <c r="F839" s="38" t="str">
        <f>IF(C839&lt;&gt;"",VLOOKUP($C839,Carpetas!$C$5:$L$2060,2,FALSE),"")</f>
        <v>ECI004-26</v>
      </c>
      <c r="G839" s="38" t="s">
        <v>43</v>
      </c>
      <c r="H839" s="44">
        <f>IF(C839&lt;&gt;"",VLOOKUP($C839,Carpetas!$C$5:$L$2060,9,FALSE),"")</f>
        <v>1547865</v>
      </c>
      <c r="I839" s="51" t="str">
        <f>IF(C839&lt;&gt;"",VLOOKUP($C839,Carpetas!$C$5:$L$2060,5,FALSE),"")</f>
        <v>Andino</v>
      </c>
      <c r="J839" s="51" t="str">
        <f>IF(D839&lt;&gt;"",VLOOKUP($C839,Carpetas!$C$5:$L$2060,3,FALSE),"")</f>
        <v>Interbanana</v>
      </c>
      <c r="K839" s="50">
        <v>46066</v>
      </c>
      <c r="L839" s="39" t="str">
        <f>VLOOKUP($C839,Carpetas!$C$5:$L$2060,4,FALSE)</f>
        <v>Fray Bentos</v>
      </c>
      <c r="M839" s="55">
        <f t="shared" si="54"/>
        <v>46067</v>
      </c>
      <c r="N839" s="53">
        <f t="shared" si="55"/>
        <v>18</v>
      </c>
      <c r="O839" s="51">
        <v>4320</v>
      </c>
      <c r="P839" s="51">
        <v>1</v>
      </c>
      <c r="Q839" s="51" t="s">
        <v>1724</v>
      </c>
      <c r="R839" s="51">
        <v>80</v>
      </c>
      <c r="S839" s="51"/>
      <c r="T839" s="65"/>
      <c r="U839" s="65"/>
      <c r="V839" s="65"/>
      <c r="W839" s="51"/>
      <c r="X839" s="66" t="s">
        <v>1809</v>
      </c>
    </row>
    <row r="840" hidden="1" ht="27.75" customHeight="1" s="32" customFormat="1">
      <c r="A840" s="37"/>
      <c r="B840" s="31" t="s">
        <v>32</v>
      </c>
      <c r="C840" s="59" t="s">
        <v>1810</v>
      </c>
      <c r="D840" s="57" t="s">
        <v>37</v>
      </c>
      <c r="E840" s="57">
        <v>46021</v>
      </c>
      <c r="F840" s="38" t="str">
        <f>IF(C840&lt;&gt;"",VLOOKUP($C840,Carpetas!$C$5:$L$2060,2,FALSE),"")</f>
        <v>GRK009</v>
      </c>
      <c r="G840" s="38" t="s">
        <v>833</v>
      </c>
      <c r="H840" s="44">
        <f>IF(C840&lt;&gt;"",VLOOKUP($C840,Carpetas!$C$5:$L$2060,9,FALSE),"")</f>
        <v>0</v>
      </c>
      <c r="I840" s="51" t="str">
        <f>IF(C840&lt;&gt;"",VLOOKUP($C840,Carpetas!$C$5:$L$2060,5,FALSE),"")</f>
        <v>Ciatran</v>
      </c>
      <c r="J840" s="51" t="str">
        <f>IF(D840&lt;&gt;"",VLOOKUP($C840,Carpetas!$C$5:$L$2060,3,FALSE),"")</f>
        <v>Frueat</v>
      </c>
      <c r="K840" s="50">
        <v>46071</v>
      </c>
      <c r="L840" s="39" t="str">
        <f>VLOOKUP($C840,Carpetas!$C$5:$L$2060,4,FALSE)</f>
        <v>Montevideo</v>
      </c>
      <c r="M840" s="55">
        <f t="shared" si="54"/>
        <v>46072</v>
      </c>
      <c r="N840" s="53">
        <f t="shared" si="55"/>
        <v>51</v>
      </c>
      <c r="O840" s="51">
        <v>2200</v>
      </c>
      <c r="P840" s="51">
        <v>1</v>
      </c>
      <c r="Q840" s="51">
        <v>2200</v>
      </c>
      <c r="R840" s="51">
        <v>21</v>
      </c>
      <c r="S840" s="51"/>
      <c r="T840" s="65"/>
      <c r="U840" s="65"/>
      <c r="V840" s="65"/>
      <c r="W840" s="51"/>
      <c r="X840" s="66" t="s">
        <v>1811</v>
      </c>
    </row>
    <row r="841" hidden="1" ht="27.75" customHeight="1" s="32" customFormat="1">
      <c r="A841" s="37"/>
      <c r="B841" s="31" t="s">
        <v>32</v>
      </c>
      <c r="C841" s="59" t="s">
        <v>1812</v>
      </c>
      <c r="D841" s="57" t="s">
        <v>30</v>
      </c>
      <c r="E841" s="57">
        <v>46056</v>
      </c>
      <c r="F841" s="38" t="str">
        <f>IF(C841&lt;&gt;"",VLOOKUP($C841,Carpetas!$C$5:$L$2060,2,FALSE),"")</f>
        <v>ECI005-26</v>
      </c>
      <c r="G841" s="38" t="s">
        <v>43</v>
      </c>
      <c r="H841" s="44">
        <f>IF(C841&lt;&gt;"",VLOOKUP($C841,Carpetas!$C$5:$L$2060,9,FALSE),"")</f>
        <v>1547868</v>
      </c>
      <c r="I841" s="51" t="str">
        <f>IF(C841&lt;&gt;"",VLOOKUP($C841,Carpetas!$C$5:$L$2060,5,FALSE),"")</f>
        <v>Andino</v>
      </c>
      <c r="J841" s="51" t="str">
        <f>IF(D841&lt;&gt;"",VLOOKUP($C841,Carpetas!$C$5:$L$2060,3,FALSE),"")</f>
        <v>Interbanana</v>
      </c>
      <c r="K841" s="50">
        <v>46071</v>
      </c>
      <c r="L841" s="39" t="str">
        <f>VLOOKUP($C841,Carpetas!$C$5:$L$2060,4,FALSE)</f>
        <v>Fray Bentos</v>
      </c>
      <c r="M841" s="55">
        <f t="shared" si="54"/>
        <v>46072</v>
      </c>
      <c r="N841" s="53">
        <f t="shared" si="55"/>
        <v>16</v>
      </c>
      <c r="O841" s="51">
        <v>1080</v>
      </c>
      <c r="P841" s="51">
        <v>1</v>
      </c>
      <c r="Q841" s="51">
        <v>1080</v>
      </c>
      <c r="R841" s="51"/>
      <c r="S841" s="51"/>
      <c r="T841" s="65"/>
      <c r="U841" s="65"/>
      <c r="V841" s="65"/>
      <c r="W841" s="51"/>
      <c r="X841" s="66" t="s">
        <v>1813</v>
      </c>
    </row>
    <row r="842" hidden="1" ht="27.75" customHeight="1" s="32" customFormat="1">
      <c r="A842" s="37"/>
      <c r="B842" s="31" t="s">
        <v>32</v>
      </c>
      <c r="C842" s="59" t="s">
        <v>1814</v>
      </c>
      <c r="D842" s="57" t="s">
        <v>48</v>
      </c>
      <c r="E842" s="57">
        <v>46043</v>
      </c>
      <c r="F842" s="38" t="str">
        <f>IF(C842&lt;&gt;"",VLOOKUP($C842,Carpetas!$C$5:$L$2060,2,FALSE),"")</f>
        <v>MXP001-26</v>
      </c>
      <c r="G842" s="38" t="s">
        <v>78</v>
      </c>
      <c r="H842" s="44">
        <f>IF(C842&lt;&gt;"",VLOOKUP($C842,Carpetas!$C$5:$L$2060,9,FALSE),"")</f>
        <v>1547159</v>
      </c>
      <c r="I842" s="51" t="str">
        <f>IF(C842&lt;&gt;"",VLOOKUP($C842,Carpetas!$C$5:$L$2060,5,FALSE),"")</f>
        <v>Andino</v>
      </c>
      <c r="J842" s="51" t="str">
        <f>IF(D842&lt;&gt;"",VLOOKUP($C842,Carpetas!$C$5:$L$2060,3,FALSE),"")</f>
        <v>Mission</v>
      </c>
      <c r="K842" s="50">
        <v>46072</v>
      </c>
      <c r="L842" s="39" t="str">
        <f>VLOOKUP($C842,Carpetas!$C$5:$L$2060,4,FALSE)</f>
        <v>Fray Bentos</v>
      </c>
      <c r="M842" s="55">
        <f t="shared" si="54"/>
        <v>46073</v>
      </c>
      <c r="N842" s="53">
        <f t="shared" si="55"/>
        <v>30</v>
      </c>
      <c r="O842" s="51">
        <v>1920</v>
      </c>
      <c r="P842" s="51">
        <v>1</v>
      </c>
      <c r="Q842" s="51">
        <v>1020</v>
      </c>
      <c r="R842" s="51">
        <v>20</v>
      </c>
      <c r="S842" s="51"/>
      <c r="T842" s="65"/>
      <c r="U842" s="65"/>
      <c r="V842" s="65"/>
      <c r="W842" s="51"/>
      <c r="X842" s="66" t="s">
        <v>1815</v>
      </c>
    </row>
    <row r="843" hidden="1" ht="27.75" customHeight="1" s="32" customFormat="1">
      <c r="A843" s="37"/>
      <c r="B843" s="31" t="s">
        <v>32</v>
      </c>
      <c r="C843" s="59" t="s">
        <v>1812</v>
      </c>
      <c r="D843" s="57" t="s">
        <v>30</v>
      </c>
      <c r="E843" s="57">
        <v>46056</v>
      </c>
      <c r="F843" s="38" t="str">
        <f>IF(C843&lt;&gt;"",VLOOKUP($C843,Carpetas!$C$5:$L$2060,2,FALSE),"")</f>
        <v>ECI005-26</v>
      </c>
      <c r="G843" s="38" t="s">
        <v>43</v>
      </c>
      <c r="H843" s="44">
        <f>IF(C843&lt;&gt;"",VLOOKUP($C843,Carpetas!$C$5:$L$2060,9,FALSE),"")</f>
        <v>1547868</v>
      </c>
      <c r="I843" s="51" t="str">
        <f>IF(C843&lt;&gt;"",VLOOKUP($C843,Carpetas!$C$5:$L$2060,5,FALSE),"")</f>
        <v>Andino</v>
      </c>
      <c r="J843" s="51" t="str">
        <f>IF(D843&lt;&gt;"",VLOOKUP($C843,Carpetas!$C$5:$L$2060,3,FALSE),"")</f>
        <v>Interbanana</v>
      </c>
      <c r="K843" s="50">
        <v>46072</v>
      </c>
      <c r="L843" s="39" t="str">
        <f>VLOOKUP($C843,Carpetas!$C$5:$L$2060,4,FALSE)</f>
        <v>Fray Bentos</v>
      </c>
      <c r="M843" s="55">
        <f t="shared" si="54"/>
        <v>46073</v>
      </c>
      <c r="N843" s="53">
        <f t="shared" si="55"/>
        <v>17</v>
      </c>
      <c r="O843" s="51">
        <v>1080</v>
      </c>
      <c r="P843" s="51">
        <v>1</v>
      </c>
      <c r="Q843" s="51">
        <v>1080</v>
      </c>
      <c r="R843" s="51">
        <v>20</v>
      </c>
      <c r="S843" s="51"/>
      <c r="T843" s="65"/>
      <c r="U843" s="65"/>
      <c r="V843" s="65"/>
      <c r="W843" s="51"/>
      <c r="X843" s="66" t="s">
        <v>1816</v>
      </c>
    </row>
    <row r="844" hidden="1" ht="27.75" customHeight="1" s="32" customFormat="1">
      <c r="A844" s="37"/>
      <c r="B844" s="31" t="s">
        <v>32</v>
      </c>
      <c r="C844" s="59" t="s">
        <v>1812</v>
      </c>
      <c r="D844" s="57" t="s">
        <v>30</v>
      </c>
      <c r="E844" s="57">
        <v>46056</v>
      </c>
      <c r="F844" s="38" t="str">
        <f>IF(C844&lt;&gt;"",VLOOKUP($C844,Carpetas!$C$5:$L$2060,2,FALSE),"")</f>
        <v>ECI005-26</v>
      </c>
      <c r="G844" s="38" t="s">
        <v>43</v>
      </c>
      <c r="H844" s="44">
        <f>IF(C844&lt;&gt;"",VLOOKUP($C844,Carpetas!$C$5:$L$2060,9,FALSE),"")</f>
        <v>1547868</v>
      </c>
      <c r="I844" s="51" t="str">
        <f>IF(C844&lt;&gt;"",VLOOKUP($C844,Carpetas!$C$5:$L$2060,5,FALSE),"")</f>
        <v>Andino</v>
      </c>
      <c r="J844" s="51" t="str">
        <f>IF(D844&lt;&gt;"",VLOOKUP($C844,Carpetas!$C$5:$L$2060,3,FALSE),"")</f>
        <v>Interbanana</v>
      </c>
      <c r="K844" s="50">
        <v>46072</v>
      </c>
      <c r="L844" s="39" t="str">
        <f>VLOOKUP($C844,Carpetas!$C$5:$L$2060,4,FALSE)</f>
        <v>Fray Bentos</v>
      </c>
      <c r="M844" s="55">
        <f t="shared" si="54"/>
        <v>46073</v>
      </c>
      <c r="N844" s="53">
        <f t="shared" si="55"/>
        <v>17</v>
      </c>
      <c r="O844" s="51">
        <v>1080</v>
      </c>
      <c r="P844" s="51">
        <v>1</v>
      </c>
      <c r="Q844" s="51">
        <v>1080</v>
      </c>
      <c r="R844" s="51">
        <v>20</v>
      </c>
      <c r="S844" s="51"/>
      <c r="T844" s="65"/>
      <c r="U844" s="65"/>
      <c r="V844" s="65"/>
      <c r="W844" s="51"/>
      <c r="X844" s="66" t="s">
        <v>1816</v>
      </c>
    </row>
    <row r="845" hidden="1" ht="27.75" customHeight="1" s="32" customFormat="1">
      <c r="A845" s="37"/>
      <c r="B845" s="31" t="s">
        <v>32</v>
      </c>
      <c r="C845" s="59" t="s">
        <v>1817</v>
      </c>
      <c r="D845" s="57" t="s">
        <v>30</v>
      </c>
      <c r="E845" s="57">
        <v>46056</v>
      </c>
      <c r="F845" s="38" t="str">
        <f>IF(C845&lt;&gt;"",VLOOKUP($C845,Carpetas!$C$5:$L$2060,2,FALSE),"")</f>
        <v>ECB004/26</v>
      </c>
      <c r="G845" s="38" t="s">
        <v>43</v>
      </c>
      <c r="H845" s="44">
        <f>IF(C845&lt;&gt;"",VLOOKUP($C845,Carpetas!$C$5:$L$2060,9,FALSE),"")</f>
        <v>1547750</v>
      </c>
      <c r="I845" s="51" t="str">
        <f>IF(C845&lt;&gt;"",VLOOKUP($C845,Carpetas!$C$5:$L$2060,5,FALSE),"")</f>
        <v>Andino</v>
      </c>
      <c r="J845" s="51" t="str">
        <f>IF(D845&lt;&gt;"",VLOOKUP($C845,Carpetas!$C$5:$L$2060,3,FALSE),"")</f>
        <v>Nobora Trading Group</v>
      </c>
      <c r="K845" s="50">
        <v>46072</v>
      </c>
      <c r="L845" s="39" t="str">
        <f>VLOOKUP($C845,Carpetas!$C$5:$L$2060,4,FALSE)</f>
        <v>Fray Bentos</v>
      </c>
      <c r="M845" s="55">
        <f t="shared" si="54"/>
        <v>46073</v>
      </c>
      <c r="N845" s="53">
        <f t="shared" si="55"/>
        <v>17</v>
      </c>
      <c r="O845" s="51">
        <v>5400</v>
      </c>
      <c r="P845" s="51">
        <v>5</v>
      </c>
      <c r="Q845" s="51">
        <v>5400</v>
      </c>
      <c r="R845" s="51">
        <v>100</v>
      </c>
      <c r="S845" s="51"/>
      <c r="T845" s="65"/>
      <c r="U845" s="65"/>
      <c r="V845" s="65" t="s">
        <v>55</v>
      </c>
      <c r="W845" s="51"/>
      <c r="X845" s="66" t="s">
        <v>1818</v>
      </c>
    </row>
    <row r="846" hidden="1" ht="27.75" customHeight="1" s="32" customFormat="1">
      <c r="A846" s="37"/>
      <c r="B846" s="31" t="s">
        <v>32</v>
      </c>
      <c r="C846" s="59" t="s">
        <v>1819</v>
      </c>
      <c r="D846" s="57" t="s">
        <v>30</v>
      </c>
      <c r="E846" s="57">
        <v>46056</v>
      </c>
      <c r="F846" s="38" t="str">
        <f>IF(C846&lt;&gt;"",VLOOKUP($C846,Carpetas!$C$5:$L$2060,2,FALSE),"")</f>
        <v>ECE002-26</v>
      </c>
      <c r="G846" s="38" t="s">
        <v>43</v>
      </c>
      <c r="H846" s="44">
        <f>IF(C846&lt;&gt;"",VLOOKUP($C846,Carpetas!$C$5:$L$2060,9,FALSE),"")</f>
        <v>1549048</v>
      </c>
      <c r="I846" s="51" t="str">
        <f>IF(C846&lt;&gt;"",VLOOKUP($C846,Carpetas!$C$5:$L$2060,5,FALSE),"")</f>
        <v>Andino</v>
      </c>
      <c r="J846" s="51" t="str">
        <f>IF(D846&lt;&gt;"",VLOOKUP($C846,Carpetas!$C$5:$L$2060,3,FALSE),"")</f>
        <v>Exporsweet</v>
      </c>
      <c r="K846" s="50">
        <v>46072</v>
      </c>
      <c r="L846" s="39" t="str">
        <f>VLOOKUP($C846,Carpetas!$C$5:$L$2060,4,FALSE)</f>
        <v>Fray Bentos</v>
      </c>
      <c r="M846" s="55">
        <f t="shared" si="54"/>
        <v>46073</v>
      </c>
      <c r="N846" s="53">
        <f t="shared" si="55"/>
        <v>17</v>
      </c>
      <c r="O846" s="51">
        <v>2208</v>
      </c>
      <c r="P846" s="51">
        <v>2</v>
      </c>
      <c r="Q846" s="51">
        <v>1998</v>
      </c>
      <c r="R846" s="51">
        <v>20</v>
      </c>
      <c r="S846" s="51"/>
      <c r="T846" s="65"/>
      <c r="U846" s="65"/>
      <c r="V846" s="65"/>
      <c r="W846" s="51"/>
      <c r="X846" s="66" t="s">
        <v>1820</v>
      </c>
    </row>
    <row r="847" hidden="1" ht="27.75" customHeight="1" s="32" customFormat="1">
      <c r="A847" s="37"/>
      <c r="B847" s="31" t="s">
        <v>32</v>
      </c>
      <c r="C847" s="59" t="s">
        <v>1821</v>
      </c>
      <c r="D847" s="57" t="s">
        <v>42</v>
      </c>
      <c r="E847" s="57">
        <v>46056</v>
      </c>
      <c r="F847" s="38" t="str">
        <f>IF(C847&lt;&gt;"",VLOOKUP($C847,Carpetas!$C$5:$L$2060,2,FALSE),"")</f>
        <v>ECA004/26</v>
      </c>
      <c r="G847" s="38" t="s">
        <v>43</v>
      </c>
      <c r="H847" s="44">
        <f>IF(C847&lt;&gt;"",VLOOKUP($C847,Carpetas!$C$5:$L$2060,9,FALSE),"")</f>
        <v>1547836</v>
      </c>
      <c r="I847" s="51" t="str">
        <f>IF(C847&lt;&gt;"",VLOOKUP($C847,Carpetas!$C$5:$L$2060,5,FALSE),"")</f>
        <v>Andino</v>
      </c>
      <c r="J847" s="51" t="str">
        <f>IF(D847&lt;&gt;"",VLOOKUP($C847,Carpetas!$C$5:$L$2060,3,FALSE),"")</f>
        <v>Agroeden</v>
      </c>
      <c r="K847" s="50">
        <v>46072</v>
      </c>
      <c r="L847" s="39" t="str">
        <f>VLOOKUP($C847,Carpetas!$C$5:$L$2060,4,FALSE)</f>
        <v>Fray Bentos</v>
      </c>
      <c r="M847" s="55">
        <f t="shared" si="54"/>
        <v>46073</v>
      </c>
      <c r="N847" s="53">
        <f t="shared" si="55"/>
        <v>17</v>
      </c>
      <c r="O847" s="51">
        <v>1680</v>
      </c>
      <c r="P847" s="51">
        <v>1</v>
      </c>
      <c r="Q847" s="51">
        <v>1680</v>
      </c>
      <c r="R847" s="51">
        <v>20</v>
      </c>
      <c r="S847" s="51">
        <v>8</v>
      </c>
      <c r="T847" s="65"/>
      <c r="U847" s="65"/>
      <c r="V847" s="65" t="s">
        <v>1203</v>
      </c>
      <c r="W847" s="51"/>
      <c r="X847" s="66" t="s">
        <v>1822</v>
      </c>
    </row>
    <row r="848" hidden="1" ht="27.75" customHeight="1" s="32" customFormat="1">
      <c r="A848" s="37"/>
      <c r="B848" s="31" t="s">
        <v>32</v>
      </c>
      <c r="C848" s="59" t="s">
        <v>1823</v>
      </c>
      <c r="D848" s="57" t="s">
        <v>48</v>
      </c>
      <c r="E848" s="57">
        <v>46069</v>
      </c>
      <c r="F848" s="38" t="str">
        <f>IF(C848&lt;&gt;"",VLOOKUP($C848,Carpetas!$C$5:$L$2060,2,FALSE),"")</f>
        <v>CLP003-26</v>
      </c>
      <c r="G848" s="38" t="s">
        <v>35</v>
      </c>
      <c r="H848" s="44">
        <f>IF(C848&lt;&gt;"",VLOOKUP($C848,Carpetas!$C$5:$L$2060,9,FALSE),"")</f>
        <v>1550114</v>
      </c>
      <c r="I848" s="51" t="str">
        <f>IF(C848&lt;&gt;"",VLOOKUP($C848,Carpetas!$C$5:$L$2060,5,FALSE),"")</f>
        <v>Nihuil</v>
      </c>
      <c r="J848" s="51" t="str">
        <f>IF(D848&lt;&gt;"",VLOOKUP($C848,Carpetas!$C$5:$L$2060,3,FALSE),"")</f>
        <v>Propal</v>
      </c>
      <c r="K848" s="50">
        <v>46073</v>
      </c>
      <c r="L848" s="39" t="str">
        <f>VLOOKUP($C848,Carpetas!$C$5:$L$2060,4,FALSE)</f>
        <v>Fray Bentos</v>
      </c>
      <c r="M848" s="55">
        <f t="shared" si="54"/>
        <v>46074</v>
      </c>
      <c r="N848" s="53">
        <f t="shared" si="55"/>
        <v>5</v>
      </c>
      <c r="O848" s="51">
        <v>2112</v>
      </c>
      <c r="P848" s="51">
        <v>1</v>
      </c>
      <c r="Q848" s="51">
        <v>2112</v>
      </c>
      <c r="R848" s="51">
        <v>24</v>
      </c>
      <c r="S848" s="51"/>
      <c r="T848" s="65"/>
      <c r="U848" s="65"/>
      <c r="V848" s="65"/>
      <c r="W848" s="51"/>
      <c r="X848" s="66" t="s">
        <v>1824</v>
      </c>
    </row>
    <row r="849" hidden="1" ht="27.75" customHeight="1" s="32" customFormat="1">
      <c r="A849" s="37"/>
      <c r="B849" s="31" t="s">
        <v>32</v>
      </c>
      <c r="C849" s="59" t="s">
        <v>1825</v>
      </c>
      <c r="D849" s="57" t="s">
        <v>30</v>
      </c>
      <c r="E849" s="57">
        <v>46067</v>
      </c>
      <c r="F849" s="38" t="str">
        <f>IF(C849&lt;&gt;"",VLOOKUP($C849,Carpetas!$C$5:$L$2060,2,FALSE),"")</f>
        <v>BOB012-26</v>
      </c>
      <c r="G849" s="38" t="s">
        <v>31</v>
      </c>
      <c r="H849" s="44">
        <f>IF(C849&lt;&gt;"",VLOOKUP($C849,Carpetas!$C$5:$L$2060,9,FALSE),"")</f>
        <v>0</v>
      </c>
      <c r="I849" s="51" t="str">
        <f>IF(C849&lt;&gt;"",VLOOKUP($C849,Carpetas!$C$5:$L$2060,5,FALSE),"")</f>
        <v>Tradex</v>
      </c>
      <c r="J849" s="51" t="str">
        <f>IF(D849&lt;&gt;"",VLOOKUP($C849,Carpetas!$C$5:$L$2060,3,FALSE),"")</f>
        <v>Banexfrut</v>
      </c>
      <c r="K849" s="50">
        <v>46073</v>
      </c>
      <c r="L849" s="39" t="str">
        <f>VLOOKUP($C849,Carpetas!$C$5:$L$2060,4,FALSE)</f>
        <v>Salto</v>
      </c>
      <c r="M849" s="55">
        <f t="shared" si="54"/>
        <v>46074</v>
      </c>
      <c r="N849" s="53">
        <f t="shared" si="55"/>
        <v>7</v>
      </c>
      <c r="O849" s="51">
        <v>1050</v>
      </c>
      <c r="P849" s="51">
        <v>1</v>
      </c>
      <c r="Q849" s="51">
        <v>1050</v>
      </c>
      <c r="R849" s="51">
        <v>21</v>
      </c>
      <c r="S849" s="51"/>
      <c r="T849" s="65"/>
      <c r="U849" s="65"/>
      <c r="V849" s="65" t="s">
        <v>895</v>
      </c>
      <c r="W849" s="51"/>
      <c r="X849" s="66" t="s">
        <v>1826</v>
      </c>
    </row>
    <row r="850" hidden="1" ht="27.75" customHeight="1" s="32" customFormat="1">
      <c r="A850" s="37"/>
      <c r="B850" s="31" t="s">
        <v>32</v>
      </c>
      <c r="C850" s="59" t="s">
        <v>1827</v>
      </c>
      <c r="D850" s="57" t="s">
        <v>48</v>
      </c>
      <c r="E850" s="57">
        <v>46050</v>
      </c>
      <c r="F850" s="38" t="str">
        <f>IF(C850&lt;&gt;"",VLOOKUP($C850,Carpetas!$C$5:$L$2060,2,FALSE),"")</f>
        <v>MXP002-26</v>
      </c>
      <c r="G850" s="38" t="s">
        <v>78</v>
      </c>
      <c r="H850" s="44">
        <f>IF(C850&lt;&gt;"",VLOOKUP($C850,Carpetas!$C$5:$L$2060,9,FALSE),"")</f>
        <v>0</v>
      </c>
      <c r="I850" s="51" t="str">
        <f>IF(C850&lt;&gt;"",VLOOKUP($C850,Carpetas!$C$5:$L$2060,5,FALSE),"")</f>
        <v>Andino</v>
      </c>
      <c r="J850" s="51" t="str">
        <f>IF(D850&lt;&gt;"",VLOOKUP($C850,Carpetas!$C$5:$L$2060,3,FALSE),"")</f>
        <v>Mission</v>
      </c>
      <c r="K850" s="50">
        <v>46076</v>
      </c>
      <c r="L850" s="39" t="str">
        <f>VLOOKUP($C850,Carpetas!$C$5:$L$2060,4,FALSE)</f>
        <v>Fray Bentos</v>
      </c>
      <c r="M850" s="55">
        <f t="shared" si="54"/>
        <v>46077</v>
      </c>
      <c r="N850" s="53">
        <f t="shared" si="55"/>
        <v>27</v>
      </c>
      <c r="O850" s="51">
        <v>1920</v>
      </c>
      <c r="P850" s="51">
        <v>1</v>
      </c>
      <c r="Q850" s="51">
        <v>1920</v>
      </c>
      <c r="R850" s="51">
        <v>20</v>
      </c>
      <c r="S850" s="51"/>
      <c r="T850" s="65"/>
      <c r="U850" s="65"/>
      <c r="V850" s="65"/>
      <c r="W850" s="51"/>
      <c r="X850" s="66" t="s">
        <v>1828</v>
      </c>
    </row>
    <row r="851" hidden="1" ht="27.75" customHeight="1" s="32" customFormat="1">
      <c r="A851" s="37"/>
      <c r="B851" s="31" t="s">
        <v>32</v>
      </c>
      <c r="C851" s="59" t="s">
        <v>1829</v>
      </c>
      <c r="D851" s="57" t="s">
        <v>30</v>
      </c>
      <c r="E851" s="57">
        <v>46071</v>
      </c>
      <c r="F851" s="38" t="str">
        <f>IF(C851&lt;&gt;"",VLOOKUP($C851,Carpetas!$C$5:$L$2060,2,FALSE),"")</f>
        <v>BOB013-26</v>
      </c>
      <c r="G851" s="38" t="s">
        <v>31</v>
      </c>
      <c r="H851" s="44">
        <f>IF(C851&lt;&gt;"",VLOOKUP($C851,Carpetas!$C$5:$L$2060,9,FALSE),"")</f>
        <v>1550314</v>
      </c>
      <c r="I851" s="51" t="str">
        <f>IF(C851&lt;&gt;"",VLOOKUP($C851,Carpetas!$C$5:$L$2060,5,FALSE),"")</f>
        <v>ESTRACOND S.R.L</v>
      </c>
      <c r="J851" s="51" t="str">
        <f>IF(D851&lt;&gt;"",VLOOKUP($C851,Carpetas!$C$5:$L$2060,3,FALSE),"")</f>
        <v>Befrut</v>
      </c>
      <c r="K851" s="50">
        <v>46077</v>
      </c>
      <c r="L851" s="39" t="str">
        <f>VLOOKUP($C851,Carpetas!$C$5:$L$2060,4,FALSE)</f>
        <v>Salto</v>
      </c>
      <c r="M851" s="55">
        <f t="shared" si="54"/>
        <v>46078</v>
      </c>
      <c r="N851" s="53">
        <f t="shared" si="55"/>
        <v>7</v>
      </c>
      <c r="O851" s="51">
        <v>1050</v>
      </c>
      <c r="P851" s="51">
        <v>1</v>
      </c>
      <c r="Q851" s="51">
        <v>1020</v>
      </c>
      <c r="R851" s="51"/>
      <c r="S851" s="51"/>
      <c r="T851" s="65"/>
      <c r="U851" s="65"/>
      <c r="V851" s="65" t="s">
        <v>1691</v>
      </c>
      <c r="W851" s="51"/>
      <c r="X851" s="66" t="s">
        <v>1830</v>
      </c>
    </row>
    <row r="852" hidden="1" ht="27.75" customHeight="1" s="32" customFormat="1">
      <c r="A852" s="37"/>
      <c r="B852" s="31" t="s">
        <v>32</v>
      </c>
      <c r="C852" s="59" t="s">
        <v>1831</v>
      </c>
      <c r="D852" s="57" t="s">
        <v>30</v>
      </c>
      <c r="E852" s="57">
        <v>46063</v>
      </c>
      <c r="F852" s="38" t="str">
        <f>IF(C852&lt;&gt;"",VLOOKUP($C852,Carpetas!$C$5:$L$2060,2,FALSE),"")</f>
        <v>ECB005-26</v>
      </c>
      <c r="G852" s="38" t="s">
        <v>43</v>
      </c>
      <c r="H852" s="44">
        <f>IF(C852&lt;&gt;"",VLOOKUP($C852,Carpetas!$C$5:$L$2060,9,FALSE),"")</f>
        <v>1547751</v>
      </c>
      <c r="I852" s="51" t="str">
        <f>IF(C852&lt;&gt;"",VLOOKUP($C852,Carpetas!$C$5:$L$2060,5,FALSE),"")</f>
        <v>Andino</v>
      </c>
      <c r="J852" s="51" t="str">
        <f>IF(D852&lt;&gt;"",VLOOKUP($C852,Carpetas!$C$5:$L$2060,3,FALSE),"")</f>
        <v>Nobora Trading Group</v>
      </c>
      <c r="K852" s="50">
        <v>46078</v>
      </c>
      <c r="L852" s="39" t="str">
        <f>VLOOKUP($C852,Carpetas!$C$5:$L$2060,4,FALSE)</f>
        <v>Fray Bentos</v>
      </c>
      <c r="M852" s="55">
        <v>46078</v>
      </c>
      <c r="N852" s="53">
        <f t="shared" si="55"/>
        <v>15</v>
      </c>
      <c r="O852" s="51">
        <v>1080</v>
      </c>
      <c r="P852" s="51">
        <v>1</v>
      </c>
      <c r="Q852" s="51">
        <v>1080</v>
      </c>
      <c r="R852" s="51">
        <v>20</v>
      </c>
      <c r="S852" s="51"/>
      <c r="T852" s="65"/>
      <c r="U852" s="65"/>
      <c r="V852" s="65"/>
      <c r="W852" s="51"/>
      <c r="X852" s="66" t="s">
        <v>1832</v>
      </c>
    </row>
    <row r="853" hidden="1" ht="27.75" customHeight="1" s="32" customFormat="1">
      <c r="A853" s="37"/>
      <c r="B853" s="31" t="s">
        <v>32</v>
      </c>
      <c r="C853" s="59" t="s">
        <v>1833</v>
      </c>
      <c r="D853" s="57" t="s">
        <v>30</v>
      </c>
      <c r="E853" s="57">
        <v>46071</v>
      </c>
      <c r="F853" s="38" t="str">
        <f>IF(C853&lt;&gt;"",VLOOKUP($C853,Carpetas!$C$5:$L$2060,2,FALSE),"")</f>
        <v>BOB014-26</v>
      </c>
      <c r="G853" s="38" t="s">
        <v>31</v>
      </c>
      <c r="H853" s="44">
        <f>IF(C853&lt;&gt;"",VLOOKUP($C853,Carpetas!$C$5:$L$2060,9,FALSE),"")</f>
        <v>1550444</v>
      </c>
      <c r="I853" s="51" t="str">
        <f>IF(C853&lt;&gt;"",VLOOKUP($C853,Carpetas!$C$5:$L$2060,5,FALSE),"")</f>
        <v>Sintercargas </v>
      </c>
      <c r="J853" s="51" t="str">
        <f>IF(D853&lt;&gt;"",VLOOKUP($C853,Carpetas!$C$5:$L$2060,3,FALSE),"")</f>
        <v>Banexfrut</v>
      </c>
      <c r="K853" s="50">
        <v>46078</v>
      </c>
      <c r="L853" s="39" t="str">
        <f>VLOOKUP($C853,Carpetas!$C$5:$L$2060,4,FALSE)</f>
        <v>Salto</v>
      </c>
      <c r="M853" s="55">
        <f ref="M853:M869" t="shared" si="56">K853+1</f>
        <v>46079</v>
      </c>
      <c r="N853" s="53">
        <f t="shared" si="55"/>
        <v>8</v>
      </c>
      <c r="O853" s="51">
        <v>1050</v>
      </c>
      <c r="P853" s="51">
        <v>1</v>
      </c>
      <c r="Q853" s="51">
        <v>1050</v>
      </c>
      <c r="R853" s="51"/>
      <c r="S853" s="51"/>
      <c r="T853" s="65"/>
      <c r="U853" s="65"/>
      <c r="V853" s="65" t="s">
        <v>895</v>
      </c>
      <c r="W853" s="51"/>
      <c r="X853" s="66" t="s">
        <v>1834</v>
      </c>
    </row>
    <row r="854" hidden="1" ht="27.75" customHeight="1" s="32" customFormat="1">
      <c r="A854" s="37"/>
      <c r="B854" s="31" t="s">
        <v>32</v>
      </c>
      <c r="C854" s="59" t="s">
        <v>1829</v>
      </c>
      <c r="D854" s="57" t="s">
        <v>30</v>
      </c>
      <c r="E854" s="57">
        <v>46071</v>
      </c>
      <c r="F854" s="38" t="str">
        <f>IF(C854&lt;&gt;"",VLOOKUP($C854,Carpetas!$C$5:$L$2060,2,FALSE),"")</f>
        <v>BOB013-26</v>
      </c>
      <c r="G854" s="38" t="s">
        <v>31</v>
      </c>
      <c r="H854" s="44">
        <f>IF(C854&lt;&gt;"",VLOOKUP($C854,Carpetas!$C$5:$L$2060,9,FALSE),"")</f>
        <v>1550314</v>
      </c>
      <c r="I854" s="51" t="str">
        <f>IF(C854&lt;&gt;"",VLOOKUP($C854,Carpetas!$C$5:$L$2060,5,FALSE),"")</f>
        <v>ESTRACOND S.R.L</v>
      </c>
      <c r="J854" s="51" t="str">
        <f>IF(D854&lt;&gt;"",VLOOKUP($C854,Carpetas!$C$5:$L$2060,3,FALSE),"")</f>
        <v>Befrut</v>
      </c>
      <c r="K854" s="50">
        <v>46078</v>
      </c>
      <c r="L854" s="39" t="str">
        <f>VLOOKUP($C854,Carpetas!$C$5:$L$2060,4,FALSE)</f>
        <v>Salto</v>
      </c>
      <c r="M854" s="55">
        <f t="shared" si="56"/>
        <v>46079</v>
      </c>
      <c r="N854" s="53">
        <f t="shared" si="55"/>
        <v>8</v>
      </c>
      <c r="O854" s="51">
        <v>1050</v>
      </c>
      <c r="P854" s="51">
        <v>1</v>
      </c>
      <c r="Q854" s="51">
        <v>1050</v>
      </c>
      <c r="R854" s="51"/>
      <c r="S854" s="51"/>
      <c r="T854" s="65"/>
      <c r="U854" s="65"/>
      <c r="V854" s="65" t="s">
        <v>1691</v>
      </c>
      <c r="W854" s="51"/>
      <c r="X854" s="66" t="s">
        <v>1834</v>
      </c>
    </row>
    <row r="855" hidden="1" ht="27.75" customHeight="1" s="32" customFormat="1">
      <c r="A855" s="37"/>
      <c r="B855" s="31" t="s">
        <v>32</v>
      </c>
      <c r="C855" s="59" t="s">
        <v>1835</v>
      </c>
      <c r="D855" s="57" t="s">
        <v>30</v>
      </c>
      <c r="E855" s="57">
        <v>46063</v>
      </c>
      <c r="F855" s="38" t="str">
        <f>IF(C855&lt;&gt;"",VLOOKUP($C855,Carpetas!$C$5:$L$2060,2,FALSE),"")</f>
        <v>ECE003-26</v>
      </c>
      <c r="G855" s="38" t="s">
        <v>43</v>
      </c>
      <c r="H855" s="44">
        <f>IF(C855&lt;&gt;"",VLOOKUP($C855,Carpetas!$C$5:$L$2060,9,FALSE),"")</f>
        <v>1549667</v>
      </c>
      <c r="I855" s="51" t="str">
        <f>IF(C855&lt;&gt;"",VLOOKUP($C855,Carpetas!$C$5:$L$2060,5,FALSE),"")</f>
        <v>Andino</v>
      </c>
      <c r="J855" s="51" t="str">
        <f>IF(D855&lt;&gt;"",VLOOKUP($C855,Carpetas!$C$5:$L$2060,3,FALSE),"")</f>
        <v>Exporsweet</v>
      </c>
      <c r="K855" s="50">
        <v>46078</v>
      </c>
      <c r="L855" s="39" t="str">
        <f>VLOOKUP($C855,Carpetas!$C$5:$L$2060,4,FALSE)</f>
        <v>Fray Bentos</v>
      </c>
      <c r="M855" s="55">
        <f t="shared" si="56"/>
        <v>46079</v>
      </c>
      <c r="N855" s="53">
        <f t="shared" si="55"/>
        <v>16</v>
      </c>
      <c r="O855" s="51">
        <v>1080</v>
      </c>
      <c r="P855" s="51">
        <v>1</v>
      </c>
      <c r="Q855" s="51">
        <v>1080</v>
      </c>
      <c r="R855" s="51">
        <v>20</v>
      </c>
      <c r="S855" s="51"/>
      <c r="T855" s="65"/>
      <c r="U855" s="65"/>
      <c r="V855" s="65"/>
      <c r="W855" s="51"/>
      <c r="X855" s="66" t="s">
        <v>1836</v>
      </c>
    </row>
    <row r="856" hidden="1" ht="27.75" customHeight="1" s="32" customFormat="1">
      <c r="A856" s="37"/>
      <c r="B856" s="31" t="s">
        <v>32</v>
      </c>
      <c r="C856" s="59" t="s">
        <v>1831</v>
      </c>
      <c r="D856" s="57" t="s">
        <v>30</v>
      </c>
      <c r="E856" s="57">
        <v>46063</v>
      </c>
      <c r="F856" s="38" t="str">
        <f>IF(C856&lt;&gt;"",VLOOKUP($C856,Carpetas!$C$5:$L$2060,2,FALSE),"")</f>
        <v>ECB005-26</v>
      </c>
      <c r="G856" s="38" t="s">
        <v>43</v>
      </c>
      <c r="H856" s="44">
        <f>IF(C856&lt;&gt;"",VLOOKUP($C856,Carpetas!$C$5:$L$2060,9,FALSE),"")</f>
        <v>1547751</v>
      </c>
      <c r="I856" s="51" t="str">
        <f>IF(C856&lt;&gt;"",VLOOKUP($C856,Carpetas!$C$5:$L$2060,5,FALSE),"")</f>
        <v>Andino</v>
      </c>
      <c r="J856" s="51" t="str">
        <f>IF(D856&lt;&gt;"",VLOOKUP($C856,Carpetas!$C$5:$L$2060,3,FALSE),"")</f>
        <v>Nobora Trading Group</v>
      </c>
      <c r="K856" s="50">
        <v>46078</v>
      </c>
      <c r="L856" s="39" t="str">
        <f>VLOOKUP($C856,Carpetas!$C$5:$L$2060,4,FALSE)</f>
        <v>Fray Bentos</v>
      </c>
      <c r="M856" s="55">
        <f t="shared" si="56"/>
        <v>46079</v>
      </c>
      <c r="N856" s="53">
        <f t="shared" si="55"/>
        <v>16</v>
      </c>
      <c r="O856" s="51">
        <v>3240</v>
      </c>
      <c r="P856" s="51">
        <v>3</v>
      </c>
      <c r="Q856" s="51">
        <v>3240</v>
      </c>
      <c r="R856" s="51">
        <v>20</v>
      </c>
      <c r="S856" s="51"/>
      <c r="T856" s="65"/>
      <c r="U856" s="65"/>
      <c r="V856" s="65"/>
      <c r="W856" s="51"/>
      <c r="X856" s="66" t="s">
        <v>1832</v>
      </c>
    </row>
    <row r="857" hidden="1" ht="27.75" customHeight="1" s="32" customFormat="1">
      <c r="A857" s="37"/>
      <c r="B857" s="31" t="s">
        <v>32</v>
      </c>
      <c r="C857" s="59" t="s">
        <v>1831</v>
      </c>
      <c r="D857" s="57" t="s">
        <v>30</v>
      </c>
      <c r="E857" s="57">
        <v>46063</v>
      </c>
      <c r="F857" s="38" t="str">
        <f>IF(C857&lt;&gt;"",VLOOKUP($C857,Carpetas!$C$5:$L$2060,2,FALSE),"")</f>
        <v>ECB005-26</v>
      </c>
      <c r="G857" s="38" t="s">
        <v>43</v>
      </c>
      <c r="H857" s="44">
        <f>IF(C857&lt;&gt;"",VLOOKUP($C857,Carpetas!$C$5:$L$2060,9,FALSE),"")</f>
        <v>1547751</v>
      </c>
      <c r="I857" s="51" t="str">
        <f>IF(C857&lt;&gt;"",VLOOKUP($C857,Carpetas!$C$5:$L$2060,5,FALSE),"")</f>
        <v>Andino</v>
      </c>
      <c r="J857" s="51" t="str">
        <f>IF(D857&lt;&gt;"",VLOOKUP($C857,Carpetas!$C$5:$L$2060,3,FALSE),"")</f>
        <v>Nobora Trading Group</v>
      </c>
      <c r="K857" s="50">
        <v>46079</v>
      </c>
      <c r="L857" s="39" t="str">
        <f>VLOOKUP($C857,Carpetas!$C$5:$L$2060,4,FALSE)</f>
        <v>Fray Bentos</v>
      </c>
      <c r="M857" s="55">
        <f t="shared" si="56"/>
        <v>46080</v>
      </c>
      <c r="N857" s="53">
        <f t="shared" si="55"/>
        <v>17</v>
      </c>
      <c r="O857" s="51">
        <v>1080</v>
      </c>
      <c r="P857" s="51">
        <v>1</v>
      </c>
      <c r="Q857" s="51">
        <v>1080</v>
      </c>
      <c r="R857" s="51">
        <v>20</v>
      </c>
      <c r="S857" s="51">
        <v>21</v>
      </c>
      <c r="T857" s="65"/>
      <c r="U857" s="65"/>
      <c r="V857" s="65" t="s">
        <v>55</v>
      </c>
      <c r="W857" s="51"/>
      <c r="X857" s="66" t="s">
        <v>1837</v>
      </c>
    </row>
    <row r="858" hidden="1" ht="27.75" customHeight="1" s="32" customFormat="1">
      <c r="A858" s="37"/>
      <c r="B858" s="31" t="s">
        <v>32</v>
      </c>
      <c r="C858" s="59" t="s">
        <v>1833</v>
      </c>
      <c r="D858" s="57" t="s">
        <v>30</v>
      </c>
      <c r="E858" s="57">
        <v>46071</v>
      </c>
      <c r="F858" s="38" t="str">
        <f>IF(C858&lt;&gt;"",VLOOKUP($C858,Carpetas!$C$5:$L$2060,2,FALSE),"")</f>
        <v>BOB014-26</v>
      </c>
      <c r="G858" s="38" t="s">
        <v>31</v>
      </c>
      <c r="H858" s="44">
        <f>IF(C858&lt;&gt;"",VLOOKUP($C858,Carpetas!$C$5:$L$2060,9,FALSE),"")</f>
        <v>1550444</v>
      </c>
      <c r="I858" s="51" t="str">
        <f>IF(C858&lt;&gt;"",VLOOKUP($C858,Carpetas!$C$5:$L$2060,5,FALSE),"")</f>
        <v>Sintercargas </v>
      </c>
      <c r="J858" s="51" t="str">
        <f>IF(D858&lt;&gt;"",VLOOKUP($C858,Carpetas!$C$5:$L$2060,3,FALSE),"")</f>
        <v>Banexfrut</v>
      </c>
      <c r="K858" s="50">
        <v>46079</v>
      </c>
      <c r="L858" s="39" t="str">
        <f>VLOOKUP($C858,Carpetas!$C$5:$L$2060,4,FALSE)</f>
        <v>Salto</v>
      </c>
      <c r="M858" s="55">
        <f t="shared" si="56"/>
        <v>46080</v>
      </c>
      <c r="N858" s="53">
        <f t="shared" si="55"/>
        <v>9</v>
      </c>
      <c r="O858" s="51">
        <v>1050</v>
      </c>
      <c r="P858" s="51">
        <v>1</v>
      </c>
      <c r="Q858" s="51">
        <v>1050</v>
      </c>
      <c r="R858" s="51"/>
      <c r="S858" s="51">
        <v>21</v>
      </c>
      <c r="T858" s="65"/>
      <c r="U858" s="65"/>
      <c r="V858" s="65" t="s">
        <v>895</v>
      </c>
      <c r="W858" s="51"/>
      <c r="X858" s="66" t="s">
        <v>1838</v>
      </c>
    </row>
    <row r="859" hidden="1" ht="27.75" customHeight="1" s="32" customFormat="1">
      <c r="A859" s="37"/>
      <c r="B859" s="31" t="s">
        <v>32</v>
      </c>
      <c r="C859" s="59" t="s">
        <v>1839</v>
      </c>
      <c r="D859" s="57" t="s">
        <v>30</v>
      </c>
      <c r="E859" s="57">
        <v>46063</v>
      </c>
      <c r="F859" s="38" t="str">
        <f>IF(C859&lt;&gt;"",VLOOKUP($C859,Carpetas!$C$5:$L$2060,2,FALSE),"")</f>
        <v>ECI006-26</v>
      </c>
      <c r="G859" s="38" t="s">
        <v>43</v>
      </c>
      <c r="H859" s="44">
        <f>IF(C859&lt;&gt;"",VLOOKUP($C859,Carpetas!$C$5:$L$2060,9,FALSE),"")</f>
        <v>1547869</v>
      </c>
      <c r="I859" s="51" t="str">
        <f>IF(C859&lt;&gt;"",VLOOKUP($C859,Carpetas!$C$5:$L$2060,5,FALSE),"")</f>
        <v>Andino</v>
      </c>
      <c r="J859" s="51" t="str">
        <f>IF(D859&lt;&gt;"",VLOOKUP($C859,Carpetas!$C$5:$L$2060,3,FALSE),"")</f>
        <v>Interbanana</v>
      </c>
      <c r="K859" s="50">
        <v>46079</v>
      </c>
      <c r="L859" s="39" t="str">
        <f>VLOOKUP($C859,Carpetas!$C$5:$L$2060,4,FALSE)</f>
        <v>Fray Bentos</v>
      </c>
      <c r="M859" s="55">
        <f t="shared" si="56"/>
        <v>46080</v>
      </c>
      <c r="N859" s="53">
        <f t="shared" si="55"/>
        <v>17</v>
      </c>
      <c r="O859" s="51">
        <v>2160</v>
      </c>
      <c r="P859" s="51">
        <v>2</v>
      </c>
      <c r="Q859" s="51">
        <v>2160</v>
      </c>
      <c r="R859" s="51">
        <v>40</v>
      </c>
      <c r="S859" s="51"/>
      <c r="T859" s="65"/>
      <c r="U859" s="65"/>
      <c r="V859" s="65"/>
      <c r="W859" s="51"/>
      <c r="X859" s="66" t="s">
        <v>1840</v>
      </c>
    </row>
    <row r="860" hidden="1" ht="27.75" customHeight="1" s="32" customFormat="1">
      <c r="A860" s="37"/>
      <c r="B860" s="31" t="s">
        <v>32</v>
      </c>
      <c r="C860" s="59" t="s">
        <v>1835</v>
      </c>
      <c r="D860" s="57" t="s">
        <v>30</v>
      </c>
      <c r="E860" s="57">
        <v>46063</v>
      </c>
      <c r="F860" s="38" t="str">
        <f>IF(C860&lt;&gt;"",VLOOKUP($C860,Carpetas!$C$5:$L$2060,2,FALSE),"")</f>
        <v>ECE003-26</v>
      </c>
      <c r="G860" s="38" t="s">
        <v>43</v>
      </c>
      <c r="H860" s="44">
        <f>IF(C860&lt;&gt;"",VLOOKUP($C860,Carpetas!$C$5:$L$2060,9,FALSE),"")</f>
        <v>1549667</v>
      </c>
      <c r="I860" s="51" t="str">
        <f>IF(C860&lt;&gt;"",VLOOKUP($C860,Carpetas!$C$5:$L$2060,5,FALSE),"")</f>
        <v>Andino</v>
      </c>
      <c r="J860" s="51" t="str">
        <f>IF(D860&lt;&gt;"",VLOOKUP($C860,Carpetas!$C$5:$L$2060,3,FALSE),"")</f>
        <v>Exporsweet</v>
      </c>
      <c r="K860" s="50">
        <v>46079</v>
      </c>
      <c r="L860" s="39" t="str">
        <f>VLOOKUP($C860,Carpetas!$C$5:$L$2060,4,FALSE)</f>
        <v>Fray Bentos</v>
      </c>
      <c r="M860" s="55">
        <f t="shared" si="56"/>
        <v>46080</v>
      </c>
      <c r="N860" s="53">
        <f t="shared" si="55"/>
        <v>17</v>
      </c>
      <c r="O860" s="51">
        <v>1080</v>
      </c>
      <c r="P860" s="51">
        <v>1</v>
      </c>
      <c r="Q860" s="51">
        <v>1080</v>
      </c>
      <c r="R860" s="51">
        <v>20</v>
      </c>
      <c r="S860" s="51"/>
      <c r="T860" s="65"/>
      <c r="U860" s="65"/>
      <c r="V860" s="65"/>
      <c r="W860" s="51"/>
      <c r="X860" s="66">
        <v>46080</v>
      </c>
    </row>
    <row r="861" hidden="1" ht="27.75" customHeight="1" s="32" customFormat="1">
      <c r="A861" s="37"/>
      <c r="B861" s="31" t="s">
        <v>32</v>
      </c>
      <c r="C861" s="59" t="s">
        <v>1841</v>
      </c>
      <c r="D861" s="57" t="s">
        <v>1842</v>
      </c>
      <c r="E861" s="57">
        <v>46063</v>
      </c>
      <c r="F861" s="38" t="str">
        <f>IF(C861&lt;&gt;"",VLOOKUP($C861,Carpetas!$C$5:$L$2060,2,FALSE),"")</f>
        <v>ECBP001-26</v>
      </c>
      <c r="G861" s="38" t="s">
        <v>43</v>
      </c>
      <c r="H861" s="44">
        <f>IF(C861&lt;&gt;"",VLOOKUP($C861,Carpetas!$C$5:$L$2060,9,FALSE),"")</f>
        <v>1549563</v>
      </c>
      <c r="I861" s="51" t="str">
        <f>IF(C861&lt;&gt;"",VLOOKUP($C861,Carpetas!$C$5:$L$2060,5,FALSE),"")</f>
        <v>Andino</v>
      </c>
      <c r="J861" s="51" t="str">
        <f>IF(D861&lt;&gt;"",VLOOKUP($C861,Carpetas!$C$5:$L$2060,3,FALSE),"")</f>
        <v>Nobora Trading Group</v>
      </c>
      <c r="K861" s="50">
        <v>46079</v>
      </c>
      <c r="L861" s="39" t="str">
        <f>VLOOKUP($C861,Carpetas!$C$5:$L$2060,4,FALSE)</f>
        <v>Fray Bentos</v>
      </c>
      <c r="M861" s="55">
        <f t="shared" si="56"/>
        <v>46080</v>
      </c>
      <c r="N861" s="53">
        <f t="shared" si="55"/>
        <v>17</v>
      </c>
      <c r="O861" s="51">
        <v>717</v>
      </c>
      <c r="P861" s="51">
        <v>1</v>
      </c>
      <c r="Q861" s="51">
        <v>717</v>
      </c>
      <c r="R861" s="51">
        <v>20</v>
      </c>
      <c r="S861" s="51"/>
      <c r="T861" s="65"/>
      <c r="U861" s="65"/>
      <c r="V861" s="65"/>
      <c r="W861" s="51"/>
      <c r="X861" s="66" t="s">
        <v>1843</v>
      </c>
    </row>
    <row r="862" hidden="1" ht="27.75" customHeight="1" s="32" customFormat="1">
      <c r="A862" s="37"/>
      <c r="B862" s="31" t="s">
        <v>32</v>
      </c>
      <c r="C862" s="59" t="s">
        <v>1833</v>
      </c>
      <c r="D862" s="57" t="s">
        <v>30</v>
      </c>
      <c r="E862" s="57">
        <v>46078</v>
      </c>
      <c r="F862" s="38" t="str">
        <f>IF(C862&lt;&gt;"",VLOOKUP($C862,Carpetas!$C$5:$L$2060,2,FALSE),"")</f>
        <v>BOB014-26</v>
      </c>
      <c r="G862" s="38" t="s">
        <v>31</v>
      </c>
      <c r="H862" s="44">
        <f>IF(C862&lt;&gt;"",VLOOKUP($C862,Carpetas!$C$5:$L$2060,9,FALSE),"")</f>
        <v>1550444</v>
      </c>
      <c r="I862" s="51" t="str">
        <f>IF(C862&lt;&gt;"",VLOOKUP($C862,Carpetas!$C$5:$L$2060,5,FALSE),"")</f>
        <v>Sintercargas </v>
      </c>
      <c r="J862" s="51" t="str">
        <f>IF(D862&lt;&gt;"",VLOOKUP($C862,Carpetas!$C$5:$L$2060,3,FALSE),"")</f>
        <v>Banexfrut</v>
      </c>
      <c r="K862" s="50">
        <v>46083</v>
      </c>
      <c r="L862" s="39" t="str">
        <f>VLOOKUP($C862,Carpetas!$C$5:$L$2060,4,FALSE)</f>
        <v>Salto</v>
      </c>
      <c r="M862" s="55">
        <f t="shared" si="56"/>
        <v>46084</v>
      </c>
      <c r="N862" s="53">
        <f t="shared" si="55"/>
        <v>6</v>
      </c>
      <c r="O862" s="51">
        <v>1050</v>
      </c>
      <c r="P862" s="51">
        <v>1</v>
      </c>
      <c r="Q862" s="51">
        <v>1050</v>
      </c>
      <c r="R862" s="51"/>
      <c r="S862" s="51"/>
      <c r="T862" s="65"/>
      <c r="U862" s="65"/>
      <c r="V862" s="65" t="s">
        <v>895</v>
      </c>
      <c r="W862" s="51"/>
      <c r="X862" s="66"/>
    </row>
    <row r="863" hidden="1" ht="27.75" customHeight="1" s="32" customFormat="1">
      <c r="A863" s="37"/>
      <c r="B863" s="31" t="s">
        <v>32</v>
      </c>
      <c r="C863" s="59" t="s">
        <v>1844</v>
      </c>
      <c r="D863" s="57" t="s">
        <v>30</v>
      </c>
      <c r="E863" s="57">
        <v>46070</v>
      </c>
      <c r="F863" s="38" t="str">
        <f>IF(C863&lt;&gt;"",VLOOKUP($C863,Carpetas!$C$5:$L$2060,2,FALSE),"")</f>
        <v>ECB006-26</v>
      </c>
      <c r="G863" s="38" t="s">
        <v>43</v>
      </c>
      <c r="H863" s="44">
        <f>IF(C863&lt;&gt;"",VLOOKUP($C863,Carpetas!$C$5:$L$2060,9,FALSE),"")</f>
        <v>1549920</v>
      </c>
      <c r="I863" s="51" t="str">
        <f>IF(C863&lt;&gt;"",VLOOKUP($C863,Carpetas!$C$5:$L$2060,5,FALSE),"")</f>
        <v>Andino</v>
      </c>
      <c r="J863" s="51" t="str">
        <f>IF(D863&lt;&gt;"",VLOOKUP($C863,Carpetas!$C$5:$L$2060,3,FALSE),"")</f>
        <v>Nobora Trading Group</v>
      </c>
      <c r="K863" s="50">
        <v>46084</v>
      </c>
      <c r="L863" s="39" t="str">
        <f>VLOOKUP($C863,Carpetas!$C$5:$L$2060,4,FALSE)</f>
        <v>Fray Bentos</v>
      </c>
      <c r="M863" s="55">
        <f t="shared" si="56"/>
        <v>46085</v>
      </c>
      <c r="N863" s="53">
        <f t="shared" si="55"/>
        <v>15</v>
      </c>
      <c r="O863" s="51">
        <v>5400</v>
      </c>
      <c r="P863" s="51">
        <v>5</v>
      </c>
      <c r="Q863" s="51" t="s">
        <v>1845</v>
      </c>
      <c r="R863" s="51"/>
      <c r="S863" s="51"/>
      <c r="T863" s="65"/>
      <c r="U863" s="65"/>
      <c r="V863" s="65"/>
      <c r="W863" s="51"/>
      <c r="X863" s="66" t="s">
        <v>1846</v>
      </c>
    </row>
    <row r="864" hidden="1" ht="27.75" customHeight="1" s="32" customFormat="1">
      <c r="A864" s="37"/>
      <c r="B864" s="31" t="s">
        <v>32</v>
      </c>
      <c r="C864" s="59" t="s">
        <v>1847</v>
      </c>
      <c r="D864" s="57" t="s">
        <v>42</v>
      </c>
      <c r="E864" s="57">
        <v>46070</v>
      </c>
      <c r="F864" s="38" t="str">
        <f>IF(C864&lt;&gt;"",VLOOKUP($C864,Carpetas!$C$5:$L$2060,2,FALSE),"")</f>
        <v>ECA005-26</v>
      </c>
      <c r="G864" s="38" t="s">
        <v>43</v>
      </c>
      <c r="H864" s="44">
        <f>IF(C864&lt;&gt;"",VLOOKUP($C864,Carpetas!$C$5:$L$2060,9,FALSE),"")</f>
        <v>1547837</v>
      </c>
      <c r="I864" s="51" t="str">
        <f>IF(C864&lt;&gt;"",VLOOKUP($C864,Carpetas!$C$5:$L$2060,5,FALSE),"")</f>
        <v>Andino</v>
      </c>
      <c r="J864" s="51" t="str">
        <f>IF(D864&lt;&gt;"",VLOOKUP($C864,Carpetas!$C$5:$L$2060,3,FALSE),"")</f>
        <v>Agroeden</v>
      </c>
      <c r="K864" s="50">
        <v>46084</v>
      </c>
      <c r="L864" s="39" t="str">
        <f>VLOOKUP($C864,Carpetas!$C$5:$L$2060,4,FALSE)</f>
        <v>Fray Bentos</v>
      </c>
      <c r="M864" s="55">
        <f t="shared" si="56"/>
        <v>46085</v>
      </c>
      <c r="N864" s="53">
        <f t="shared" si="55"/>
        <v>15</v>
      </c>
      <c r="O864" s="51">
        <v>1680</v>
      </c>
      <c r="P864" s="51">
        <v>1</v>
      </c>
      <c r="Q864" s="51">
        <v>1680</v>
      </c>
      <c r="R864" s="51"/>
      <c r="S864" s="51"/>
      <c r="T864" s="65"/>
      <c r="U864" s="65"/>
      <c r="V864" s="65" t="s">
        <v>1203</v>
      </c>
      <c r="W864" s="51"/>
      <c r="X864" s="66" t="s">
        <v>1848</v>
      </c>
    </row>
    <row r="865" hidden="1" ht="27.75" customHeight="1" s="32" customFormat="1">
      <c r="A865" s="37"/>
      <c r="B865" s="31" t="s">
        <v>32</v>
      </c>
      <c r="C865" s="59" t="s">
        <v>1849</v>
      </c>
      <c r="D865" s="57" t="s">
        <v>30</v>
      </c>
      <c r="E865" s="57">
        <v>46070</v>
      </c>
      <c r="F865" s="38" t="str">
        <f>IF(C865&lt;&gt;"",VLOOKUP($C865,Carpetas!$C$5:$L$2060,2,FALSE),"")</f>
        <v>ECI007-26</v>
      </c>
      <c r="G865" s="38" t="s">
        <v>43</v>
      </c>
      <c r="H865" s="44">
        <f>IF(C865&lt;&gt;"",VLOOKUP($C865,Carpetas!$C$5:$L$2060,9,FALSE),"")</f>
        <v>1550208</v>
      </c>
      <c r="I865" s="51" t="str">
        <f>IF(C865&lt;&gt;"",VLOOKUP($C865,Carpetas!$C$5:$L$2060,5,FALSE),"")</f>
        <v>Andino</v>
      </c>
      <c r="J865" s="51" t="str">
        <f>IF(D865&lt;&gt;"",VLOOKUP($C865,Carpetas!$C$5:$L$2060,3,FALSE),"")</f>
        <v>Interbanana</v>
      </c>
      <c r="K865" s="50">
        <v>46084</v>
      </c>
      <c r="L865" s="39" t="str">
        <f>VLOOKUP($C865,Carpetas!$C$5:$L$2060,4,FALSE)</f>
        <v>Fray Bentos</v>
      </c>
      <c r="M865" s="55">
        <f t="shared" si="56"/>
        <v>46085</v>
      </c>
      <c r="N865" s="53">
        <f t="shared" si="55"/>
        <v>15</v>
      </c>
      <c r="O865" s="51">
        <v>2160</v>
      </c>
      <c r="P865" s="51">
        <v>1</v>
      </c>
      <c r="Q865" s="51" t="s">
        <v>439</v>
      </c>
      <c r="R865" s="51"/>
      <c r="S865" s="51"/>
      <c r="T865" s="65"/>
      <c r="U865" s="65"/>
      <c r="V865" s="65"/>
      <c r="W865" s="51"/>
      <c r="X865" s="66"/>
    </row>
    <row r="866" hidden="1" ht="27.75" customHeight="1" s="32" customFormat="1">
      <c r="A866" s="37"/>
      <c r="B866" s="31" t="s">
        <v>32</v>
      </c>
      <c r="C866" s="59" t="s">
        <v>1849</v>
      </c>
      <c r="D866" s="57" t="s">
        <v>30</v>
      </c>
      <c r="E866" s="57">
        <v>46070</v>
      </c>
      <c r="F866" s="38" t="str">
        <f>IF(C866&lt;&gt;"",VLOOKUP($C866,Carpetas!$C$5:$L$2060,2,FALSE),"")</f>
        <v>ECI007-26</v>
      </c>
      <c r="G866" s="38" t="s">
        <v>43</v>
      </c>
      <c r="H866" s="44">
        <f>IF(C866&lt;&gt;"",VLOOKUP($C866,Carpetas!$C$5:$L$2060,9,FALSE),"")</f>
        <v>1550208</v>
      </c>
      <c r="I866" s="51" t="str">
        <f>IF(C866&lt;&gt;"",VLOOKUP($C866,Carpetas!$C$5:$L$2060,5,FALSE),"")</f>
        <v>Andino</v>
      </c>
      <c r="J866" s="51" t="str">
        <f>IF(D866&lt;&gt;"",VLOOKUP($C866,Carpetas!$C$5:$L$2060,3,FALSE),"")</f>
        <v>Interbanana</v>
      </c>
      <c r="K866" s="50">
        <v>46084</v>
      </c>
      <c r="L866" s="39" t="str">
        <f>VLOOKUP($C866,Carpetas!$C$5:$L$2060,4,FALSE)</f>
        <v>Fray Bentos</v>
      </c>
      <c r="M866" s="55">
        <f t="shared" si="56"/>
        <v>46085</v>
      </c>
      <c r="N866" s="53">
        <f t="shared" si="55"/>
        <v>15</v>
      </c>
      <c r="O866" s="51">
        <v>2160</v>
      </c>
      <c r="P866" s="51">
        <v>1</v>
      </c>
      <c r="Q866" s="51" t="s">
        <v>439</v>
      </c>
      <c r="R866" s="51">
        <v>40</v>
      </c>
      <c r="S866" s="51"/>
      <c r="T866" s="65"/>
      <c r="U866" s="65"/>
      <c r="V866" s="65"/>
      <c r="W866" s="51"/>
      <c r="X866" s="66" t="s">
        <v>1850</v>
      </c>
    </row>
    <row r="867" hidden="1" ht="27.75" customHeight="1" s="32" customFormat="1">
      <c r="A867" s="37"/>
      <c r="B867" s="31" t="s">
        <v>32</v>
      </c>
      <c r="C867" s="59" t="s">
        <v>1851</v>
      </c>
      <c r="D867" s="57" t="s">
        <v>30</v>
      </c>
      <c r="E867" s="57">
        <v>46079</v>
      </c>
      <c r="F867" s="38" t="str">
        <f>IF(C867&lt;&gt;"",VLOOKUP($C867,Carpetas!$C$5:$L$2060,2,FALSE),"")</f>
        <v>BOB017/26</v>
      </c>
      <c r="G867" s="38" t="s">
        <v>31</v>
      </c>
      <c r="H867" s="44">
        <f>IF(C867&lt;&gt;"",VLOOKUP($C867,Carpetas!$C$5:$L$2060,9,FALSE),"")</f>
        <v>0</v>
      </c>
      <c r="I867" s="51" t="str">
        <f>IF(C867&lt;&gt;"",VLOOKUP($C867,Carpetas!$C$5:$L$2060,5,FALSE),"")</f>
        <v>ESTRACOND S.R.L</v>
      </c>
      <c r="J867" s="51" t="str">
        <f>IF(D867&lt;&gt;"",VLOOKUP($C867,Carpetas!$C$5:$L$2060,3,FALSE),"")</f>
        <v>Befrut</v>
      </c>
      <c r="K867" s="50">
        <v>46085</v>
      </c>
      <c r="L867" s="39" t="str">
        <f>VLOOKUP($C867,Carpetas!$C$5:$L$2060,4,FALSE)</f>
        <v>Salto</v>
      </c>
      <c r="M867" s="55">
        <f t="shared" si="56"/>
        <v>46086</v>
      </c>
      <c r="N867" s="53">
        <f t="shared" si="55"/>
        <v>7</v>
      </c>
      <c r="O867" s="51">
        <v>1050</v>
      </c>
      <c r="P867" s="51">
        <v>2</v>
      </c>
      <c r="Q867" s="51">
        <v>1050</v>
      </c>
      <c r="R867" s="51"/>
      <c r="S867" s="51"/>
      <c r="T867" s="65"/>
      <c r="U867" s="65"/>
      <c r="V867" s="65" t="s">
        <v>1691</v>
      </c>
      <c r="W867" s="51"/>
      <c r="X867" s="66" t="s">
        <v>1852</v>
      </c>
    </row>
    <row r="868" hidden="1" ht="27.75" customHeight="1" s="32" customFormat="1">
      <c r="A868" s="37"/>
      <c r="B868" s="31" t="s">
        <v>32</v>
      </c>
      <c r="C868" s="59" t="s">
        <v>1851</v>
      </c>
      <c r="D868" s="57" t="s">
        <v>30</v>
      </c>
      <c r="E868" s="57">
        <v>46079</v>
      </c>
      <c r="F868" s="38" t="str">
        <f>IF(C868&lt;&gt;"",VLOOKUP($C868,Carpetas!$C$5:$L$2060,2,FALSE),"")</f>
        <v>BOB017/26</v>
      </c>
      <c r="G868" s="38" t="s">
        <v>31</v>
      </c>
      <c r="H868" s="44">
        <f>IF(C868&lt;&gt;"",VLOOKUP($C868,Carpetas!$C$5:$L$2060,9,FALSE),"")</f>
        <v>0</v>
      </c>
      <c r="I868" s="51" t="str">
        <f>IF(C868&lt;&gt;"",VLOOKUP($C868,Carpetas!$C$5:$L$2060,5,FALSE),"")</f>
        <v>ESTRACOND S.R.L</v>
      </c>
      <c r="J868" s="51" t="str">
        <f>IF(D868&lt;&gt;"",VLOOKUP($C868,Carpetas!$C$5:$L$2060,3,FALSE),"")</f>
        <v>Befrut</v>
      </c>
      <c r="K868" s="50">
        <v>46085</v>
      </c>
      <c r="L868" s="39" t="str">
        <f>VLOOKUP($C868,Carpetas!$C$5:$L$2060,4,FALSE)</f>
        <v>Salto</v>
      </c>
      <c r="M868" s="55">
        <f t="shared" si="56"/>
        <v>46086</v>
      </c>
      <c r="N868" s="53">
        <f t="shared" si="55"/>
        <v>7</v>
      </c>
      <c r="O868" s="51">
        <v>1050</v>
      </c>
      <c r="P868" s="51">
        <v>2</v>
      </c>
      <c r="Q868" s="51"/>
      <c r="R868" s="51"/>
      <c r="S868" s="51">
        <v>1050</v>
      </c>
      <c r="T868" s="65"/>
      <c r="U868" s="65"/>
      <c r="V868" s="65" t="s">
        <v>1691</v>
      </c>
      <c r="W868" s="51"/>
      <c r="X868" s="66" t="s">
        <v>1853</v>
      </c>
    </row>
    <row r="869" hidden="1" ht="27.75" customHeight="1" s="32" customFormat="1">
      <c r="A869" s="37"/>
      <c r="B869" s="31" t="s">
        <v>32</v>
      </c>
      <c r="C869" s="59" t="s">
        <v>1854</v>
      </c>
      <c r="D869" s="57" t="s">
        <v>30</v>
      </c>
      <c r="E869" s="57">
        <v>46081</v>
      </c>
      <c r="F869" s="38" t="str">
        <f>IF(C869&lt;&gt;"",VLOOKUP($C869,Carpetas!$C$5:$L$2060,2,FALSE),"")</f>
        <v>BOB015/26</v>
      </c>
      <c r="G869" s="38" t="s">
        <v>31</v>
      </c>
      <c r="H869" s="44">
        <f>IF(C869&lt;&gt;"",VLOOKUP($C869,Carpetas!$C$5:$L$2060,9,FALSE),"")</f>
        <v>0</v>
      </c>
      <c r="I869" s="51" t="str">
        <f>IF(C869&lt;&gt;"",VLOOKUP($C869,Carpetas!$C$5:$L$2060,5,FALSE),"")</f>
        <v>Sintercargas </v>
      </c>
      <c r="J869" s="51" t="str">
        <f>IF(D869&lt;&gt;"",VLOOKUP($C869,Carpetas!$C$5:$L$2060,3,FALSE),"")</f>
        <v>Banexfrut</v>
      </c>
      <c r="K869" s="50">
        <v>46085</v>
      </c>
      <c r="L869" s="39" t="str">
        <f>VLOOKUP($C869,Carpetas!$C$5:$L$2060,4,FALSE)</f>
        <v>Salto</v>
      </c>
      <c r="M869" s="55">
        <f t="shared" si="56"/>
        <v>46086</v>
      </c>
      <c r="N869" s="53">
        <f t="shared" si="55"/>
        <v>5</v>
      </c>
      <c r="O869" s="51">
        <v>1050</v>
      </c>
      <c r="P869" s="51">
        <v>2</v>
      </c>
      <c r="Q869" s="51"/>
      <c r="R869" s="51"/>
      <c r="S869" s="51">
        <v>1050</v>
      </c>
      <c r="T869" s="65"/>
      <c r="U869" s="65"/>
      <c r="V869" s="65" t="s">
        <v>895</v>
      </c>
      <c r="W869" s="51"/>
      <c r="X869" s="66" t="s">
        <v>1855</v>
      </c>
    </row>
    <row r="870" hidden="1" ht="27.75" customHeight="1" s="32" customFormat="1">
      <c r="A870" s="37"/>
      <c r="B870" s="31" t="s">
        <v>32</v>
      </c>
      <c r="C870" s="59" t="s">
        <v>1856</v>
      </c>
      <c r="D870" s="57" t="s">
        <v>943</v>
      </c>
      <c r="E870" s="57">
        <v>46031</v>
      </c>
      <c r="F870" s="38" t="str">
        <f>IF(C870&lt;&gt;"",VLOOKUP($C870,Carpetas!$C$5:$L$2060,2,FALSE),"")</f>
        <v>EGN001-26</v>
      </c>
      <c r="G870" s="38" t="s">
        <v>657</v>
      </c>
      <c r="H870" s="44">
        <f>IF(C870&lt;&gt;"",VLOOKUP($C870,Carpetas!$C$5:$L$2060,9,FALSE),"")</f>
        <v>0</v>
      </c>
      <c r="I870" s="51" t="str">
        <f>IF(C870&lt;&gt;"",VLOOKUP($C870,Carpetas!$C$5:$L$2060,5,FALSE),"")</f>
        <v>Ciatran</v>
      </c>
      <c r="J870" s="51" t="str">
        <f>IF(D870&lt;&gt;"",VLOOKUP($C870,Carpetas!$C$5:$L$2060,3,FALSE),"")</f>
        <v>Gelila</v>
      </c>
      <c r="K870" s="50">
        <v>46085</v>
      </c>
      <c r="L870" s="39" t="str">
        <f>VLOOKUP($C870,Carpetas!$C$5:$L$2060,4,FALSE)</f>
        <v>Montevideo</v>
      </c>
      <c r="M870" s="55">
        <f>K870+1+1</f>
        <v>46087</v>
      </c>
      <c r="N870" s="53">
        <f t="shared" si="55"/>
        <v>56</v>
      </c>
      <c r="O870" s="51">
        <v>1664</v>
      </c>
      <c r="P870" s="51">
        <v>1</v>
      </c>
      <c r="Q870" s="51" t="s">
        <v>1857</v>
      </c>
      <c r="R870" s="51"/>
      <c r="S870" s="51"/>
      <c r="T870" s="65"/>
      <c r="U870" s="65"/>
      <c r="V870" s="65"/>
      <c r="W870" s="51"/>
      <c r="X870" s="66"/>
    </row>
    <row r="871" hidden="1" ht="27.75" customHeight="1" s="32" customFormat="1">
      <c r="A871" s="37"/>
      <c r="B871" s="31" t="s">
        <v>32</v>
      </c>
      <c r="C871" s="59" t="s">
        <v>1858</v>
      </c>
      <c r="D871" s="57" t="s">
        <v>30</v>
      </c>
      <c r="E871" s="57">
        <v>46084</v>
      </c>
      <c r="F871" s="38" t="str">
        <f>IF(C871&lt;&gt;"",VLOOKUP($C871,Carpetas!$C$5:$L$2060,2,FALSE),"")</f>
        <v>BOB018/26</v>
      </c>
      <c r="G871" s="38" t="s">
        <v>31</v>
      </c>
      <c r="H871" s="44">
        <f>IF(C871&lt;&gt;"",VLOOKUP($C871,Carpetas!$C$5:$L$2060,9,FALSE),"")</f>
        <v>0</v>
      </c>
      <c r="I871" s="51" t="str">
        <f>IF(C871&lt;&gt;"",VLOOKUP($C871,Carpetas!$C$5:$L$2060,5,FALSE),"")</f>
        <v>ESTRACOND S.R.L</v>
      </c>
      <c r="J871" s="51" t="str">
        <f>IF(D871&lt;&gt;"",VLOOKUP($C871,Carpetas!$C$5:$L$2060,3,FALSE),"")</f>
        <v>Befrut</v>
      </c>
      <c r="K871" s="50">
        <v>46086</v>
      </c>
      <c r="L871" s="39" t="str">
        <f>VLOOKUP($C871,Carpetas!$C$5:$L$2060,4,FALSE)</f>
        <v>Salto</v>
      </c>
      <c r="M871" s="55">
        <f>K871+1</f>
        <v>46087</v>
      </c>
      <c r="N871" s="53">
        <f t="shared" si="55"/>
        <v>3</v>
      </c>
      <c r="O871" s="51">
        <v>1050</v>
      </c>
      <c r="P871" s="51">
        <v>1</v>
      </c>
      <c r="Q871" s="51">
        <v>1050</v>
      </c>
      <c r="R871" s="51"/>
      <c r="S871" s="51">
        <v>21</v>
      </c>
      <c r="T871" s="65"/>
      <c r="U871" s="65"/>
      <c r="V871" s="65" t="s">
        <v>1691</v>
      </c>
      <c r="W871" s="51"/>
      <c r="X871" s="66" t="s">
        <v>1859</v>
      </c>
    </row>
    <row r="872" hidden="1" ht="27.75" customHeight="1" s="32" customFormat="1">
      <c r="A872" s="37"/>
      <c r="B872" s="31" t="s">
        <v>32</v>
      </c>
      <c r="C872" s="59" t="s">
        <v>1860</v>
      </c>
      <c r="D872" s="57" t="s">
        <v>34</v>
      </c>
      <c r="E872" s="57">
        <v>46085</v>
      </c>
      <c r="F872" s="38" t="str">
        <f>IF(C872&lt;&gt;"",VLOOKUP($C872,Carpetas!$C$5:$L$2060,2,FALSE),"")</f>
        <v>PEA001-26</v>
      </c>
      <c r="G872" s="38" t="s">
        <v>216</v>
      </c>
      <c r="H872" s="44">
        <f>IF(C872&lt;&gt;"",VLOOKUP($C872,Carpetas!$C$5:$L$2060,9,FALSE),"")</f>
        <v>0</v>
      </c>
      <c r="I872" s="51" t="str">
        <f>IF(C872&lt;&gt;"",VLOOKUP($C872,Carpetas!$C$5:$L$2060,5,FALSE),"")</f>
        <v>Ciatran</v>
      </c>
      <c r="J872" s="51" t="str">
        <f>IF(D872&lt;&gt;"",VLOOKUP($C872,Carpetas!$C$5:$L$2060,3,FALSE),"")</f>
        <v>Exfrusur</v>
      </c>
      <c r="K872" s="50">
        <v>46086</v>
      </c>
      <c r="L872" s="39" t="str">
        <f>VLOOKUP($C872,Carpetas!$C$5:$L$2060,4,FALSE)</f>
        <v>Carrasco</v>
      </c>
      <c r="M872" s="55">
        <f>K872+2</f>
        <v>46088</v>
      </c>
      <c r="N872" s="53">
        <f t="shared" si="55"/>
        <v>3</v>
      </c>
      <c r="O872" s="51">
        <f>255*2</f>
        <v>510</v>
      </c>
      <c r="P872" s="51">
        <v>1</v>
      </c>
      <c r="Q872" s="51">
        <v>510</v>
      </c>
      <c r="R872" s="51"/>
      <c r="S872" s="51"/>
      <c r="T872" s="65"/>
      <c r="U872" s="65"/>
      <c r="V872" s="65" t="s">
        <v>93</v>
      </c>
      <c r="W872" s="51"/>
      <c r="X872" s="66" t="s">
        <v>1861</v>
      </c>
    </row>
    <row r="873" hidden="1" ht="27.75" customHeight="1" s="32" customFormat="1">
      <c r="A873" s="37"/>
      <c r="B873" s="31" t="s">
        <v>32</v>
      </c>
      <c r="C873" s="59" t="s">
        <v>1862</v>
      </c>
      <c r="D873" s="57" t="s">
        <v>30</v>
      </c>
      <c r="E873" s="57">
        <v>46081</v>
      </c>
      <c r="F873" s="38" t="str">
        <f>IF(C873&lt;&gt;"",VLOOKUP($C873,Carpetas!$C$5:$L$2060,2,FALSE),"")</f>
        <v>BOB016/26</v>
      </c>
      <c r="G873" s="38" t="s">
        <v>31</v>
      </c>
      <c r="H873" s="44">
        <f>IF(C873&lt;&gt;"",VLOOKUP($C873,Carpetas!$C$5:$L$2060,9,FALSE),"")</f>
        <v>0</v>
      </c>
      <c r="I873" s="51" t="str">
        <f>IF(C873&lt;&gt;"",VLOOKUP($C873,Carpetas!$C$5:$L$2060,5,FALSE),"")</f>
        <v>Sintercargas </v>
      </c>
      <c r="J873" s="51" t="str">
        <f>IF(D873&lt;&gt;"",VLOOKUP($C873,Carpetas!$C$5:$L$2060,3,FALSE),"")</f>
        <v>Banexfrut</v>
      </c>
      <c r="K873" s="50">
        <v>46087</v>
      </c>
      <c r="L873" s="39" t="str">
        <f>VLOOKUP($C873,Carpetas!$C$5:$L$2060,4,FALSE)</f>
        <v>Salto</v>
      </c>
      <c r="M873" s="55">
        <f ref="M873:M884" t="shared" si="57">K873+1</f>
        <v>46088</v>
      </c>
      <c r="N873" s="53">
        <f t="shared" si="55"/>
        <v>7</v>
      </c>
      <c r="O873" s="51">
        <v>1050</v>
      </c>
      <c r="P873" s="51">
        <v>1</v>
      </c>
      <c r="Q873" s="51">
        <v>1050</v>
      </c>
      <c r="R873" s="51"/>
      <c r="S873" s="51">
        <v>21</v>
      </c>
      <c r="T873" s="65"/>
      <c r="U873" s="65"/>
      <c r="V873" s="65" t="s">
        <v>895</v>
      </c>
      <c r="W873" s="51"/>
      <c r="X873" s="66" t="s">
        <v>1863</v>
      </c>
    </row>
    <row r="874" hidden="1" ht="27.75" customHeight="1" s="32" customFormat="1">
      <c r="A874" s="37"/>
      <c r="B874" s="31" t="s">
        <v>32</v>
      </c>
      <c r="C874" s="59" t="s">
        <v>1864</v>
      </c>
      <c r="D874" s="57" t="s">
        <v>765</v>
      </c>
      <c r="E874" s="57">
        <v>46085</v>
      </c>
      <c r="F874" s="38" t="str">
        <f>IF(C874&lt;&gt;"",VLOOKUP($C874,Carpetas!$C$5:$L$2060,2,FALSE),"")</f>
        <v>ARL001-26</v>
      </c>
      <c r="G874" s="38" t="s">
        <v>369</v>
      </c>
      <c r="H874" s="44">
        <f>IF(C874&lt;&gt;"",VLOOKUP($C874,Carpetas!$C$5:$L$2060,9,FALSE),"")</f>
        <v>0</v>
      </c>
      <c r="I874" s="51" t="str">
        <f>IF(C874&lt;&gt;"",VLOOKUP($C874,Carpetas!$C$5:$L$2060,5,FALSE),"")</f>
        <v>Tropical</v>
      </c>
      <c r="J874" s="51" t="str">
        <f>IF(D874&lt;&gt;"",VLOOKUP($C874,Carpetas!$C$5:$L$2060,3,FALSE),"")</f>
        <v>Tropical</v>
      </c>
      <c r="K874" s="50">
        <v>46087</v>
      </c>
      <c r="L874" s="39" t="str">
        <f>VLOOKUP($C874,Carpetas!$C$5:$L$2060,4,FALSE)</f>
        <v>Fray Bentos</v>
      </c>
      <c r="M874" s="55">
        <f t="shared" si="57"/>
        <v>46088</v>
      </c>
      <c r="N874" s="53">
        <f t="shared" si="55"/>
        <v>3</v>
      </c>
      <c r="O874" s="51">
        <v>1540</v>
      </c>
      <c r="P874" s="51">
        <v>1</v>
      </c>
      <c r="Q874" s="51">
        <v>1539</v>
      </c>
      <c r="R874" s="51">
        <v>22</v>
      </c>
      <c r="S874" s="51"/>
      <c r="T874" s="65"/>
      <c r="U874" s="65"/>
      <c r="V874" s="65"/>
      <c r="W874" s="51"/>
      <c r="X874" s="66" t="s">
        <v>1865</v>
      </c>
    </row>
    <row r="875" hidden="1" ht="27.75" customHeight="1" s="32" customFormat="1">
      <c r="A875" s="37"/>
      <c r="B875" s="31" t="s">
        <v>32</v>
      </c>
      <c r="C875" s="59" t="s">
        <v>1858</v>
      </c>
      <c r="D875" s="57" t="s">
        <v>30</v>
      </c>
      <c r="E875" s="57">
        <v>46084</v>
      </c>
      <c r="F875" s="38" t="str">
        <f>IF(C875&lt;&gt;"",VLOOKUP($C875,Carpetas!$C$5:$L$2060,2,FALSE),"")</f>
        <v>BOB018/26</v>
      </c>
      <c r="G875" s="38" t="s">
        <v>31</v>
      </c>
      <c r="H875" s="44">
        <f>IF(C875&lt;&gt;"",VLOOKUP($C875,Carpetas!$C$5:$L$2060,9,FALSE),"")</f>
        <v>0</v>
      </c>
      <c r="I875" s="51" t="str">
        <f>IF(C875&lt;&gt;"",VLOOKUP($C875,Carpetas!$C$5:$L$2060,5,FALSE),"")</f>
        <v>ESTRACOND S.R.L</v>
      </c>
      <c r="J875" s="51" t="str">
        <f>IF(D875&lt;&gt;"",VLOOKUP($C875,Carpetas!$C$5:$L$2060,3,FALSE),"")</f>
        <v>Befrut</v>
      </c>
      <c r="K875" s="50">
        <v>46090</v>
      </c>
      <c r="L875" s="39" t="str">
        <f>VLOOKUP($C875,Carpetas!$C$5:$L$2060,4,FALSE)</f>
        <v>Salto</v>
      </c>
      <c r="M875" s="55">
        <f t="shared" si="57"/>
        <v>46091</v>
      </c>
      <c r="N875" s="53">
        <f t="shared" si="55"/>
        <v>7</v>
      </c>
      <c r="O875" s="51">
        <v>2100</v>
      </c>
      <c r="P875" s="51">
        <v>2</v>
      </c>
      <c r="Q875" s="51">
        <v>2100</v>
      </c>
      <c r="R875" s="51"/>
      <c r="S875" s="51">
        <v>21</v>
      </c>
      <c r="T875" s="65"/>
      <c r="U875" s="65"/>
      <c r="V875" s="65" t="s">
        <v>1866</v>
      </c>
      <c r="W875" s="51"/>
      <c r="X875" s="66" t="s">
        <v>1867</v>
      </c>
    </row>
    <row r="876" hidden="1" ht="27.75" customHeight="1" s="32" customFormat="1">
      <c r="A876" s="37"/>
      <c r="B876" s="31" t="s">
        <v>32</v>
      </c>
      <c r="C876" s="59" t="s">
        <v>1868</v>
      </c>
      <c r="D876" s="57" t="s">
        <v>42</v>
      </c>
      <c r="E876" s="57">
        <v>46077</v>
      </c>
      <c r="F876" s="38" t="str">
        <f>IF(C876&lt;&gt;"",VLOOKUP($C876,Carpetas!$C$5:$L$2060,2,FALSE),"")</f>
        <v>ECA006-26</v>
      </c>
      <c r="G876" s="38" t="s">
        <v>43</v>
      </c>
      <c r="H876" s="44">
        <f>IF(C876&lt;&gt;"",VLOOKUP($C876,Carpetas!$C$5:$L$2060,9,FALSE),"")</f>
        <v>1550490</v>
      </c>
      <c r="I876" s="51" t="str">
        <f>IF(C876&lt;&gt;"",VLOOKUP($C876,Carpetas!$C$5:$L$2060,5,FALSE),"")</f>
        <v>Andino</v>
      </c>
      <c r="J876" s="51" t="str">
        <f>IF(D876&lt;&gt;"",VLOOKUP($C876,Carpetas!$C$5:$L$2060,3,FALSE),"")</f>
        <v>Agroeden</v>
      </c>
      <c r="K876" s="50">
        <v>46092</v>
      </c>
      <c r="L876" s="39" t="str">
        <f>VLOOKUP($C876,Carpetas!$C$5:$L$2060,4,FALSE)</f>
        <v>Fray Bentos</v>
      </c>
      <c r="M876" s="55">
        <f t="shared" si="57"/>
        <v>46093</v>
      </c>
      <c r="N876" s="53">
        <f ref="N876:N939" t="shared" si="58">IF(M876&lt;&gt;"",M876-E876,"-")</f>
        <v>16</v>
      </c>
      <c r="O876" s="51">
        <v>1680</v>
      </c>
      <c r="P876" s="51">
        <v>1</v>
      </c>
      <c r="Q876" s="51">
        <v>1680</v>
      </c>
      <c r="R876" s="51">
        <v>20</v>
      </c>
      <c r="S876" s="51"/>
      <c r="T876" s="65"/>
      <c r="U876" s="65"/>
      <c r="V876" s="65" t="s">
        <v>1203</v>
      </c>
      <c r="W876" s="51"/>
      <c r="X876" s="66" t="s">
        <v>1869</v>
      </c>
    </row>
    <row r="877" hidden="1" ht="27.75" customHeight="1" s="32" customFormat="1">
      <c r="A877" s="37"/>
      <c r="B877" s="31" t="s">
        <v>32</v>
      </c>
      <c r="C877" s="59" t="s">
        <v>1870</v>
      </c>
      <c r="D877" s="57" t="s">
        <v>30</v>
      </c>
      <c r="E877" s="57">
        <v>46088</v>
      </c>
      <c r="F877" s="38" t="str">
        <f>IF(C877&lt;&gt;"",VLOOKUP($C877,Carpetas!$C$5:$L$2060,2,FALSE),"")</f>
        <v>BOB019/26</v>
      </c>
      <c r="G877" s="38" t="s">
        <v>31</v>
      </c>
      <c r="H877" s="44">
        <f>IF(C877&lt;&gt;"",VLOOKUP($C877,Carpetas!$C$5:$L$2060,9,FALSE),"")</f>
        <v>0</v>
      </c>
      <c r="I877" s="51" t="str">
        <f>IF(C877&lt;&gt;"",VLOOKUP($C877,Carpetas!$C$5:$L$2060,5,FALSE),"")</f>
        <v>Sintercargas </v>
      </c>
      <c r="J877" s="51" t="str">
        <f>IF(D877&lt;&gt;"",VLOOKUP($C877,Carpetas!$C$5:$L$2060,3,FALSE),"")</f>
        <v>Banexfrut</v>
      </c>
      <c r="K877" s="50">
        <v>46092</v>
      </c>
      <c r="L877" s="39" t="str">
        <f>VLOOKUP($C877,Carpetas!$C$5:$L$2060,4,FALSE)</f>
        <v>Salto</v>
      </c>
      <c r="M877" s="55">
        <f t="shared" si="57"/>
        <v>46093</v>
      </c>
      <c r="N877" s="53">
        <f t="shared" si="58"/>
        <v>5</v>
      </c>
      <c r="O877" s="51">
        <v>1050</v>
      </c>
      <c r="P877" s="51">
        <v>1</v>
      </c>
      <c r="Q877" s="51">
        <v>1050</v>
      </c>
      <c r="R877" s="51"/>
      <c r="S877" s="51">
        <v>22</v>
      </c>
      <c r="T877" s="65"/>
      <c r="U877" s="65"/>
      <c r="V877" s="65" t="s">
        <v>895</v>
      </c>
      <c r="W877" s="51"/>
      <c r="X877" s="66" t="s">
        <v>1871</v>
      </c>
    </row>
    <row r="878" hidden="1" ht="27.75" customHeight="1" s="32" customFormat="1">
      <c r="A878" s="37"/>
      <c r="B878" s="31" t="s">
        <v>32</v>
      </c>
      <c r="C878" s="59" t="s">
        <v>1872</v>
      </c>
      <c r="D878" s="57" t="s">
        <v>30</v>
      </c>
      <c r="E878" s="57">
        <v>46088</v>
      </c>
      <c r="F878" s="38" t="str">
        <f>IF(C878&lt;&gt;"",VLOOKUP($C878,Carpetas!$C$5:$L$2060,2,FALSE),"")</f>
        <v>BOB020/26</v>
      </c>
      <c r="G878" s="38" t="s">
        <v>31</v>
      </c>
      <c r="H878" s="44">
        <f>IF(C878&lt;&gt;"",VLOOKUP($C878,Carpetas!$C$5:$L$2060,9,FALSE),"")</f>
        <v>0</v>
      </c>
      <c r="I878" s="51" t="str">
        <f>IF(C878&lt;&gt;"",VLOOKUP($C878,Carpetas!$C$5:$L$2060,5,FALSE),"")</f>
        <v>Sintercargas </v>
      </c>
      <c r="J878" s="51" t="str">
        <f>IF(D878&lt;&gt;"",VLOOKUP($C878,Carpetas!$C$5:$L$2060,3,FALSE),"")</f>
        <v>Banexfrut</v>
      </c>
      <c r="K878" s="50">
        <v>46092</v>
      </c>
      <c r="L878" s="39" t="str">
        <f>VLOOKUP($C878,Carpetas!$C$5:$L$2060,4,FALSE)</f>
        <v>Salto</v>
      </c>
      <c r="M878" s="55">
        <f t="shared" si="57"/>
        <v>46093</v>
      </c>
      <c r="N878" s="53">
        <f t="shared" si="58"/>
        <v>5</v>
      </c>
      <c r="O878" s="51">
        <v>1050</v>
      </c>
      <c r="P878" s="51">
        <v>1</v>
      </c>
      <c r="Q878" s="51">
        <v>1050</v>
      </c>
      <c r="R878" s="51"/>
      <c r="S878" s="51"/>
      <c r="T878" s="65"/>
      <c r="U878" s="65"/>
      <c r="V878" s="65" t="s">
        <v>895</v>
      </c>
      <c r="W878" s="51"/>
      <c r="X878" s="66" t="s">
        <v>1873</v>
      </c>
    </row>
    <row r="879" hidden="1" ht="27.75" customHeight="1" s="32" customFormat="1">
      <c r="A879" s="37"/>
      <c r="B879" s="31" t="s">
        <v>32</v>
      </c>
      <c r="C879" s="59" t="s">
        <v>1874</v>
      </c>
      <c r="D879" s="57" t="s">
        <v>30</v>
      </c>
      <c r="E879" s="57">
        <v>46088</v>
      </c>
      <c r="F879" s="38" t="str">
        <f>IF(C879&lt;&gt;"",VLOOKUP($C879,Carpetas!$C$5:$L$2060,2,FALSE),"")</f>
        <v>BOB021/26</v>
      </c>
      <c r="G879" s="38" t="s">
        <v>31</v>
      </c>
      <c r="H879" s="44">
        <f>IF(C879&lt;&gt;"",VLOOKUP($C879,Carpetas!$C$5:$L$2060,9,FALSE),"")</f>
        <v>0</v>
      </c>
      <c r="I879" s="51" t="str">
        <f>IF(C879&lt;&gt;"",VLOOKUP($C879,Carpetas!$C$5:$L$2060,5,FALSE),"")</f>
        <v>Sintercargas </v>
      </c>
      <c r="J879" s="51" t="str">
        <f>IF(D879&lt;&gt;"",VLOOKUP($C879,Carpetas!$C$5:$L$2060,3,FALSE),"")</f>
        <v>Banexfrut</v>
      </c>
      <c r="K879" s="50">
        <v>46092</v>
      </c>
      <c r="L879" s="39" t="str">
        <f>VLOOKUP($C879,Carpetas!$C$5:$L$2060,4,FALSE)</f>
        <v>Salto</v>
      </c>
      <c r="M879" s="55">
        <f t="shared" si="57"/>
        <v>46093</v>
      </c>
      <c r="N879" s="53">
        <f t="shared" si="58"/>
        <v>5</v>
      </c>
      <c r="O879" s="51">
        <v>1050</v>
      </c>
      <c r="P879" s="51">
        <v>1</v>
      </c>
      <c r="Q879" s="51">
        <v>1050</v>
      </c>
      <c r="R879" s="51" t="s">
        <v>850</v>
      </c>
      <c r="S879" s="51">
        <v>22</v>
      </c>
      <c r="T879" s="65"/>
      <c r="U879" s="65"/>
      <c r="V879" s="65" t="s">
        <v>895</v>
      </c>
      <c r="W879" s="51"/>
      <c r="X879" s="66" t="s">
        <v>1873</v>
      </c>
    </row>
    <row r="880" hidden="1" ht="27.75" customHeight="1" s="32" customFormat="1">
      <c r="A880" s="37"/>
      <c r="B880" s="31" t="s">
        <v>32</v>
      </c>
      <c r="C880" s="59" t="s">
        <v>1875</v>
      </c>
      <c r="D880" s="57" t="s">
        <v>30</v>
      </c>
      <c r="E880" s="57">
        <v>46077</v>
      </c>
      <c r="F880" s="38" t="str">
        <f>IF(C880&lt;&gt;"",VLOOKUP($C880,Carpetas!$C$5:$L$2060,2,FALSE),"")</f>
        <v>ECI009-26</v>
      </c>
      <c r="G880" s="38" t="s">
        <v>43</v>
      </c>
      <c r="H880" s="44">
        <f>IF(C880&lt;&gt;"",VLOOKUP($C880,Carpetas!$C$5:$L$2060,9,FALSE),"")</f>
        <v>1550490</v>
      </c>
      <c r="I880" s="51" t="str">
        <f>IF(C880&lt;&gt;"",VLOOKUP($C880,Carpetas!$C$5:$L$2060,5,FALSE),"")</f>
        <v>Andino</v>
      </c>
      <c r="J880" s="51" t="str">
        <f>IF(D880&lt;&gt;"",VLOOKUP($C880,Carpetas!$C$5:$L$2060,3,FALSE),"")</f>
        <v>Interbanana</v>
      </c>
      <c r="K880" s="50">
        <v>46093</v>
      </c>
      <c r="L880" s="39" t="str">
        <f>VLOOKUP($C880,Carpetas!$C$5:$L$2060,4,FALSE)</f>
        <v>Fray Bentos</v>
      </c>
      <c r="M880" s="55">
        <f t="shared" si="57"/>
        <v>46094</v>
      </c>
      <c r="N880" s="53">
        <f t="shared" si="58"/>
        <v>17</v>
      </c>
      <c r="O880" s="51">
        <v>2160</v>
      </c>
      <c r="P880" s="51">
        <v>2</v>
      </c>
      <c r="Q880" s="51" t="s">
        <v>439</v>
      </c>
      <c r="R880" s="51">
        <v>40</v>
      </c>
      <c r="S880" s="51"/>
      <c r="T880" s="65"/>
      <c r="U880" s="65"/>
      <c r="V880" s="65"/>
      <c r="W880" s="51"/>
      <c r="X880" s="66" t="s">
        <v>1876</v>
      </c>
    </row>
    <row r="881" hidden="1" ht="27.75" customHeight="1" s="32" customFormat="1">
      <c r="A881" s="37"/>
      <c r="B881" s="31" t="s">
        <v>32</v>
      </c>
      <c r="C881" s="59" t="s">
        <v>1877</v>
      </c>
      <c r="D881" s="57" t="s">
        <v>30</v>
      </c>
      <c r="E881" s="57">
        <v>46077</v>
      </c>
      <c r="F881" s="38" t="str">
        <f>IF(C881&lt;&gt;"",VLOOKUP($C881,Carpetas!$C$5:$L$2060,2,FALSE),"")</f>
        <v>ECI008-26</v>
      </c>
      <c r="G881" s="38" t="s">
        <v>43</v>
      </c>
      <c r="H881" s="44">
        <f>IF(C881&lt;&gt;"",VLOOKUP($C881,Carpetas!$C$5:$L$2060,9,FALSE),"")</f>
        <v>1550661</v>
      </c>
      <c r="I881" s="51" t="str">
        <f>IF(C881&lt;&gt;"",VLOOKUP($C881,Carpetas!$C$5:$L$2060,5,FALSE),"")</f>
        <v>Andino</v>
      </c>
      <c r="J881" s="51" t="str">
        <f>IF(D881&lt;&gt;"",VLOOKUP($C881,Carpetas!$C$5:$L$2060,3,FALSE),"")</f>
        <v>Interbanana</v>
      </c>
      <c r="K881" s="50">
        <v>46094</v>
      </c>
      <c r="L881" s="39" t="str">
        <f>VLOOKUP($C881,Carpetas!$C$5:$L$2060,4,FALSE)</f>
        <v>Fray Bentos</v>
      </c>
      <c r="M881" s="55">
        <f t="shared" si="57"/>
        <v>46095</v>
      </c>
      <c r="N881" s="53">
        <f t="shared" si="58"/>
        <v>18</v>
      </c>
      <c r="O881" s="51">
        <v>2160</v>
      </c>
      <c r="P881" s="51">
        <v>2</v>
      </c>
      <c r="Q881" s="51">
        <v>2160</v>
      </c>
      <c r="R881" s="51">
        <v>40</v>
      </c>
      <c r="S881" s="51">
        <v>20</v>
      </c>
      <c r="T881" s="65"/>
      <c r="U881" s="65"/>
      <c r="V881" s="65" t="s">
        <v>1656</v>
      </c>
      <c r="W881" s="51"/>
      <c r="X881" s="66" t="s">
        <v>1878</v>
      </c>
    </row>
    <row r="882" hidden="1" ht="27.75" customHeight="1" s="32" customFormat="1">
      <c r="A882" s="37"/>
      <c r="B882" s="31" t="s">
        <v>32</v>
      </c>
      <c r="C882" s="59" t="s">
        <v>1875</v>
      </c>
      <c r="D882" s="57" t="s">
        <v>30</v>
      </c>
      <c r="E882" s="57">
        <v>46077</v>
      </c>
      <c r="F882" s="38" t="str">
        <f>IF(C882&lt;&gt;"",VLOOKUP($C882,Carpetas!$C$5:$L$2060,2,FALSE),"")</f>
        <v>ECI009-26</v>
      </c>
      <c r="G882" s="38" t="s">
        <v>43</v>
      </c>
      <c r="H882" s="44">
        <f>IF(C882&lt;&gt;"",VLOOKUP($C882,Carpetas!$C$5:$L$2060,9,FALSE),"")</f>
        <v>1550490</v>
      </c>
      <c r="I882" s="51" t="str">
        <f>IF(C882&lt;&gt;"",VLOOKUP($C882,Carpetas!$C$5:$L$2060,5,FALSE),"")</f>
        <v>Andino</v>
      </c>
      <c r="J882" s="51" t="str">
        <f>IF(D882&lt;&gt;"",VLOOKUP($C882,Carpetas!$C$5:$L$2060,3,FALSE),"")</f>
        <v>Interbanana</v>
      </c>
      <c r="K882" s="50">
        <v>46094</v>
      </c>
      <c r="L882" s="39" t="str">
        <f>VLOOKUP($C882,Carpetas!$C$5:$L$2060,4,FALSE)</f>
        <v>Fray Bentos</v>
      </c>
      <c r="M882" s="55">
        <f t="shared" si="57"/>
        <v>46095</v>
      </c>
      <c r="N882" s="53">
        <f t="shared" si="58"/>
        <v>18</v>
      </c>
      <c r="O882" s="51">
        <v>1080</v>
      </c>
      <c r="P882" s="51">
        <v>1</v>
      </c>
      <c r="Q882" s="51">
        <v>1080</v>
      </c>
      <c r="R882" s="51"/>
      <c r="S882" s="51"/>
      <c r="T882" s="65"/>
      <c r="U882" s="65"/>
      <c r="V882" s="65"/>
      <c r="W882" s="51"/>
      <c r="X882" s="66" t="s">
        <v>1879</v>
      </c>
    </row>
    <row r="883" hidden="1" ht="27.75" customHeight="1" s="32" customFormat="1">
      <c r="A883" s="37"/>
      <c r="B883" s="31" t="s">
        <v>32</v>
      </c>
      <c r="C883" s="59" t="s">
        <v>1880</v>
      </c>
      <c r="D883" s="57" t="s">
        <v>30</v>
      </c>
      <c r="E883" s="57">
        <v>46077</v>
      </c>
      <c r="F883" s="38" t="str">
        <f>IF(C883&lt;&gt;"",VLOOKUP($C883,Carpetas!$C$5:$L$2060,2,FALSE),"")</f>
        <v>ECB007-26</v>
      </c>
      <c r="G883" s="38" t="s">
        <v>43</v>
      </c>
      <c r="H883" s="44">
        <f>IF(C883&lt;&gt;"",VLOOKUP($C883,Carpetas!$C$5:$L$2060,9,FALSE),"")</f>
        <v>1550433</v>
      </c>
      <c r="I883" s="51" t="str">
        <f>IF(C883&lt;&gt;"",VLOOKUP($C883,Carpetas!$C$5:$L$2060,5,FALSE),"")</f>
        <v>Andino</v>
      </c>
      <c r="J883" s="51" t="str">
        <f>IF(D883&lt;&gt;"",VLOOKUP($C883,Carpetas!$C$5:$L$2060,3,FALSE),"")</f>
        <v>Nobora Trading Group</v>
      </c>
      <c r="K883" s="50">
        <v>46094</v>
      </c>
      <c r="L883" s="39" t="str">
        <f>VLOOKUP($C883,Carpetas!$C$5:$L$2060,4,FALSE)</f>
        <v>Fray Bentos</v>
      </c>
      <c r="M883" s="55">
        <f t="shared" si="57"/>
        <v>46095</v>
      </c>
      <c r="N883" s="53">
        <f t="shared" si="58"/>
        <v>18</v>
      </c>
      <c r="O883" s="51">
        <v>5400</v>
      </c>
      <c r="P883" s="51">
        <v>5</v>
      </c>
      <c r="Q883" s="51" t="s">
        <v>1845</v>
      </c>
      <c r="R883" s="51">
        <v>100</v>
      </c>
      <c r="S883" s="51"/>
      <c r="T883" s="65"/>
      <c r="U883" s="65"/>
      <c r="V883" s="65"/>
      <c r="W883" s="51"/>
      <c r="X883" s="66" t="s">
        <v>1881</v>
      </c>
    </row>
    <row r="884" hidden="1" ht="27.75" customHeight="1" s="32" customFormat="1">
      <c r="A884" s="37"/>
      <c r="B884" s="31" t="s">
        <v>32</v>
      </c>
      <c r="C884" s="59" t="s">
        <v>1882</v>
      </c>
      <c r="D884" s="57" t="s">
        <v>30</v>
      </c>
      <c r="E884" s="57">
        <v>46092</v>
      </c>
      <c r="F884" s="38" t="str">
        <f>IF(C884&lt;&gt;"",VLOOKUP($C884,Carpetas!$C$5:$L$2060,2,FALSE),"")</f>
        <v>BOB022/26</v>
      </c>
      <c r="G884" s="38" t="s">
        <v>31</v>
      </c>
      <c r="H884" s="44">
        <f>IF(C884&lt;&gt;"",VLOOKUP($C884,Carpetas!$C$5:$L$2060,9,FALSE),"")</f>
        <v>0</v>
      </c>
      <c r="I884" s="51" t="str">
        <f>IF(C884&lt;&gt;"",VLOOKUP($C884,Carpetas!$C$5:$L$2060,5,FALSE),"")</f>
        <v>ESTRACOND S.R.L</v>
      </c>
      <c r="J884" s="51" t="str">
        <f>IF(D884&lt;&gt;"",VLOOKUP($C884,Carpetas!$C$5:$L$2060,3,FALSE),"")</f>
        <v>Befrut</v>
      </c>
      <c r="K884" s="50">
        <v>46098</v>
      </c>
      <c r="L884" s="39" t="str">
        <f>VLOOKUP($C884,Carpetas!$C$5:$L$2060,4,FALSE)</f>
        <v>Salto</v>
      </c>
      <c r="M884" s="55">
        <f t="shared" si="57"/>
        <v>46099</v>
      </c>
      <c r="N884" s="53">
        <f t="shared" si="58"/>
        <v>7</v>
      </c>
      <c r="O884" s="51">
        <v>1050</v>
      </c>
      <c r="P884" s="51">
        <v>2</v>
      </c>
      <c r="Q884" s="51">
        <v>1050</v>
      </c>
      <c r="R884" s="51" t="s">
        <v>850</v>
      </c>
      <c r="S884" s="51">
        <v>21</v>
      </c>
      <c r="T884" s="65"/>
      <c r="U884" s="65"/>
      <c r="V884" s="65" t="s">
        <v>1691</v>
      </c>
      <c r="W884" s="51"/>
      <c r="X884" s="66" t="s">
        <v>1883</v>
      </c>
    </row>
    <row r="885" hidden="1" ht="27.75" customHeight="1" s="32" customFormat="1">
      <c r="A885" s="37"/>
      <c r="B885" s="31" t="s">
        <v>32</v>
      </c>
      <c r="C885" s="59" t="s">
        <v>1884</v>
      </c>
      <c r="D885" s="57" t="s">
        <v>34</v>
      </c>
      <c r="E885" s="57">
        <v>46100</v>
      </c>
      <c r="F885" s="38" t="str">
        <f>IF(C885&lt;&gt;"",VLOOKUP($C885,Carpetas!$C$5:$L$2060,2,FALSE),"")</f>
        <v>PEA002-26</v>
      </c>
      <c r="G885" s="38" t="s">
        <v>216</v>
      </c>
      <c r="H885" s="44">
        <f>IF(C885&lt;&gt;"",VLOOKUP($C885,Carpetas!$C$5:$L$2060,9,FALSE),"")</f>
        <v>0</v>
      </c>
      <c r="I885" s="51" t="str">
        <f>IF(C885&lt;&gt;"",VLOOKUP($C885,Carpetas!$C$5:$L$2060,5,FALSE),"")</f>
        <v>Ciatran</v>
      </c>
      <c r="J885" s="51" t="str">
        <f>IF(D885&lt;&gt;"",VLOOKUP($C885,Carpetas!$C$5:$L$2060,3,FALSE),"")</f>
        <v>Exfrusur</v>
      </c>
      <c r="K885" s="50">
        <v>46100</v>
      </c>
      <c r="L885" s="39" t="str">
        <f>VLOOKUP($C885,Carpetas!$C$5:$L$2060,4,FALSE)</f>
        <v>Carrasco</v>
      </c>
      <c r="M885" s="55">
        <v>46100</v>
      </c>
      <c r="N885" s="53">
        <f t="shared" si="58"/>
        <v>0</v>
      </c>
      <c r="O885" s="51">
        <f>255*3</f>
        <v>765</v>
      </c>
      <c r="P885" s="51">
        <v>1</v>
      </c>
      <c r="Q885" s="51">
        <v>765</v>
      </c>
      <c r="R885" s="51"/>
      <c r="S885" s="51"/>
      <c r="T885" s="65"/>
      <c r="U885" s="65"/>
      <c r="V885" s="65" t="s">
        <v>1269</v>
      </c>
      <c r="W885" s="51"/>
      <c r="X885" s="66" t="s">
        <v>1885</v>
      </c>
    </row>
    <row r="886" hidden="1" ht="27.75" customHeight="1" s="32" customFormat="1">
      <c r="A886" s="37"/>
      <c r="B886" s="31" t="s">
        <v>32</v>
      </c>
      <c r="C886" s="59" t="s">
        <v>1886</v>
      </c>
      <c r="D886" s="57" t="s">
        <v>30</v>
      </c>
      <c r="E886" s="57">
        <v>46095</v>
      </c>
      <c r="F886" s="38" t="str">
        <f>IF(C886&lt;&gt;"",VLOOKUP($C886,Carpetas!$C$5:$L$2060,2,FALSE),"")</f>
        <v>BOB023-26</v>
      </c>
      <c r="G886" s="38" t="s">
        <v>31</v>
      </c>
      <c r="H886" s="44">
        <f>IF(C886&lt;&gt;"",VLOOKUP($C886,Carpetas!$C$5:$L$2060,9,FALSE),"")</f>
        <v>0</v>
      </c>
      <c r="I886" s="51" t="str">
        <f>IF(C886&lt;&gt;"",VLOOKUP($C886,Carpetas!$C$5:$L$2060,5,FALSE),"")</f>
        <v>Sintercargas </v>
      </c>
      <c r="J886" s="51" t="str">
        <f>IF(D886&lt;&gt;"",VLOOKUP($C886,Carpetas!$C$5:$L$2060,3,FALSE),"")</f>
        <v>Banexfrut</v>
      </c>
      <c r="K886" s="50">
        <v>46100</v>
      </c>
      <c r="L886" s="39" t="str">
        <f>VLOOKUP($C886,Carpetas!$C$5:$L$2060,4,FALSE)</f>
        <v>Salto</v>
      </c>
      <c r="M886" s="55">
        <f ref="M886:M893" t="shared" si="59">K886+1</f>
        <v>46101</v>
      </c>
      <c r="N886" s="53">
        <f t="shared" si="58"/>
        <v>6</v>
      </c>
      <c r="O886" s="51">
        <v>1050</v>
      </c>
      <c r="P886" s="51">
        <v>2</v>
      </c>
      <c r="Q886" s="51">
        <v>1050</v>
      </c>
      <c r="R886" s="51"/>
      <c r="S886" s="51">
        <v>21</v>
      </c>
      <c r="T886" s="65"/>
      <c r="U886" s="65"/>
      <c r="V886" s="65" t="s">
        <v>895</v>
      </c>
      <c r="W886" s="51"/>
      <c r="X886" s="66" t="s">
        <v>1887</v>
      </c>
    </row>
    <row r="887" hidden="1" ht="27.75" customHeight="1" s="32" customFormat="1">
      <c r="A887" s="37"/>
      <c r="B887" s="31" t="s">
        <v>32</v>
      </c>
      <c r="C887" s="59" t="s">
        <v>1888</v>
      </c>
      <c r="D887" s="57" t="s">
        <v>30</v>
      </c>
      <c r="E887" s="57">
        <v>46084</v>
      </c>
      <c r="F887" s="38" t="str">
        <f>IF(C887&lt;&gt;"",VLOOKUP($C887,Carpetas!$C$5:$L$2060,2,FALSE),"")</f>
        <v>ECB008-26</v>
      </c>
      <c r="G887" s="38" t="s">
        <v>43</v>
      </c>
      <c r="H887" s="44">
        <f>IF(C887&lt;&gt;"",VLOOKUP($C887,Carpetas!$C$5:$L$2060,9,FALSE),"")</f>
        <v>1551083</v>
      </c>
      <c r="I887" s="51" t="str">
        <f>IF(C887&lt;&gt;"",VLOOKUP($C887,Carpetas!$C$5:$L$2060,5,FALSE),"")</f>
        <v>Andino</v>
      </c>
      <c r="J887" s="51" t="str">
        <f>IF(D887&lt;&gt;"",VLOOKUP($C887,Carpetas!$C$5:$L$2060,3,FALSE),"")</f>
        <v>Nobora Trading Group</v>
      </c>
      <c r="K887" s="50">
        <v>46100</v>
      </c>
      <c r="L887" s="39" t="str">
        <f>VLOOKUP($C887,Carpetas!$C$5:$L$2060,4,FALSE)</f>
        <v>Fray Bentos</v>
      </c>
      <c r="M887" s="55">
        <f t="shared" si="59"/>
        <v>46101</v>
      </c>
      <c r="N887" s="53">
        <f t="shared" si="58"/>
        <v>17</v>
      </c>
      <c r="O887" s="51">
        <v>5400</v>
      </c>
      <c r="P887" s="51">
        <v>5</v>
      </c>
      <c r="Q887" s="51" t="s">
        <v>1889</v>
      </c>
      <c r="R887" s="51"/>
      <c r="S887" s="51"/>
      <c r="T887" s="65"/>
      <c r="U887" s="65"/>
      <c r="V887" s="65"/>
      <c r="W887" s="51"/>
      <c r="X887" s="66" t="s">
        <v>1890</v>
      </c>
    </row>
    <row r="888" hidden="1" ht="27.75" customHeight="1" s="32" customFormat="1">
      <c r="A888" s="37"/>
      <c r="B888" s="31" t="s">
        <v>32</v>
      </c>
      <c r="C888" s="59" t="s">
        <v>1891</v>
      </c>
      <c r="D888" s="57" t="s">
        <v>30</v>
      </c>
      <c r="E888" s="57">
        <v>46084</v>
      </c>
      <c r="F888" s="38" t="str">
        <f>IF(C888&lt;&gt;"",VLOOKUP($C888,Carpetas!$C$5:$L$2060,2,FALSE),"")</f>
        <v>ECI010-26</v>
      </c>
      <c r="G888" s="38" t="s">
        <v>43</v>
      </c>
      <c r="H888" s="44">
        <f>IF(C888&lt;&gt;"",VLOOKUP($C888,Carpetas!$C$5:$L$2060,9,FALSE),"")</f>
        <v>1551105</v>
      </c>
      <c r="I888" s="51" t="str">
        <f>IF(C888&lt;&gt;"",VLOOKUP($C888,Carpetas!$C$5:$L$2060,5,FALSE),"")</f>
        <v>Andino</v>
      </c>
      <c r="J888" s="51" t="str">
        <f>IF(D888&lt;&gt;"",VLOOKUP($C888,Carpetas!$C$5:$L$2060,3,FALSE),"")</f>
        <v>Interbanana</v>
      </c>
      <c r="K888" s="50">
        <v>46100</v>
      </c>
      <c r="L888" s="39" t="str">
        <f>VLOOKUP($C888,Carpetas!$C$5:$L$2060,4,FALSE)</f>
        <v>Fray Bentos</v>
      </c>
      <c r="M888" s="55">
        <f t="shared" si="59"/>
        <v>46101</v>
      </c>
      <c r="N888" s="53">
        <f t="shared" si="58"/>
        <v>17</v>
      </c>
      <c r="O888" s="51">
        <v>5400</v>
      </c>
      <c r="P888" s="51">
        <v>5</v>
      </c>
      <c r="Q888" s="51" t="s">
        <v>1845</v>
      </c>
      <c r="R888" s="51"/>
      <c r="S888" s="51"/>
      <c r="T888" s="65"/>
      <c r="U888" s="65"/>
      <c r="V888" s="65"/>
      <c r="W888" s="51"/>
      <c r="X888" s="66" t="s">
        <v>1892</v>
      </c>
    </row>
    <row r="889" hidden="1" ht="27.75" customHeight="1" s="32" customFormat="1">
      <c r="A889" s="37"/>
      <c r="B889" s="31" t="s">
        <v>32</v>
      </c>
      <c r="C889" s="59" t="s">
        <v>1893</v>
      </c>
      <c r="D889" s="57" t="s">
        <v>30</v>
      </c>
      <c r="E889" s="57">
        <v>46095</v>
      </c>
      <c r="F889" s="38" t="str">
        <f>IF(C889&lt;&gt;"",VLOOKUP($C889,Carpetas!$C$5:$L$2060,2,FALSE),"")</f>
        <v>BOB024-26</v>
      </c>
      <c r="G889" s="38" t="s">
        <v>31</v>
      </c>
      <c r="H889" s="44">
        <f>IF(C889&lt;&gt;"",VLOOKUP($C889,Carpetas!$C$5:$L$2060,9,FALSE),"")</f>
        <v>0</v>
      </c>
      <c r="I889" s="51" t="str">
        <f>IF(C889&lt;&gt;"",VLOOKUP($C889,Carpetas!$C$5:$L$2060,5,FALSE),"")</f>
        <v>Sintercargas </v>
      </c>
      <c r="J889" s="51" t="str">
        <f>IF(D889&lt;&gt;"",VLOOKUP($C889,Carpetas!$C$5:$L$2060,3,FALSE),"")</f>
        <v>Banexfrut</v>
      </c>
      <c r="K889" s="50">
        <v>46101</v>
      </c>
      <c r="L889" s="39" t="str">
        <f>VLOOKUP($C889,Carpetas!$C$5:$L$2060,4,FALSE)</f>
        <v>Salto</v>
      </c>
      <c r="M889" s="55">
        <f t="shared" si="59"/>
        <v>46102</v>
      </c>
      <c r="N889" s="53">
        <f t="shared" si="58"/>
        <v>7</v>
      </c>
      <c r="O889" s="51">
        <v>1050</v>
      </c>
      <c r="P889" s="51">
        <v>1</v>
      </c>
      <c r="Q889" s="51">
        <v>1050</v>
      </c>
      <c r="R889" s="51" t="s">
        <v>850</v>
      </c>
      <c r="S889" s="51">
        <v>21</v>
      </c>
      <c r="T889" s="65"/>
      <c r="U889" s="65"/>
      <c r="V889" s="65" t="s">
        <v>895</v>
      </c>
      <c r="W889" s="51"/>
      <c r="X889" s="66" t="s">
        <v>1894</v>
      </c>
    </row>
    <row r="890" hidden="1" ht="27.75" customHeight="1" s="32" customFormat="1">
      <c r="A890" s="37"/>
      <c r="B890" s="31" t="s">
        <v>32</v>
      </c>
      <c r="C890" s="59" t="s">
        <v>1891</v>
      </c>
      <c r="D890" s="57" t="s">
        <v>30</v>
      </c>
      <c r="E890" s="57">
        <v>46084</v>
      </c>
      <c r="F890" s="38" t="str">
        <f>IF(C890&lt;&gt;"",VLOOKUP($C890,Carpetas!$C$5:$L$2060,2,FALSE),"")</f>
        <v>ECI010-26</v>
      </c>
      <c r="G890" s="38" t="s">
        <v>43</v>
      </c>
      <c r="H890" s="44">
        <f>IF(C890&lt;&gt;"",VLOOKUP($C890,Carpetas!$C$5:$L$2060,9,FALSE),"")</f>
        <v>1551105</v>
      </c>
      <c r="I890" s="51" t="str">
        <f>IF(C890&lt;&gt;"",VLOOKUP($C890,Carpetas!$C$5:$L$2060,5,FALSE),"")</f>
        <v>Andino</v>
      </c>
      <c r="J890" s="51" t="str">
        <f>IF(D890&lt;&gt;"",VLOOKUP($C890,Carpetas!$C$5:$L$2060,3,FALSE),"")</f>
        <v>Interbanana</v>
      </c>
      <c r="K890" s="50">
        <v>46101</v>
      </c>
      <c r="L890" s="39" t="str">
        <f>VLOOKUP($C890,Carpetas!$C$5:$L$2060,4,FALSE)</f>
        <v>Fray Bentos</v>
      </c>
      <c r="M890" s="55">
        <f t="shared" si="59"/>
        <v>46102</v>
      </c>
      <c r="N890" s="53">
        <f t="shared" si="58"/>
        <v>18</v>
      </c>
      <c r="O890" s="51">
        <v>1080</v>
      </c>
      <c r="P890" s="51">
        <v>1</v>
      </c>
      <c r="Q890" s="51">
        <v>1080</v>
      </c>
      <c r="R890" s="51">
        <v>20</v>
      </c>
      <c r="S890" s="51"/>
      <c r="T890" s="65"/>
      <c r="U890" s="65"/>
      <c r="V890" s="65"/>
      <c r="W890" s="51"/>
      <c r="X890" s="66" t="s">
        <v>1895</v>
      </c>
    </row>
    <row r="891" hidden="1" ht="27.75" customHeight="1" s="32" customFormat="1">
      <c r="A891" s="37"/>
      <c r="B891" s="31" t="s">
        <v>32</v>
      </c>
      <c r="C891" s="59" t="s">
        <v>1896</v>
      </c>
      <c r="D891" s="57" t="s">
        <v>30</v>
      </c>
      <c r="E891" s="57">
        <v>46084</v>
      </c>
      <c r="F891" s="38" t="str">
        <f>IF(C891&lt;&gt;"",VLOOKUP($C891,Carpetas!$C$5:$L$2060,2,FALSE),"")</f>
        <v>ECI011-26</v>
      </c>
      <c r="G891" s="38" t="s">
        <v>43</v>
      </c>
      <c r="H891" s="44">
        <f>IF(C891&lt;&gt;"",VLOOKUP($C891,Carpetas!$C$5:$L$2060,9,FALSE),"")</f>
        <v>1551546</v>
      </c>
      <c r="I891" s="51" t="str">
        <f>IF(C891&lt;&gt;"",VLOOKUP($C891,Carpetas!$C$5:$L$2060,5,FALSE),"")</f>
        <v>Andino</v>
      </c>
      <c r="J891" s="51" t="str">
        <f>IF(D891&lt;&gt;"",VLOOKUP($C891,Carpetas!$C$5:$L$2060,3,FALSE),"")</f>
        <v>Interbanana</v>
      </c>
      <c r="K891" s="50">
        <v>46101</v>
      </c>
      <c r="L891" s="39" t="str">
        <f>VLOOKUP($C891,Carpetas!$C$5:$L$2060,4,FALSE)</f>
        <v>Fray Bentos</v>
      </c>
      <c r="M891" s="55">
        <f t="shared" si="59"/>
        <v>46102</v>
      </c>
      <c r="N891" s="53">
        <f t="shared" si="58"/>
        <v>18</v>
      </c>
      <c r="O891" s="51">
        <v>1080</v>
      </c>
      <c r="P891" s="51">
        <v>1</v>
      </c>
      <c r="Q891" s="51">
        <v>1080</v>
      </c>
      <c r="R891" s="51">
        <v>20</v>
      </c>
      <c r="S891" s="51"/>
      <c r="T891" s="65"/>
      <c r="U891" s="65"/>
      <c r="V891" s="65"/>
      <c r="W891" s="51"/>
      <c r="X891" s="66" t="s">
        <v>1897</v>
      </c>
    </row>
    <row r="892" hidden="1" ht="27.75" customHeight="1" s="32" customFormat="1">
      <c r="A892" s="37"/>
      <c r="B892" s="31" t="s">
        <v>1056</v>
      </c>
      <c r="C892" s="59" t="s">
        <v>1896</v>
      </c>
      <c r="D892" s="57" t="s">
        <v>30</v>
      </c>
      <c r="E892" s="57">
        <v>46084</v>
      </c>
      <c r="F892" s="38" t="str">
        <f>IF(C892&lt;&gt;"",VLOOKUP($C892,Carpetas!$C$5:$L$2060,2,FALSE),"")</f>
        <v>ECI011-26</v>
      </c>
      <c r="G892" s="38" t="s">
        <v>43</v>
      </c>
      <c r="H892" s="44">
        <f>IF(C892&lt;&gt;"",VLOOKUP($C892,Carpetas!$C$5:$L$2060,9,FALSE),"")</f>
        <v>1551546</v>
      </c>
      <c r="I892" s="51" t="str">
        <f>IF(C892&lt;&gt;"",VLOOKUP($C892,Carpetas!$C$5:$L$2060,5,FALSE),"")</f>
        <v>Andino</v>
      </c>
      <c r="J892" s="51" t="str">
        <f>IF(D892&lt;&gt;"",VLOOKUP($C892,Carpetas!$C$5:$L$2060,3,FALSE),"")</f>
        <v>Interbanana</v>
      </c>
      <c r="K892" s="50">
        <v>46104</v>
      </c>
      <c r="L892" s="39" t="str">
        <f>VLOOKUP($C892,Carpetas!$C$5:$L$2060,4,FALSE)</f>
        <v>Fray Bentos</v>
      </c>
      <c r="M892" s="55">
        <f t="shared" si="59"/>
        <v>46105</v>
      </c>
      <c r="N892" s="53">
        <f t="shared" si="58"/>
        <v>21</v>
      </c>
      <c r="O892" s="51">
        <v>1080</v>
      </c>
      <c r="P892" s="51"/>
      <c r="Q892" s="51"/>
      <c r="R892" s="51"/>
      <c r="S892" s="51"/>
      <c r="T892" s="65"/>
      <c r="U892" s="65"/>
      <c r="V892" s="65"/>
      <c r="W892" s="51"/>
      <c r="X892" s="66"/>
    </row>
    <row r="893" hidden="1" ht="27.75" customHeight="1" s="32" customFormat="1">
      <c r="A893" s="37"/>
      <c r="B893" s="31" t="s">
        <v>32</v>
      </c>
      <c r="C893" s="59" t="s">
        <v>1898</v>
      </c>
      <c r="D893" s="57" t="s">
        <v>42</v>
      </c>
      <c r="E893" s="57">
        <v>46091</v>
      </c>
      <c r="F893" s="38" t="str">
        <f>IF(C893&lt;&gt;"",VLOOKUP($C893,Carpetas!$C$5:$L$2060,2,FALSE),"")</f>
        <v>ECA007-26</v>
      </c>
      <c r="G893" s="38" t="s">
        <v>43</v>
      </c>
      <c r="H893" s="44">
        <f>IF(C893&lt;&gt;"",VLOOKUP($C893,Carpetas!$C$5:$L$2060,9,FALSE),"")</f>
        <v>1551624</v>
      </c>
      <c r="I893" s="51" t="str">
        <f>IF(C893&lt;&gt;"",VLOOKUP($C893,Carpetas!$C$5:$L$2060,5,FALSE),"")</f>
        <v>Andino</v>
      </c>
      <c r="J893" s="51" t="str">
        <f>IF(D893&lt;&gt;"",VLOOKUP($C893,Carpetas!$C$5:$L$2060,3,FALSE),"")</f>
        <v>Agroeden</v>
      </c>
      <c r="K893" s="50">
        <v>46105</v>
      </c>
      <c r="L893" s="39" t="str">
        <f>VLOOKUP($C893,Carpetas!$C$5:$L$2060,4,FALSE)</f>
        <v>Fray Bentos</v>
      </c>
      <c r="M893" s="55">
        <f t="shared" si="59"/>
        <v>46106</v>
      </c>
      <c r="N893" s="53">
        <f t="shared" si="58"/>
        <v>15</v>
      </c>
      <c r="O893" s="51">
        <v>1680</v>
      </c>
      <c r="P893" s="51">
        <v>1</v>
      </c>
      <c r="Q893" s="51">
        <v>1679</v>
      </c>
      <c r="R893" s="51">
        <v>21</v>
      </c>
      <c r="S893" s="51"/>
      <c r="T893" s="65"/>
      <c r="U893" s="65"/>
      <c r="V893" s="65"/>
      <c r="W893" s="51"/>
      <c r="X893" s="66" t="s">
        <v>1899</v>
      </c>
    </row>
    <row r="894" hidden="1" ht="27.75" customHeight="1" s="32" customFormat="1">
      <c r="A894" s="37"/>
      <c r="B894" s="31" t="s">
        <v>32</v>
      </c>
      <c r="C894" s="59" t="s">
        <v>1882</v>
      </c>
      <c r="D894" s="57" t="s">
        <v>30</v>
      </c>
      <c r="E894" s="57">
        <v>46092</v>
      </c>
      <c r="F894" s="38" t="str">
        <f>IF(C894&lt;&gt;"",VLOOKUP($C894,Carpetas!$C$5:$L$2060,2,FALSE),"")</f>
        <v>BOB022/26</v>
      </c>
      <c r="G894" s="38" t="s">
        <v>31</v>
      </c>
      <c r="H894" s="44">
        <f>IF(C894&lt;&gt;"",VLOOKUP($C894,Carpetas!$C$5:$L$2060,9,FALSE),"")</f>
        <v>0</v>
      </c>
      <c r="I894" s="51" t="str">
        <f>IF(C894&lt;&gt;"",VLOOKUP($C894,Carpetas!$C$5:$L$2060,5,FALSE),"")</f>
        <v>ESTRACOND S.R.L</v>
      </c>
      <c r="J894" s="51" t="str">
        <f>IF(D894&lt;&gt;"",VLOOKUP($C894,Carpetas!$C$5:$L$2060,3,FALSE),"")</f>
        <v>Befrut</v>
      </c>
      <c r="K894" s="50">
        <v>46098</v>
      </c>
      <c r="L894" s="39" t="str">
        <f>VLOOKUP($C894,Carpetas!$C$5:$L$2060,4,FALSE)</f>
        <v>Salto</v>
      </c>
      <c r="M894" s="55">
        <v>46107</v>
      </c>
      <c r="N894" s="53">
        <f t="shared" si="58"/>
        <v>15</v>
      </c>
      <c r="O894" s="51">
        <v>1050</v>
      </c>
      <c r="P894" s="51">
        <v>1</v>
      </c>
      <c r="Q894" s="51">
        <v>1050</v>
      </c>
      <c r="R894" s="51">
        <v>21</v>
      </c>
      <c r="S894" s="51"/>
      <c r="T894" s="65"/>
      <c r="U894" s="65"/>
      <c r="V894" s="65"/>
      <c r="W894" s="51"/>
      <c r="X894" s="66" t="s">
        <v>1900</v>
      </c>
    </row>
    <row r="895" hidden="1" ht="27.75" customHeight="1" s="32" customFormat="1">
      <c r="A895" s="37"/>
      <c r="B895" s="31" t="s">
        <v>32</v>
      </c>
      <c r="C895" s="59" t="s">
        <v>1901</v>
      </c>
      <c r="D895" s="57" t="s">
        <v>943</v>
      </c>
      <c r="E895" s="57">
        <v>46039</v>
      </c>
      <c r="F895" s="38" t="str">
        <f>IF(C895&lt;&gt;"",VLOOKUP($C895,Carpetas!$C$5:$L$2060,2,FALSE),"")</f>
        <v>EGN002</v>
      </c>
      <c r="G895" s="38" t="s">
        <v>43</v>
      </c>
      <c r="H895" s="44">
        <f>IF(C895&lt;&gt;"",VLOOKUP($C895,Carpetas!$C$5:$L$2060,9,FALSE),"")</f>
        <v>0</v>
      </c>
      <c r="I895" s="51" t="str">
        <f>IF(C895&lt;&gt;"",VLOOKUP($C895,Carpetas!$C$5:$L$2060,5,FALSE),"")</f>
        <v>Ciatran</v>
      </c>
      <c r="J895" s="51" t="str">
        <f>IF(D895&lt;&gt;"",VLOOKUP($C895,Carpetas!$C$5:$L$2060,3,FALSE),"")</f>
        <v>Gelila</v>
      </c>
      <c r="K895" s="50">
        <v>46103</v>
      </c>
      <c r="L895" s="39" t="str">
        <f>VLOOKUP($C895,Carpetas!$C$5:$L$2060,4,FALSE)</f>
        <v>Montevideo</v>
      </c>
      <c r="M895" s="55">
        <v>46107</v>
      </c>
      <c r="N895" s="53">
        <f t="shared" si="58"/>
        <v>68</v>
      </c>
      <c r="O895" s="51">
        <v>1664</v>
      </c>
      <c r="P895" s="51">
        <v>1</v>
      </c>
      <c r="Q895" s="51"/>
      <c r="R895" s="51"/>
      <c r="S895" s="51"/>
      <c r="T895" s="65"/>
      <c r="U895" s="65"/>
      <c r="V895" s="65"/>
      <c r="W895" s="51"/>
      <c r="X895" s="66"/>
    </row>
    <row r="896" hidden="1" ht="27.75" customHeight="1" s="32" customFormat="1">
      <c r="A896" s="37"/>
      <c r="B896" s="31" t="s">
        <v>32</v>
      </c>
      <c r="C896" s="59" t="s">
        <v>1902</v>
      </c>
      <c r="D896" s="57" t="s">
        <v>30</v>
      </c>
      <c r="E896" s="57">
        <v>46091</v>
      </c>
      <c r="F896" s="38" t="str">
        <f>IF(C896&lt;&gt;"",VLOOKUP($C896,Carpetas!$C$5:$L$2060,2,FALSE),"")</f>
        <v>ECI014-26</v>
      </c>
      <c r="G896" s="38" t="s">
        <v>43</v>
      </c>
      <c r="H896" s="44">
        <f>IF(C896&lt;&gt;"",VLOOKUP($C896,Carpetas!$C$5:$L$2060,9,FALSE),"")</f>
        <v>1551891</v>
      </c>
      <c r="I896" s="51" t="str">
        <f>IF(C896&lt;&gt;"",VLOOKUP($C896,Carpetas!$C$5:$L$2060,5,FALSE),"")</f>
        <v>Andino</v>
      </c>
      <c r="J896" s="51" t="str">
        <f>IF(D896&lt;&gt;"",VLOOKUP($C896,Carpetas!$C$5:$L$2060,3,FALSE),"")</f>
        <v>Interbanana</v>
      </c>
      <c r="K896" s="50">
        <v>46106</v>
      </c>
      <c r="L896" s="39" t="str">
        <f>VLOOKUP($C896,Carpetas!$C$5:$L$2060,4,FALSE)</f>
        <v>Fray Bentos</v>
      </c>
      <c r="M896" s="55">
        <f ref="M896:M905" t="shared" si="60">K896+1</f>
        <v>46107</v>
      </c>
      <c r="N896" s="53">
        <f t="shared" si="58"/>
        <v>16</v>
      </c>
      <c r="O896" s="51">
        <v>1080</v>
      </c>
      <c r="P896" s="51">
        <v>1</v>
      </c>
      <c r="Q896" s="51">
        <v>1080</v>
      </c>
      <c r="R896" s="51">
        <v>20</v>
      </c>
      <c r="S896" s="51"/>
      <c r="T896" s="65"/>
      <c r="U896" s="65"/>
      <c r="V896" s="65"/>
      <c r="W896" s="51"/>
      <c r="X896" s="66" t="s">
        <v>1903</v>
      </c>
    </row>
    <row r="897" hidden="1" ht="27.75" customHeight="1" s="32" customFormat="1">
      <c r="A897" s="37"/>
      <c r="B897" s="31" t="s">
        <v>32</v>
      </c>
      <c r="C897" s="59" t="s">
        <v>1904</v>
      </c>
      <c r="D897" s="57" t="s">
        <v>30</v>
      </c>
      <c r="E897" s="57">
        <v>46091</v>
      </c>
      <c r="F897" s="38" t="str">
        <f>IF(C897&lt;&gt;"",VLOOKUP($C897,Carpetas!$C$5:$L$2060,2,FALSE),"")</f>
        <v>ECI012-26</v>
      </c>
      <c r="G897" s="38" t="s">
        <v>43</v>
      </c>
      <c r="H897" s="44">
        <f>IF(C897&lt;&gt;"",VLOOKUP($C897,Carpetas!$C$5:$L$2060,9,FALSE),"")</f>
        <v>1551627</v>
      </c>
      <c r="I897" s="51" t="str">
        <f>IF(C897&lt;&gt;"",VLOOKUP($C897,Carpetas!$C$5:$L$2060,5,FALSE),"")</f>
        <v>Andino</v>
      </c>
      <c r="J897" s="51" t="str">
        <f>IF(D897&lt;&gt;"",VLOOKUP($C897,Carpetas!$C$5:$L$2060,3,FALSE),"")</f>
        <v>Interbanana</v>
      </c>
      <c r="K897" s="50">
        <v>46107</v>
      </c>
      <c r="L897" s="39" t="str">
        <f>VLOOKUP($C897,Carpetas!$C$5:$L$2060,4,FALSE)</f>
        <v>Fray Bentos</v>
      </c>
      <c r="M897" s="55">
        <f t="shared" si="60"/>
        <v>46108</v>
      </c>
      <c r="N897" s="53">
        <f t="shared" si="58"/>
        <v>17</v>
      </c>
      <c r="O897" s="51">
        <v>3240</v>
      </c>
      <c r="P897" s="51">
        <v>3</v>
      </c>
      <c r="Q897" s="51" t="s">
        <v>1594</v>
      </c>
      <c r="R897" s="51">
        <v>60</v>
      </c>
      <c r="S897" s="51"/>
      <c r="T897" s="65"/>
      <c r="U897" s="65"/>
      <c r="V897" s="65"/>
      <c r="W897" s="51"/>
      <c r="X897" s="66" t="s">
        <v>1905</v>
      </c>
    </row>
    <row r="898" hidden="1" ht="27.75" customHeight="1" s="32" customFormat="1">
      <c r="A898" s="37"/>
      <c r="B898" s="31" t="s">
        <v>32</v>
      </c>
      <c r="C898" s="59" t="s">
        <v>1906</v>
      </c>
      <c r="D898" s="57" t="s">
        <v>30</v>
      </c>
      <c r="E898" s="57">
        <v>46091</v>
      </c>
      <c r="F898" s="38" t="str">
        <f>IF(C898&lt;&gt;"",VLOOKUP($C898,Carpetas!$C$5:$L$2060,2,FALSE),"")</f>
        <v>ECI013-26</v>
      </c>
      <c r="G898" s="38" t="s">
        <v>43</v>
      </c>
      <c r="H898" s="44">
        <f>IF(C898&lt;&gt;"",VLOOKUP($C898,Carpetas!$C$5:$L$2060,9,FALSE),"")</f>
        <v>1551628</v>
      </c>
      <c r="I898" s="51" t="str">
        <f>IF(C898&lt;&gt;"",VLOOKUP($C898,Carpetas!$C$5:$L$2060,5,FALSE),"")</f>
        <v>Andino</v>
      </c>
      <c r="J898" s="51" t="str">
        <f>IF(D898&lt;&gt;"",VLOOKUP($C898,Carpetas!$C$5:$L$2060,3,FALSE),"")</f>
        <v>Interbanana</v>
      </c>
      <c r="K898" s="50">
        <v>46107</v>
      </c>
      <c r="L898" s="39" t="str">
        <f>VLOOKUP($C898,Carpetas!$C$5:$L$2060,4,FALSE)</f>
        <v>Fray Bentos</v>
      </c>
      <c r="M898" s="55">
        <f t="shared" si="60"/>
        <v>46108</v>
      </c>
      <c r="N898" s="53">
        <f t="shared" si="58"/>
        <v>17</v>
      </c>
      <c r="O898" s="51">
        <v>2160</v>
      </c>
      <c r="P898" s="51">
        <v>2</v>
      </c>
      <c r="Q898" s="51" t="s">
        <v>439</v>
      </c>
      <c r="R898" s="51">
        <v>40</v>
      </c>
      <c r="S898" s="51"/>
      <c r="T898" s="65"/>
      <c r="U898" s="65"/>
      <c r="V898" s="65"/>
      <c r="W898" s="51"/>
      <c r="X898" s="66" t="s">
        <v>1905</v>
      </c>
    </row>
    <row r="899" hidden="1" ht="27.75" customHeight="1" s="32" customFormat="1">
      <c r="A899" s="37"/>
      <c r="B899" s="31" t="s">
        <v>32</v>
      </c>
      <c r="C899" s="59" t="s">
        <v>1902</v>
      </c>
      <c r="D899" s="57" t="s">
        <v>30</v>
      </c>
      <c r="E899" s="57">
        <v>46091</v>
      </c>
      <c r="F899" s="38" t="str">
        <f>IF(C899&lt;&gt;"",VLOOKUP($C899,Carpetas!$C$5:$L$2060,2,FALSE),"")</f>
        <v>ECI014-26</v>
      </c>
      <c r="G899" s="38" t="s">
        <v>43</v>
      </c>
      <c r="H899" s="44">
        <f>IF(C899&lt;&gt;"",VLOOKUP($C899,Carpetas!$C$5:$L$2060,9,FALSE),"")</f>
        <v>1551891</v>
      </c>
      <c r="I899" s="51" t="str">
        <f>IF(C899&lt;&gt;"",VLOOKUP($C899,Carpetas!$C$5:$L$2060,5,FALSE),"")</f>
        <v>Andino</v>
      </c>
      <c r="J899" s="51" t="str">
        <f>IF(D899&lt;&gt;"",VLOOKUP($C899,Carpetas!$C$5:$L$2060,3,FALSE),"")</f>
        <v>Interbanana</v>
      </c>
      <c r="K899" s="50">
        <v>46107</v>
      </c>
      <c r="L899" s="39" t="str">
        <f>VLOOKUP($C899,Carpetas!$C$5:$L$2060,4,FALSE)</f>
        <v>Fray Bentos</v>
      </c>
      <c r="M899" s="55">
        <f t="shared" si="60"/>
        <v>46108</v>
      </c>
      <c r="N899" s="53">
        <f t="shared" si="58"/>
        <v>17</v>
      </c>
      <c r="O899" s="51">
        <v>1080</v>
      </c>
      <c r="P899" s="51">
        <v>1</v>
      </c>
      <c r="Q899" s="51">
        <v>1080</v>
      </c>
      <c r="R899" s="51">
        <v>20</v>
      </c>
      <c r="S899" s="51"/>
      <c r="T899" s="65"/>
      <c r="U899" s="65"/>
      <c r="V899" s="65"/>
      <c r="W899" s="51"/>
      <c r="X899" s="66" t="s">
        <v>1905</v>
      </c>
    </row>
    <row r="900" hidden="1" ht="27.75" customHeight="1" s="32" customFormat="1">
      <c r="A900" s="37"/>
      <c r="B900" s="31" t="s">
        <v>32</v>
      </c>
      <c r="C900" s="59" t="s">
        <v>1907</v>
      </c>
      <c r="D900" s="57" t="s">
        <v>30</v>
      </c>
      <c r="E900" s="57">
        <v>46091</v>
      </c>
      <c r="F900" s="38" t="str">
        <f>IF(C900&lt;&gt;"",VLOOKUP($C900,Carpetas!$C$5:$L$2060,2,FALSE),"")</f>
        <v>ECE004-26</v>
      </c>
      <c r="G900" s="38" t="s">
        <v>43</v>
      </c>
      <c r="H900" s="44">
        <f>IF(C900&lt;&gt;"",VLOOKUP($C900,Carpetas!$C$5:$L$2060,9,FALSE),"")</f>
        <v>1552019</v>
      </c>
      <c r="I900" s="51" t="str">
        <f>IF(C900&lt;&gt;"",VLOOKUP($C900,Carpetas!$C$5:$L$2060,5,FALSE),"")</f>
        <v>Andino</v>
      </c>
      <c r="J900" s="51" t="str">
        <f>IF(D900&lt;&gt;"",VLOOKUP($C900,Carpetas!$C$5:$L$2060,3,FALSE),"")</f>
        <v>Exporsweet</v>
      </c>
      <c r="K900" s="50">
        <v>46107</v>
      </c>
      <c r="L900" s="39" t="str">
        <f>VLOOKUP($C900,Carpetas!$C$5:$L$2060,4,FALSE)</f>
        <v>Fray Bentos</v>
      </c>
      <c r="M900" s="55">
        <f t="shared" si="60"/>
        <v>46108</v>
      </c>
      <c r="N900" s="53">
        <f t="shared" si="58"/>
        <v>17</v>
      </c>
      <c r="O900" s="51">
        <v>2160</v>
      </c>
      <c r="P900" s="51">
        <v>2</v>
      </c>
      <c r="Q900" s="51" t="s">
        <v>439</v>
      </c>
      <c r="R900" s="51">
        <v>40</v>
      </c>
      <c r="S900" s="51"/>
      <c r="T900" s="65"/>
      <c r="U900" s="65"/>
      <c r="V900" s="65"/>
      <c r="W900" s="51"/>
      <c r="X900" s="66" t="s">
        <v>1908</v>
      </c>
    </row>
    <row r="901" hidden="1" ht="27.75" customHeight="1" s="32" customFormat="1">
      <c r="A901" s="37" t="s">
        <v>1909</v>
      </c>
      <c r="B901" s="31" t="s">
        <v>32</v>
      </c>
      <c r="C901" s="59" t="s">
        <v>1910</v>
      </c>
      <c r="D901" s="57" t="s">
        <v>30</v>
      </c>
      <c r="E901" s="57">
        <v>46091</v>
      </c>
      <c r="F901" s="38" t="str">
        <f>IF(C901&lt;&gt;"",VLOOKUP($C901,Carpetas!$C$5:$L$2060,2,FALSE),"")</f>
        <v>ECB009-26</v>
      </c>
      <c r="G901" s="38" t="s">
        <v>43</v>
      </c>
      <c r="H901" s="44">
        <f>IF(C901&lt;&gt;"",VLOOKUP($C901,Carpetas!$C$5:$L$2060,9,FALSE),"")</f>
        <v>1551625</v>
      </c>
      <c r="I901" s="51" t="str">
        <f>IF(C901&lt;&gt;"",VLOOKUP($C901,Carpetas!$C$5:$L$2060,5,FALSE),"")</f>
        <v>Andino</v>
      </c>
      <c r="J901" s="51" t="str">
        <f>IF(D901&lt;&gt;"",VLOOKUP($C901,Carpetas!$C$5:$L$2060,3,FALSE),"")</f>
        <v>Nobora Trading Group</v>
      </c>
      <c r="K901" s="50">
        <v>46107</v>
      </c>
      <c r="L901" s="39" t="str">
        <f>VLOOKUP($C901,Carpetas!$C$5:$L$2060,4,FALSE)</f>
        <v>Fray Bentos</v>
      </c>
      <c r="M901" s="55">
        <f t="shared" si="60"/>
        <v>46108</v>
      </c>
      <c r="N901" s="53">
        <f t="shared" si="58"/>
        <v>17</v>
      </c>
      <c r="O901" s="51">
        <v>3240</v>
      </c>
      <c r="P901" s="51">
        <v>3</v>
      </c>
      <c r="Q901" s="51" t="s">
        <v>1594</v>
      </c>
      <c r="R901" s="51"/>
      <c r="S901" s="51"/>
      <c r="T901" s="65"/>
      <c r="U901" s="65"/>
      <c r="V901" s="65"/>
      <c r="W901" s="51"/>
      <c r="X901" s="66" t="s">
        <v>1911</v>
      </c>
    </row>
    <row r="902" hidden="1" ht="27.75" customHeight="1" s="32" customFormat="1">
      <c r="A902" s="37"/>
      <c r="B902" s="31" t="s">
        <v>32</v>
      </c>
      <c r="C902" s="59" t="s">
        <v>1912</v>
      </c>
      <c r="D902" s="57" t="s">
        <v>30</v>
      </c>
      <c r="E902" s="57">
        <v>46101</v>
      </c>
      <c r="F902" s="38" t="str">
        <f>IF(C902&lt;&gt;"",VLOOKUP($C902,Carpetas!$C$5:$L$2060,2,FALSE),"")</f>
        <v>BOB025/26</v>
      </c>
      <c r="G902" s="38" t="s">
        <v>31</v>
      </c>
      <c r="H902" s="44">
        <f>IF(C902&lt;&gt;"",VLOOKUP($C902,Carpetas!$C$5:$L$2060,9,FALSE),"")</f>
        <v>0</v>
      </c>
      <c r="I902" s="51" t="str">
        <f>IF(C902&lt;&gt;"",VLOOKUP($C902,Carpetas!$C$5:$L$2060,5,FALSE),"")</f>
        <v>Sintercargas </v>
      </c>
      <c r="J902" s="51" t="str">
        <f>IF(D902&lt;&gt;"",VLOOKUP($C902,Carpetas!$C$5:$L$2060,3,FALSE),"")</f>
        <v>Banexfrut</v>
      </c>
      <c r="K902" s="50">
        <v>46107</v>
      </c>
      <c r="L902" s="39" t="str">
        <f>VLOOKUP($C902,Carpetas!$C$5:$L$2060,4,FALSE)</f>
        <v>Salto</v>
      </c>
      <c r="M902" s="55">
        <f t="shared" si="60"/>
        <v>46108</v>
      </c>
      <c r="N902" s="53">
        <f t="shared" si="58"/>
        <v>7</v>
      </c>
      <c r="O902" s="51">
        <v>1050</v>
      </c>
      <c r="P902" s="51">
        <v>1</v>
      </c>
      <c r="Q902" s="51">
        <v>1050</v>
      </c>
      <c r="R902" s="51"/>
      <c r="S902" s="51"/>
      <c r="T902" s="65"/>
      <c r="U902" s="65"/>
      <c r="V902" s="65" t="s">
        <v>895</v>
      </c>
      <c r="W902" s="51"/>
      <c r="X902" s="66" t="s">
        <v>1913</v>
      </c>
    </row>
    <row r="903" hidden="1" ht="27.75" customHeight="1" s="32" customFormat="1">
      <c r="A903" s="37"/>
      <c r="B903" s="31" t="s">
        <v>32</v>
      </c>
      <c r="C903" s="59" t="s">
        <v>1904</v>
      </c>
      <c r="D903" s="57" t="s">
        <v>30</v>
      </c>
      <c r="E903" s="57">
        <v>46091</v>
      </c>
      <c r="F903" s="38" t="str">
        <f>IF(C903&lt;&gt;"",VLOOKUP($C903,Carpetas!$C$5:$L$2060,2,FALSE),"")</f>
        <v>ECI012-26</v>
      </c>
      <c r="G903" s="38" t="s">
        <v>43</v>
      </c>
      <c r="H903" s="44">
        <f>IF(C903&lt;&gt;"",VLOOKUP($C903,Carpetas!$C$5:$L$2060,9,FALSE),"")</f>
        <v>1551627</v>
      </c>
      <c r="I903" s="51" t="str">
        <f>IF(C903&lt;&gt;"",VLOOKUP($C903,Carpetas!$C$5:$L$2060,5,FALSE),"")</f>
        <v>Andino</v>
      </c>
      <c r="J903" s="51" t="str">
        <f>IF(D903&lt;&gt;"",VLOOKUP($C903,Carpetas!$C$5:$L$2060,3,FALSE),"")</f>
        <v>Interbanana</v>
      </c>
      <c r="K903" s="50">
        <v>46108</v>
      </c>
      <c r="L903" s="39" t="str">
        <f>VLOOKUP($C903,Carpetas!$C$5:$L$2060,4,FALSE)</f>
        <v>Fray Bentos</v>
      </c>
      <c r="M903" s="55">
        <f t="shared" si="60"/>
        <v>46109</v>
      </c>
      <c r="N903" s="53">
        <f t="shared" si="58"/>
        <v>18</v>
      </c>
      <c r="O903" s="51">
        <v>3240</v>
      </c>
      <c r="P903" s="51">
        <v>3</v>
      </c>
      <c r="Q903" s="51">
        <v>3240</v>
      </c>
      <c r="R903" s="51">
        <v>60</v>
      </c>
      <c r="S903" s="51">
        <v>21</v>
      </c>
      <c r="T903" s="65"/>
      <c r="U903" s="65"/>
      <c r="V903" s="65" t="s">
        <v>1914</v>
      </c>
      <c r="W903" s="51"/>
      <c r="X903" s="66" t="s">
        <v>1915</v>
      </c>
    </row>
    <row r="904" hidden="1" ht="27.75" customHeight="1" s="32" customFormat="1">
      <c r="A904" s="37"/>
      <c r="B904" s="31" t="s">
        <v>32</v>
      </c>
      <c r="C904" s="59" t="s">
        <v>1910</v>
      </c>
      <c r="D904" s="57" t="s">
        <v>30</v>
      </c>
      <c r="E904" s="57">
        <v>46091</v>
      </c>
      <c r="F904" s="38" t="str">
        <f>IF(C904&lt;&gt;"",VLOOKUP($C904,Carpetas!$C$5:$L$2060,2,FALSE),"")</f>
        <v>ECB009-26</v>
      </c>
      <c r="G904" s="38" t="s">
        <v>43</v>
      </c>
      <c r="H904" s="44">
        <f>IF(C904&lt;&gt;"",VLOOKUP($C904,Carpetas!$C$5:$L$2060,9,FALSE),"")</f>
        <v>1551625</v>
      </c>
      <c r="I904" s="51" t="str">
        <f>IF(C904&lt;&gt;"",VLOOKUP($C904,Carpetas!$C$5:$L$2060,5,FALSE),"")</f>
        <v>Andino</v>
      </c>
      <c r="J904" s="51" t="str">
        <f>IF(D904&lt;&gt;"",VLOOKUP($C904,Carpetas!$C$5:$L$2060,3,FALSE),"")</f>
        <v>Nobora Trading Group</v>
      </c>
      <c r="K904" s="50">
        <v>46108</v>
      </c>
      <c r="L904" s="39" t="str">
        <f>VLOOKUP($C904,Carpetas!$C$5:$L$2060,4,FALSE)</f>
        <v>Fray Bentos</v>
      </c>
      <c r="M904" s="55">
        <f t="shared" si="60"/>
        <v>46109</v>
      </c>
      <c r="N904" s="53">
        <f t="shared" si="58"/>
        <v>18</v>
      </c>
      <c r="O904" s="51">
        <v>2160</v>
      </c>
      <c r="P904" s="51">
        <v>2</v>
      </c>
      <c r="Q904" s="51">
        <v>2160</v>
      </c>
      <c r="R904" s="51">
        <v>40</v>
      </c>
      <c r="S904" s="51">
        <v>21</v>
      </c>
      <c r="T904" s="65"/>
      <c r="U904" s="65"/>
      <c r="V904" s="65" t="s">
        <v>55</v>
      </c>
      <c r="W904" s="51"/>
      <c r="X904" s="66" t="s">
        <v>1916</v>
      </c>
    </row>
    <row r="905" hidden="1" ht="27.75" customHeight="1" s="32" customFormat="1">
      <c r="A905" s="37"/>
      <c r="B905" s="31" t="s">
        <v>32</v>
      </c>
      <c r="C905" s="59" t="s">
        <v>1917</v>
      </c>
      <c r="D905" s="57" t="s">
        <v>30</v>
      </c>
      <c r="E905" s="57">
        <v>46104</v>
      </c>
      <c r="F905" s="38" t="str">
        <f>IF(C905&lt;&gt;"",VLOOKUP($C905,Carpetas!$C$5:$L$2060,2,FALSE),"")</f>
        <v>BOB026-26</v>
      </c>
      <c r="G905" s="38" t="s">
        <v>31</v>
      </c>
      <c r="H905" s="44">
        <f>IF(C905&lt;&gt;"",VLOOKUP($C905,Carpetas!$C$5:$L$2060,9,FALSE),"")</f>
        <v>0</v>
      </c>
      <c r="I905" s="51" t="str">
        <f>IF(C905&lt;&gt;"",VLOOKUP($C905,Carpetas!$C$5:$L$2060,5,FALSE),"")</f>
        <v>Transur</v>
      </c>
      <c r="J905" s="51" t="str">
        <f>IF(D905&lt;&gt;"",VLOOKUP($C905,Carpetas!$C$5:$L$2060,3,FALSE),"")</f>
        <v>Berfrut</v>
      </c>
      <c r="K905" s="50">
        <v>46111</v>
      </c>
      <c r="L905" s="39" t="str">
        <f>VLOOKUP($C905,Carpetas!$C$5:$L$2060,4,FALSE)</f>
        <v>Salto</v>
      </c>
      <c r="M905" s="55">
        <f t="shared" si="60"/>
        <v>46112</v>
      </c>
      <c r="N905" s="53">
        <f t="shared" si="58"/>
        <v>8</v>
      </c>
      <c r="O905" s="51">
        <v>1050</v>
      </c>
      <c r="P905" s="51">
        <v>1</v>
      </c>
      <c r="Q905" s="51"/>
      <c r="R905" s="51">
        <v>1050</v>
      </c>
      <c r="S905" s="51">
        <v>21</v>
      </c>
      <c r="T905" s="65"/>
      <c r="U905" s="65"/>
      <c r="V905" s="65" t="s">
        <v>1918</v>
      </c>
      <c r="W905" s="51" t="s">
        <v>1919</v>
      </c>
      <c r="X905" s="66" t="s">
        <v>1920</v>
      </c>
    </row>
    <row r="906" hidden="1" ht="27.75" customHeight="1" s="32" customFormat="1">
      <c r="A906" s="37" t="s">
        <v>0</v>
      </c>
      <c r="B906" s="31" t="s">
        <v>32</v>
      </c>
      <c r="C906" s="59" t="s">
        <v>1921</v>
      </c>
      <c r="D906" s="57" t="s">
        <v>30</v>
      </c>
      <c r="E906" s="57">
        <v>46098</v>
      </c>
      <c r="F906" s="38" t="str">
        <f>IF(C906&lt;&gt;"",VLOOKUP($C906,Carpetas!$C$5:$L$2060,2,FALSE),"")</f>
        <v>ECE005-26</v>
      </c>
      <c r="G906" s="38" t="s">
        <v>43</v>
      </c>
      <c r="H906" s="44">
        <f>IF(C906&lt;&gt;"",VLOOKUP($C906,Carpetas!$C$5:$L$2060,9,FALSE),"")</f>
        <v>1552514</v>
      </c>
      <c r="I906" s="51" t="str">
        <f>IF(C906&lt;&gt;"",VLOOKUP($C906,Carpetas!$C$5:$L$2060,5,FALSE),"")</f>
        <v>Andino</v>
      </c>
      <c r="J906" s="51" t="str">
        <f>IF(D906&lt;&gt;"",VLOOKUP($C906,Carpetas!$C$5:$L$2060,3,FALSE),"")</f>
        <v>Exporsweet</v>
      </c>
      <c r="K906" s="50">
        <v>46111</v>
      </c>
      <c r="L906" s="39" t="str">
        <f>VLOOKUP($C906,Carpetas!$C$5:$L$2060,4,FALSE)</f>
        <v>Fray Bentos</v>
      </c>
      <c r="M906" s="55">
        <v>46112</v>
      </c>
      <c r="N906" s="53">
        <f t="shared" si="58"/>
        <v>14</v>
      </c>
      <c r="O906" s="51">
        <v>1080</v>
      </c>
      <c r="P906" s="51">
        <v>1</v>
      </c>
      <c r="Q906" s="51">
        <v>1080</v>
      </c>
      <c r="R906" s="51">
        <v>20</v>
      </c>
      <c r="S906" s="51">
        <v>21</v>
      </c>
      <c r="T906" s="65"/>
      <c r="U906" s="65"/>
      <c r="V906" s="65" t="s">
        <v>124</v>
      </c>
      <c r="W906" s="51"/>
      <c r="X906" s="66" t="s">
        <v>1922</v>
      </c>
    </row>
    <row r="907" hidden="1" ht="27.75" customHeight="1" s="32" customFormat="1">
      <c r="A907" s="37"/>
      <c r="B907" s="31" t="s">
        <v>32</v>
      </c>
      <c r="C907" s="59" t="s">
        <v>1923</v>
      </c>
      <c r="D907" s="57" t="s">
        <v>30</v>
      </c>
      <c r="E907" s="57">
        <v>46098</v>
      </c>
      <c r="F907" s="38" t="str">
        <f>IF(C907&lt;&gt;"",VLOOKUP($C907,Carpetas!$C$5:$L$2060,2,FALSE),"")</f>
        <v>ECI015/26</v>
      </c>
      <c r="G907" s="38" t="s">
        <v>43</v>
      </c>
      <c r="H907" s="44">
        <f>IF(C907&lt;&gt;"",VLOOKUP($C907,Carpetas!$C$5:$L$2060,9,FALSE),"")</f>
        <v>1552356</v>
      </c>
      <c r="I907" s="51" t="str">
        <f>IF(C907&lt;&gt;"",VLOOKUP($C907,Carpetas!$C$5:$L$2060,5,FALSE),"")</f>
        <v>Andino</v>
      </c>
      <c r="J907" s="51" t="str">
        <f>IF(D907&lt;&gt;"",VLOOKUP($C907,Carpetas!$C$5:$L$2060,3,FALSE),"")</f>
        <v>Interbanana</v>
      </c>
      <c r="K907" s="50">
        <v>46111</v>
      </c>
      <c r="L907" s="39" t="str">
        <f>VLOOKUP($C907,Carpetas!$C$5:$L$2060,4,FALSE)</f>
        <v>Fray Bentos</v>
      </c>
      <c r="M907" s="55">
        <v>46113</v>
      </c>
      <c r="N907" s="53">
        <f t="shared" si="58"/>
        <v>15</v>
      </c>
      <c r="O907" s="51">
        <v>3240</v>
      </c>
      <c r="P907" s="51">
        <v>3</v>
      </c>
      <c r="Q907" s="51">
        <v>3240</v>
      </c>
      <c r="R907" s="51">
        <v>60</v>
      </c>
      <c r="S907" s="51">
        <v>21</v>
      </c>
      <c r="T907" s="65"/>
      <c r="U907" s="65"/>
      <c r="V907" s="65" t="s">
        <v>1656</v>
      </c>
      <c r="W907" s="51"/>
      <c r="X907" s="66" t="s">
        <v>1924</v>
      </c>
    </row>
    <row r="908" hidden="1" ht="27.75" customHeight="1" s="32" customFormat="1">
      <c r="A908" s="37"/>
      <c r="B908" s="31" t="s">
        <v>32</v>
      </c>
      <c r="C908" s="59" t="s">
        <v>1925</v>
      </c>
      <c r="D908" s="57" t="s">
        <v>30</v>
      </c>
      <c r="E908" s="57">
        <v>46098</v>
      </c>
      <c r="F908" s="38" t="str">
        <f>IF(C908&lt;&gt;"",VLOOKUP($C908,Carpetas!$C$5:$L$2060,2,FALSE),"")</f>
        <v>ECI016/26</v>
      </c>
      <c r="G908" s="38" t="s">
        <v>43</v>
      </c>
      <c r="H908" s="44">
        <f>IF(C908&lt;&gt;"",VLOOKUP($C908,Carpetas!$C$5:$L$2060,9,FALSE),"")</f>
        <v>1552357</v>
      </c>
      <c r="I908" s="51" t="str">
        <f>IF(C908&lt;&gt;"",VLOOKUP($C908,Carpetas!$C$5:$L$2060,5,FALSE),"")</f>
        <v>Andino</v>
      </c>
      <c r="J908" s="51" t="str">
        <f>IF(D908&lt;&gt;"",VLOOKUP($C908,Carpetas!$C$5:$L$2060,3,FALSE),"")</f>
        <v>Interbanana</v>
      </c>
      <c r="K908" s="50">
        <v>46111</v>
      </c>
      <c r="L908" s="39" t="str">
        <f>VLOOKUP($C908,Carpetas!$C$5:$L$2060,4,FALSE)</f>
        <v>Fray Bentos</v>
      </c>
      <c r="M908" s="55">
        <v>46113</v>
      </c>
      <c r="N908" s="53">
        <f t="shared" si="58"/>
        <v>15</v>
      </c>
      <c r="O908" s="51">
        <v>4320</v>
      </c>
      <c r="P908" s="51">
        <v>4</v>
      </c>
      <c r="Q908" s="51">
        <v>4320</v>
      </c>
      <c r="R908" s="51">
        <v>80</v>
      </c>
      <c r="S908" s="51">
        <v>21</v>
      </c>
      <c r="T908" s="65"/>
      <c r="U908" s="65"/>
      <c r="V908" s="65" t="s">
        <v>1656</v>
      </c>
      <c r="W908" s="51"/>
      <c r="X908" s="66" t="s">
        <v>1926</v>
      </c>
    </row>
    <row r="909" hidden="1" ht="27.75" customHeight="1" s="32" customFormat="1">
      <c r="A909" s="37"/>
      <c r="B909" s="31" t="s">
        <v>32</v>
      </c>
      <c r="C909" s="59" t="s">
        <v>1927</v>
      </c>
      <c r="D909" s="57" t="s">
        <v>30</v>
      </c>
      <c r="E909" s="57">
        <v>46098</v>
      </c>
      <c r="F909" s="38" t="str">
        <f>IF(C909&lt;&gt;"",VLOOKUP($C909,Carpetas!$C$5:$L$2060,2,FALSE),"")</f>
        <v>ECB010-26</v>
      </c>
      <c r="G909" s="38" t="s">
        <v>43</v>
      </c>
      <c r="H909" s="44">
        <f>IF(C909&lt;&gt;"",VLOOKUP($C909,Carpetas!$C$5:$L$2060,9,FALSE),"")</f>
        <v>1551625</v>
      </c>
      <c r="I909" s="51" t="str">
        <f>IF(C909&lt;&gt;"",VLOOKUP($C909,Carpetas!$C$5:$L$2060,5,FALSE),"")</f>
        <v>Andino</v>
      </c>
      <c r="J909" s="51" t="str">
        <f>IF(D909&lt;&gt;"",VLOOKUP($C909,Carpetas!$C$5:$L$2060,3,FALSE),"")</f>
        <v>Nobora Trading Group</v>
      </c>
      <c r="K909" s="50">
        <v>46113</v>
      </c>
      <c r="L909" s="39" t="str">
        <f>VLOOKUP($C909,Carpetas!$C$5:$L$2060,4,FALSE)</f>
        <v>Fray Bentos</v>
      </c>
      <c r="M909" s="55">
        <f>K909+1</f>
        <v>46114</v>
      </c>
      <c r="N909" s="53">
        <f t="shared" si="58"/>
        <v>16</v>
      </c>
      <c r="O909" s="51">
        <v>5400</v>
      </c>
      <c r="P909" s="51">
        <v>5</v>
      </c>
      <c r="Q909" s="51">
        <v>5400</v>
      </c>
      <c r="R909" s="51">
        <v>100</v>
      </c>
      <c r="S909" s="51">
        <v>21</v>
      </c>
      <c r="T909" s="65"/>
      <c r="U909" s="65"/>
      <c r="V909" s="65" t="s">
        <v>55</v>
      </c>
      <c r="W909" s="51"/>
      <c r="X909" s="66" t="s">
        <v>1928</v>
      </c>
    </row>
    <row r="910" hidden="1" ht="27.75" customHeight="1" s="32" customFormat="1">
      <c r="A910" s="37"/>
      <c r="B910" s="31" t="s">
        <v>32</v>
      </c>
      <c r="C910" s="59" t="s">
        <v>1923</v>
      </c>
      <c r="D910" s="57" t="s">
        <v>30</v>
      </c>
      <c r="E910" s="57">
        <v>46098</v>
      </c>
      <c r="F910" s="38" t="str">
        <f>IF(C910&lt;&gt;"",VLOOKUP($C910,Carpetas!$C$5:$L$2060,2,FALSE),"")</f>
        <v>ECI015/26</v>
      </c>
      <c r="G910" s="38" t="s">
        <v>43</v>
      </c>
      <c r="H910" s="44">
        <f>IF(C910&lt;&gt;"",VLOOKUP($C910,Carpetas!$C$5:$L$2060,9,FALSE),"")</f>
        <v>1552356</v>
      </c>
      <c r="I910" s="51" t="str">
        <f>IF(C910&lt;&gt;"",VLOOKUP($C910,Carpetas!$C$5:$L$2060,5,FALSE),"")</f>
        <v>Andino</v>
      </c>
      <c r="J910" s="51" t="str">
        <f>IF(D910&lt;&gt;"",VLOOKUP($C910,Carpetas!$C$5:$L$2060,3,FALSE),"")</f>
        <v>Interbanana</v>
      </c>
      <c r="K910" s="50">
        <v>46113</v>
      </c>
      <c r="L910" s="39" t="str">
        <f>VLOOKUP($C910,Carpetas!$C$5:$L$2060,4,FALSE)</f>
        <v>Fray Bentos</v>
      </c>
      <c r="M910" s="55">
        <f>K910+1</f>
        <v>46114</v>
      </c>
      <c r="N910" s="53">
        <f t="shared" si="58"/>
        <v>16</v>
      </c>
      <c r="O910" s="51">
        <v>2160</v>
      </c>
      <c r="P910" s="51">
        <v>1</v>
      </c>
      <c r="Q910" s="51">
        <v>2160</v>
      </c>
      <c r="R910" s="51">
        <v>40</v>
      </c>
      <c r="S910" s="51">
        <v>21</v>
      </c>
      <c r="T910" s="65"/>
      <c r="U910" s="65"/>
      <c r="V910" s="65" t="s">
        <v>1656</v>
      </c>
      <c r="W910" s="51"/>
      <c r="X910" s="66" t="s">
        <v>1929</v>
      </c>
    </row>
    <row r="911" hidden="1" ht="27.75" customHeight="1" s="32" customFormat="1">
      <c r="A911" s="37"/>
      <c r="B911" s="31" t="s">
        <v>32</v>
      </c>
      <c r="C911" s="59" t="s">
        <v>1925</v>
      </c>
      <c r="D911" s="57" t="s">
        <v>30</v>
      </c>
      <c r="E911" s="57">
        <v>46098</v>
      </c>
      <c r="F911" s="38" t="str">
        <f>IF(C911&lt;&gt;"",VLOOKUP($C911,Carpetas!$C$5:$L$2060,2,FALSE),"")</f>
        <v>ECI016/26</v>
      </c>
      <c r="G911" s="38" t="s">
        <v>43</v>
      </c>
      <c r="H911" s="44">
        <f>IF(C911&lt;&gt;"",VLOOKUP($C911,Carpetas!$C$5:$L$2060,9,FALSE),"")</f>
        <v>1552357</v>
      </c>
      <c r="I911" s="51" t="str">
        <f>IF(C911&lt;&gt;"",VLOOKUP($C911,Carpetas!$C$5:$L$2060,5,FALSE),"")</f>
        <v>Andino</v>
      </c>
      <c r="J911" s="51" t="str">
        <f>IF(D911&lt;&gt;"",VLOOKUP($C911,Carpetas!$C$5:$L$2060,3,FALSE),"")</f>
        <v>Interbanana</v>
      </c>
      <c r="K911" s="50">
        <v>46113</v>
      </c>
      <c r="L911" s="39" t="str">
        <f>VLOOKUP($C911,Carpetas!$C$5:$L$2060,4,FALSE)</f>
        <v>Fray Bentos</v>
      </c>
      <c r="M911" s="55">
        <f>K911+1</f>
        <v>46114</v>
      </c>
      <c r="N911" s="53">
        <f t="shared" si="58"/>
        <v>16</v>
      </c>
      <c r="O911" s="51">
        <v>1080</v>
      </c>
      <c r="P911" s="51">
        <v>1</v>
      </c>
      <c r="Q911" s="51">
        <v>1080</v>
      </c>
      <c r="R911" s="51">
        <v>20</v>
      </c>
      <c r="S911" s="51">
        <v>21</v>
      </c>
      <c r="T911" s="65"/>
      <c r="U911" s="65"/>
      <c r="V911" s="65" t="s">
        <v>1656</v>
      </c>
      <c r="W911" s="51"/>
      <c r="X911" s="66" t="s">
        <v>1930</v>
      </c>
    </row>
    <row r="912" hidden="1" ht="27.75" customHeight="1" s="32" customFormat="1">
      <c r="A912" s="37"/>
      <c r="B912" s="31" t="s">
        <v>32</v>
      </c>
      <c r="C912" s="59" t="s">
        <v>1931</v>
      </c>
      <c r="D912" s="57" t="s">
        <v>34</v>
      </c>
      <c r="E912" s="57">
        <v>46118</v>
      </c>
      <c r="F912" s="38" t="str">
        <f>IF(C912&lt;&gt;"",VLOOKUP($C912,Carpetas!$C$5:$L$2060,2,FALSE),"")</f>
        <v>PEA004-26</v>
      </c>
      <c r="G912" s="38" t="s">
        <v>43</v>
      </c>
      <c r="H912" s="44">
        <f>IF(C912&lt;&gt;"",VLOOKUP($C912,Carpetas!$C$5:$L$2060,9,FALSE),"")</f>
        <v>0</v>
      </c>
      <c r="I912" s="51" t="str">
        <f>IF(C912&lt;&gt;"",VLOOKUP($C912,Carpetas!$C$5:$L$2060,5,FALSE),"")</f>
        <v>Ciatran</v>
      </c>
      <c r="J912" s="51" t="str">
        <f>IF(D912&lt;&gt;"",VLOOKUP($C912,Carpetas!$C$5:$L$2060,3,FALSE),"")</f>
        <v>Exfrusur</v>
      </c>
      <c r="K912" s="50">
        <v>46118</v>
      </c>
      <c r="L912" s="39" t="str">
        <f>VLOOKUP($C912,Carpetas!$C$5:$L$2060,4,FALSE)</f>
        <v>Carrasco</v>
      </c>
      <c r="M912" s="55">
        <f>K912+1</f>
        <v>46119</v>
      </c>
      <c r="N912" s="53">
        <f t="shared" si="58"/>
        <v>1</v>
      </c>
      <c r="O912" s="51">
        <v>765</v>
      </c>
      <c r="P912" s="51">
        <v>765</v>
      </c>
      <c r="Q912" s="51"/>
      <c r="R912" s="51"/>
      <c r="S912" s="51"/>
      <c r="T912" s="65"/>
      <c r="U912" s="65"/>
      <c r="V912" s="65"/>
      <c r="W912" s="51"/>
      <c r="X912" s="66"/>
    </row>
    <row r="913" hidden="1" ht="27.75" customHeight="1" s="32" customFormat="1">
      <c r="A913" s="37"/>
      <c r="B913" s="31" t="s">
        <v>32</v>
      </c>
      <c r="C913" s="59" t="s">
        <v>1932</v>
      </c>
      <c r="D913" s="57" t="s">
        <v>48</v>
      </c>
      <c r="E913" s="57">
        <v>46084</v>
      </c>
      <c r="F913" s="38" t="str">
        <f>IF(C913&lt;&gt;"",VLOOKUP($C913,Carpetas!$C$5:$L$2060,2,FALSE),"")</f>
        <v>MXP003-26</v>
      </c>
      <c r="G913" s="38" t="s">
        <v>43</v>
      </c>
      <c r="H913" s="44">
        <f>IF(C913&lt;&gt;"",VLOOKUP($C913,Carpetas!$C$5:$L$2060,9,FALSE),"")</f>
        <v>0</v>
      </c>
      <c r="I913" s="51" t="str">
        <f>IF(C913&lt;&gt;"",VLOOKUP($C913,Carpetas!$C$5:$L$2060,5,FALSE),"")</f>
        <v>Andino</v>
      </c>
      <c r="J913" s="51" t="str">
        <f>IF(D913&lt;&gt;"",VLOOKUP($C913,Carpetas!$C$5:$L$2060,3,FALSE),"")</f>
        <v>Mission</v>
      </c>
      <c r="K913" s="50">
        <v>46118</v>
      </c>
      <c r="L913" s="39" t="str">
        <f>VLOOKUP($C913,Carpetas!$C$5:$L$2060,4,FALSE)</f>
        <v>Fray Bentos</v>
      </c>
      <c r="M913" s="55">
        <f>K913+2</f>
        <v>46120</v>
      </c>
      <c r="N913" s="53">
        <f t="shared" si="58"/>
        <v>36</v>
      </c>
      <c r="O913" s="51">
        <v>1920</v>
      </c>
      <c r="P913" s="51"/>
      <c r="Q913" s="51"/>
      <c r="R913" s="51">
        <v>20</v>
      </c>
      <c r="S913" s="51"/>
      <c r="T913" s="65"/>
      <c r="U913" s="65"/>
      <c r="V913" s="65"/>
      <c r="W913" s="51"/>
      <c r="X913" s="66" t="s">
        <v>1933</v>
      </c>
    </row>
    <row r="914" hidden="1" ht="27.75" customHeight="1" s="32" customFormat="1">
      <c r="A914" s="37"/>
      <c r="B914" s="31" t="s">
        <v>32</v>
      </c>
      <c r="C914" s="59" t="s">
        <v>1921</v>
      </c>
      <c r="D914" s="57" t="s">
        <v>30</v>
      </c>
      <c r="E914" s="57">
        <v>46098</v>
      </c>
      <c r="F914" s="38" t="str">
        <f>IF(C914&lt;&gt;"",VLOOKUP($C914,Carpetas!$C$5:$L$2060,2,FALSE),"")</f>
        <v>ECE005-26</v>
      </c>
      <c r="G914" s="38" t="s">
        <v>43</v>
      </c>
      <c r="H914" s="44">
        <f>IF(C914&lt;&gt;"",VLOOKUP($C914,Carpetas!$C$5:$L$2060,9,FALSE),"")</f>
        <v>1552514</v>
      </c>
      <c r="I914" s="51" t="str">
        <f>IF(C914&lt;&gt;"",VLOOKUP($C914,Carpetas!$C$5:$L$2060,5,FALSE),"")</f>
        <v>Andino</v>
      </c>
      <c r="J914" s="51" t="str">
        <f>IF(D914&lt;&gt;"",VLOOKUP($C914,Carpetas!$C$5:$L$2060,3,FALSE),"")</f>
        <v>Exporsweet</v>
      </c>
      <c r="K914" s="50">
        <v>46118</v>
      </c>
      <c r="L914" s="39" t="str">
        <f>VLOOKUP($C914,Carpetas!$C$5:$L$2060,4,FALSE)</f>
        <v>Fray Bentos</v>
      </c>
      <c r="M914" s="55">
        <f>K914+2</f>
        <v>46120</v>
      </c>
      <c r="N914" s="53">
        <f t="shared" si="58"/>
        <v>22</v>
      </c>
      <c r="O914" s="51">
        <v>1080</v>
      </c>
      <c r="P914" s="51"/>
      <c r="Q914" s="51"/>
      <c r="R914" s="51">
        <v>20</v>
      </c>
      <c r="S914" s="51"/>
      <c r="T914" s="65"/>
      <c r="U914" s="65"/>
      <c r="V914" s="65"/>
      <c r="W914" s="51"/>
      <c r="X914" s="66" t="s">
        <v>1934</v>
      </c>
    </row>
    <row r="915" hidden="1" ht="27.75" customHeight="1" s="32" customFormat="1">
      <c r="A915" s="37"/>
      <c r="B915" s="31" t="s">
        <v>32</v>
      </c>
      <c r="C915" s="59" t="s">
        <v>1935</v>
      </c>
      <c r="D915" s="57" t="s">
        <v>42</v>
      </c>
      <c r="E915" s="57">
        <v>46105</v>
      </c>
      <c r="F915" s="38" t="str">
        <f>IF(C915&lt;&gt;"",VLOOKUP($C915,Carpetas!$C$5:$L$2060,2,FALSE),"")</f>
        <v>ECA008-26</v>
      </c>
      <c r="G915" s="38" t="s">
        <v>43</v>
      </c>
      <c r="H915" s="44">
        <f>IF(C915&lt;&gt;"",VLOOKUP($C915,Carpetas!$C$5:$L$2060,9,FALSE),"")</f>
        <v>1552705</v>
      </c>
      <c r="I915" s="51" t="str">
        <f>IF(C915&lt;&gt;"",VLOOKUP($C915,Carpetas!$C$5:$L$2060,5,FALSE),"")</f>
        <v>Andino</v>
      </c>
      <c r="J915" s="51" t="str">
        <f>IF(D915&lt;&gt;"",VLOOKUP($C915,Carpetas!$C$5:$L$2060,3,FALSE),"")</f>
        <v>Agroeden</v>
      </c>
      <c r="K915" s="50">
        <v>46120</v>
      </c>
      <c r="L915" s="39" t="str">
        <f>VLOOKUP($C915,Carpetas!$C$5:$L$2060,4,FALSE)</f>
        <v>Fray Bentos</v>
      </c>
      <c r="M915" s="55">
        <f ref="M915:M921" t="shared" si="61">K915+1</f>
        <v>46121</v>
      </c>
      <c r="N915" s="53">
        <f t="shared" si="58"/>
        <v>16</v>
      </c>
      <c r="O915" s="51">
        <v>1680</v>
      </c>
      <c r="P915" s="51"/>
      <c r="Q915" s="51">
        <v>1680</v>
      </c>
      <c r="R915" s="51">
        <v>21</v>
      </c>
      <c r="S915" s="51"/>
      <c r="T915" s="65"/>
      <c r="U915" s="65"/>
      <c r="V915" s="65"/>
      <c r="W915" s="51"/>
      <c r="X915" s="66" t="s">
        <v>1936</v>
      </c>
    </row>
    <row r="916" hidden="1" ht="27.75" customHeight="1" s="32" customFormat="1">
      <c r="A916" s="37"/>
      <c r="B916" s="31" t="s">
        <v>32</v>
      </c>
      <c r="C916" s="59" t="s">
        <v>1937</v>
      </c>
      <c r="D916" s="57" t="s">
        <v>30</v>
      </c>
      <c r="E916" s="57">
        <v>46105</v>
      </c>
      <c r="F916" s="38" t="str">
        <f>IF(C916&lt;&gt;"",VLOOKUP($C916,Carpetas!$C$5:$L$2060,2,FALSE),"")</f>
        <v>ECB011/26</v>
      </c>
      <c r="G916" s="38" t="s">
        <v>43</v>
      </c>
      <c r="H916" s="44">
        <f>IF(C916&lt;&gt;"",VLOOKUP($C916,Carpetas!$C$5:$L$2060,9,FALSE),"")</f>
        <v>1552706</v>
      </c>
      <c r="I916" s="51" t="str">
        <f>IF(C916&lt;&gt;"",VLOOKUP($C916,Carpetas!$C$5:$L$2060,5,FALSE),"")</f>
        <v>Andino</v>
      </c>
      <c r="J916" s="51" t="str">
        <f>IF(D916&lt;&gt;"",VLOOKUP($C916,Carpetas!$C$5:$L$2060,3,FALSE),"")</f>
        <v>Nobora Trading Group</v>
      </c>
      <c r="K916" s="50">
        <v>46122</v>
      </c>
      <c r="L916" s="39" t="str">
        <f>VLOOKUP($C916,Carpetas!$C$5:$L$2060,4,FALSE)</f>
        <v>Fray Bentos</v>
      </c>
      <c r="M916" s="55">
        <f t="shared" si="61"/>
        <v>46123</v>
      </c>
      <c r="N916" s="53">
        <f t="shared" si="58"/>
        <v>18</v>
      </c>
      <c r="O916" s="51">
        <v>4320</v>
      </c>
      <c r="P916" s="51">
        <v>4</v>
      </c>
      <c r="Q916" s="51" t="s">
        <v>1724</v>
      </c>
      <c r="R916" s="51">
        <v>80</v>
      </c>
      <c r="S916" s="51"/>
      <c r="T916" s="65"/>
      <c r="U916" s="65"/>
      <c r="V916" s="65"/>
      <c r="W916" s="51"/>
      <c r="X916" s="66" t="s">
        <v>1938</v>
      </c>
    </row>
    <row r="917" hidden="1" ht="27.75" customHeight="1" s="32" customFormat="1">
      <c r="A917" s="37"/>
      <c r="B917" s="31" t="s">
        <v>32</v>
      </c>
      <c r="C917" s="59" t="s">
        <v>1939</v>
      </c>
      <c r="D917" s="57" t="s">
        <v>34</v>
      </c>
      <c r="E917" s="57">
        <v>46120</v>
      </c>
      <c r="F917" s="38" t="str">
        <f>IF(C917&lt;&gt;"",VLOOKUP($C917,Carpetas!$C$5:$L$2060,2,FALSE),"")</f>
        <v>PEA003-26</v>
      </c>
      <c r="G917" s="38" t="s">
        <v>43</v>
      </c>
      <c r="H917" s="44">
        <f>IF(C917&lt;&gt;"",VLOOKUP($C917,Carpetas!$C$5:$L$2060,9,FALSE),"")</f>
        <v>0</v>
      </c>
      <c r="I917" s="51" t="str">
        <f>IF(C917&lt;&gt;"",VLOOKUP($C917,Carpetas!$C$5:$L$2060,5,FALSE),"")</f>
        <v>Ciatran</v>
      </c>
      <c r="J917" s="51" t="str">
        <f>IF(D917&lt;&gt;"",VLOOKUP($C917,Carpetas!$C$5:$L$2060,3,FALSE),"")</f>
        <v>Green Harvest</v>
      </c>
      <c r="K917" s="50">
        <v>46122</v>
      </c>
      <c r="L917" s="39" t="str">
        <f>VLOOKUP($C917,Carpetas!$C$5:$L$2060,4,FALSE)</f>
        <v>Carrasco</v>
      </c>
      <c r="M917" s="55">
        <f t="shared" si="61"/>
        <v>46123</v>
      </c>
      <c r="N917" s="53">
        <f t="shared" si="58"/>
        <v>3</v>
      </c>
      <c r="O917" s="51">
        <v>1200</v>
      </c>
      <c r="P917" s="51">
        <v>1</v>
      </c>
      <c r="Q917" s="51">
        <v>1200</v>
      </c>
      <c r="R917" s="51"/>
      <c r="S917" s="51"/>
      <c r="T917" s="65"/>
      <c r="U917" s="65"/>
      <c r="V917" s="65" t="s">
        <v>1940</v>
      </c>
      <c r="W917" s="51"/>
      <c r="X917" s="66" t="s">
        <v>1941</v>
      </c>
    </row>
    <row r="918" hidden="1" ht="27.75" customHeight="1" s="32" customFormat="1">
      <c r="A918" s="37"/>
      <c r="B918" s="31" t="s">
        <v>32</v>
      </c>
      <c r="C918" s="59" t="s">
        <v>1942</v>
      </c>
      <c r="D918" s="57" t="s">
        <v>656</v>
      </c>
      <c r="E918" s="57">
        <v>46122</v>
      </c>
      <c r="F918" s="38" t="str">
        <f>IF(C918&lt;&gt;"",VLOOKUP($C918,Carpetas!$C$5:$L$2060,2,FALSE),"")</f>
        <v>ARP001-26</v>
      </c>
      <c r="G918" s="38" t="s">
        <v>369</v>
      </c>
      <c r="H918" s="44">
        <f>IF(C918&lt;&gt;"",VLOOKUP($C918,Carpetas!$C$5:$L$2060,9,FALSE),"")</f>
        <v>0</v>
      </c>
      <c r="I918" s="51" t="str">
        <f>IF(C918&lt;&gt;"",VLOOKUP($C918,Carpetas!$C$5:$L$2060,5,FALSE),"")</f>
        <v>Tropical</v>
      </c>
      <c r="J918" s="51" t="str">
        <f>IF(D918&lt;&gt;"",VLOOKUP($C918,Carpetas!$C$5:$L$2060,3,FALSE),"")</f>
        <v>Tropical</v>
      </c>
      <c r="K918" s="50">
        <v>46125</v>
      </c>
      <c r="L918" s="39" t="str">
        <f>VLOOKUP($C918,Carpetas!$C$5:$L$2060,4,FALSE)</f>
        <v>Fray Bentos</v>
      </c>
      <c r="M918" s="55">
        <f t="shared" si="61"/>
        <v>46126</v>
      </c>
      <c r="N918" s="53">
        <f t="shared" si="58"/>
        <v>4</v>
      </c>
      <c r="O918" s="51">
        <v>1320</v>
      </c>
      <c r="P918" s="51"/>
      <c r="Q918" s="51">
        <v>1319</v>
      </c>
      <c r="R918" s="51">
        <v>22</v>
      </c>
      <c r="S918" s="51"/>
      <c r="T918" s="65"/>
      <c r="U918" s="65"/>
      <c r="V918" s="65"/>
      <c r="W918" s="51"/>
      <c r="X918" s="66" t="s">
        <v>1943</v>
      </c>
    </row>
    <row r="919" hidden="1" ht="27.75" customHeight="1" s="32" customFormat="1">
      <c r="A919" s="37" t="s">
        <v>0</v>
      </c>
      <c r="B919" s="31" t="s">
        <v>32</v>
      </c>
      <c r="C919" s="59" t="s">
        <v>1944</v>
      </c>
      <c r="D919" s="57" t="s">
        <v>30</v>
      </c>
      <c r="E919" s="57">
        <v>46105</v>
      </c>
      <c r="F919" s="38" t="str">
        <f>IF(C919&lt;&gt;"",VLOOKUP($C919,Carpetas!$C$5:$L$2060,2,FALSE),"")</f>
        <v>ECE006-26</v>
      </c>
      <c r="G919" s="38" t="s">
        <v>43</v>
      </c>
      <c r="H919" s="44">
        <f>IF(C919&lt;&gt;"",VLOOKUP($C919,Carpetas!$C$5:$L$2060,9,FALSE),"")</f>
        <v>1553156</v>
      </c>
      <c r="I919" s="51" t="str">
        <f>IF(C919&lt;&gt;"",VLOOKUP($C919,Carpetas!$C$5:$L$2060,5,FALSE),"")</f>
        <v>Andino</v>
      </c>
      <c r="J919" s="51" t="str">
        <f>IF(D919&lt;&gt;"",VLOOKUP($C919,Carpetas!$C$5:$L$2060,3,FALSE),"")</f>
        <v>Exporsweet</v>
      </c>
      <c r="K919" s="50">
        <v>46125</v>
      </c>
      <c r="L919" s="39" t="str">
        <f>VLOOKUP($C919,Carpetas!$C$5:$L$2060,4,FALSE)</f>
        <v>Fray Bentos</v>
      </c>
      <c r="M919" s="55">
        <f t="shared" si="61"/>
        <v>46126</v>
      </c>
      <c r="N919" s="53">
        <f t="shared" si="58"/>
        <v>21</v>
      </c>
      <c r="O919" s="51">
        <v>1144</v>
      </c>
      <c r="P919" s="51"/>
      <c r="Q919" s="51">
        <v>1144</v>
      </c>
      <c r="R919" s="51">
        <v>20</v>
      </c>
      <c r="S919" s="51"/>
      <c r="T919" s="65"/>
      <c r="U919" s="65"/>
      <c r="V919" s="65"/>
      <c r="W919" s="51"/>
      <c r="X919" s="66" t="s">
        <v>1945</v>
      </c>
    </row>
    <row r="920" hidden="1" ht="27.75" customHeight="1" s="32" customFormat="1">
      <c r="A920" s="37"/>
      <c r="B920" s="31" t="s">
        <v>32</v>
      </c>
      <c r="C920" s="59" t="s">
        <v>1946</v>
      </c>
      <c r="D920" s="57" t="s">
        <v>48</v>
      </c>
      <c r="E920" s="57">
        <v>46115</v>
      </c>
      <c r="F920" s="38" t="str">
        <f>IF(C920&lt;&gt;"",VLOOKUP($C920,Carpetas!$C$5:$L$2060,2,FALSE),"")</f>
        <v>PEP001-26</v>
      </c>
      <c r="G920" s="38" t="s">
        <v>43</v>
      </c>
      <c r="H920" s="44">
        <f>IF(C920&lt;&gt;"",VLOOKUP($C920,Carpetas!$C$5:$L$2060,9,FALSE),"")</f>
        <v>0</v>
      </c>
      <c r="I920" s="51" t="str">
        <f>IF(C920&lt;&gt;"",VLOOKUP($C920,Carpetas!$C$5:$L$2060,5,FALSE),"")</f>
        <v>Andino</v>
      </c>
      <c r="J920" s="51" t="str">
        <f>IF(D920&lt;&gt;"",VLOOKUP($C920,Carpetas!$C$5:$L$2060,3,FALSE),"")</f>
        <v>West Falia</v>
      </c>
      <c r="K920" s="50">
        <v>46125</v>
      </c>
      <c r="L920" s="39" t="str">
        <f>VLOOKUP($C920,Carpetas!$C$5:$L$2060,4,FALSE)</f>
        <v>Fray Bentos</v>
      </c>
      <c r="M920" s="55">
        <f t="shared" si="61"/>
        <v>46126</v>
      </c>
      <c r="N920" s="53">
        <f t="shared" si="58"/>
        <v>11</v>
      </c>
      <c r="O920" s="51">
        <v>1920</v>
      </c>
      <c r="P920" s="51"/>
      <c r="Q920" s="51">
        <v>1920</v>
      </c>
      <c r="R920" s="51">
        <v>20</v>
      </c>
      <c r="S920" s="51"/>
      <c r="T920" s="65"/>
      <c r="U920" s="65"/>
      <c r="V920" s="65"/>
      <c r="W920" s="51"/>
      <c r="X920" s="66" t="s">
        <v>1947</v>
      </c>
    </row>
    <row r="921" hidden="1" ht="27.75" customHeight="1" s="32" customFormat="1">
      <c r="A921" s="37"/>
      <c r="B921" s="31" t="s">
        <v>32</v>
      </c>
      <c r="C921" s="59" t="s">
        <v>1948</v>
      </c>
      <c r="D921" s="57" t="s">
        <v>34</v>
      </c>
      <c r="E921" s="57">
        <v>46125</v>
      </c>
      <c r="F921" s="38" t="str">
        <f>IF(C921&lt;&gt;"",VLOOKUP($C921,Carpetas!$C$5:$L$2060,2,FALSE),"")</f>
        <v>PEA005-26</v>
      </c>
      <c r="G921" s="38" t="s">
        <v>43</v>
      </c>
      <c r="H921" s="44">
        <f>IF(C921&lt;&gt;"",VLOOKUP($C921,Carpetas!$C$5:$L$2060,9,FALSE),"")</f>
        <v>0</v>
      </c>
      <c r="I921" s="51" t="str">
        <f>IF(C921&lt;&gt;"",VLOOKUP($C921,Carpetas!$C$5:$L$2060,5,FALSE),"")</f>
        <v>Ciatran</v>
      </c>
      <c r="J921" s="51" t="str">
        <f>IF(D921&lt;&gt;"",VLOOKUP($C921,Carpetas!$C$5:$L$2060,3,FALSE),"")</f>
        <v>Exfrusur</v>
      </c>
      <c r="K921" s="50">
        <v>46126</v>
      </c>
      <c r="L921" s="39" t="str">
        <f>VLOOKUP($C921,Carpetas!$C$5:$L$2060,4,FALSE)</f>
        <v>Carrasco</v>
      </c>
      <c r="M921" s="55">
        <f t="shared" si="61"/>
        <v>46127</v>
      </c>
      <c r="N921" s="53">
        <f t="shared" si="58"/>
        <v>2</v>
      </c>
      <c r="O921" s="51">
        <v>765</v>
      </c>
      <c r="P921" s="51">
        <v>1</v>
      </c>
      <c r="Q921" s="51">
        <v>765</v>
      </c>
      <c r="R921" s="51"/>
      <c r="S921" s="51"/>
      <c r="T921" s="65"/>
      <c r="U921" s="65"/>
      <c r="V921" s="65"/>
      <c r="W921" s="51"/>
      <c r="X921" s="66" t="s">
        <v>1949</v>
      </c>
    </row>
    <row r="922" hidden="1" ht="27.75" customHeight="1" s="32" customFormat="1">
      <c r="A922" s="37"/>
      <c r="B922" s="31" t="s">
        <v>32</v>
      </c>
      <c r="C922" s="59" t="s">
        <v>1950</v>
      </c>
      <c r="D922" s="57" t="s">
        <v>30</v>
      </c>
      <c r="E922" s="57">
        <v>46112</v>
      </c>
      <c r="F922" s="38" t="str">
        <f>IF(C922&lt;&gt;"",VLOOKUP($C922,Carpetas!$C$5:$L$2060,2,FALSE),"")</f>
        <v>ECB012-26</v>
      </c>
      <c r="G922" s="38" t="s">
        <v>43</v>
      </c>
      <c r="H922" s="44">
        <f>IF(C922&lt;&gt;"",VLOOKUP($C922,Carpetas!$C$5:$L$2060,9,FALSE),"")</f>
        <v>1553506</v>
      </c>
      <c r="I922" s="51" t="str">
        <f>IF(C922&lt;&gt;"",VLOOKUP($C922,Carpetas!$C$5:$L$2060,5,FALSE),"")</f>
        <v>Andino</v>
      </c>
      <c r="J922" s="51" t="str">
        <f>IF(D922&lt;&gt;"",VLOOKUP($C922,Carpetas!$C$5:$L$2060,3,FALSE),"")</f>
        <v>Nobora Trading Group</v>
      </c>
      <c r="K922" s="50">
        <v>46127</v>
      </c>
      <c r="L922" s="39" t="str">
        <f>VLOOKUP($C922,Carpetas!$C$5:$L$2060,4,FALSE)</f>
        <v>Fray Bentos</v>
      </c>
      <c r="M922" s="55">
        <v>46129</v>
      </c>
      <c r="N922" s="53">
        <f t="shared" si="58"/>
        <v>17</v>
      </c>
      <c r="O922" s="51">
        <v>4320</v>
      </c>
      <c r="P922" s="51">
        <v>4</v>
      </c>
      <c r="Q922" s="51">
        <v>4320</v>
      </c>
      <c r="R922" s="51">
        <v>60</v>
      </c>
      <c r="S922" s="51"/>
      <c r="T922" s="65"/>
      <c r="U922" s="65"/>
      <c r="V922" s="65"/>
      <c r="W922" s="51"/>
      <c r="X922" s="66" t="s">
        <v>1951</v>
      </c>
    </row>
    <row r="923" hidden="1" ht="27.75" customHeight="1" s="32" customFormat="1">
      <c r="A923" s="37"/>
      <c r="B923" s="31" t="s">
        <v>32</v>
      </c>
      <c r="C923" s="59" t="s">
        <v>1952</v>
      </c>
      <c r="D923" s="57" t="s">
        <v>37</v>
      </c>
      <c r="E923" s="57">
        <v>46127</v>
      </c>
      <c r="F923" s="38" t="str">
        <f>IF(C923&lt;&gt;"",VLOOKUP($C923,Carpetas!$C$5:$L$2060,2,FALSE),"")</f>
        <v>CLK001/26</v>
      </c>
      <c r="G923" s="38" t="s">
        <v>35</v>
      </c>
      <c r="H923" s="44">
        <f>IF(C923&lt;&gt;"",VLOOKUP($C923,Carpetas!$C$5:$L$2060,9,FALSE),"")</f>
        <v>1554954</v>
      </c>
      <c r="I923" s="51" t="str">
        <f>IF(C923&lt;&gt;"",VLOOKUP($C923,Carpetas!$C$5:$L$2060,5,FALSE),"")</f>
        <v>Nihuil</v>
      </c>
      <c r="J923" s="51" t="str">
        <f>IF(D923&lt;&gt;"",VLOOKUP($C923,Carpetas!$C$5:$L$2060,3,FALSE),"")</f>
        <v>Coopefrut</v>
      </c>
      <c r="K923" s="50">
        <v>46129</v>
      </c>
      <c r="L923" s="39" t="str">
        <f>VLOOKUP($C923,Carpetas!$C$5:$L$2060,4,FALSE)</f>
        <v>Fray Bentos</v>
      </c>
      <c r="M923" s="55">
        <f ref="M923:M928" t="shared" si="62">K923+1</f>
        <v>46130</v>
      </c>
      <c r="N923" s="53">
        <f t="shared" si="58"/>
        <v>3</v>
      </c>
      <c r="O923" s="51">
        <f>192+288+960+864</f>
        <v>2304</v>
      </c>
      <c r="P923" s="51">
        <v>1</v>
      </c>
      <c r="Q923" s="51">
        <v>2304</v>
      </c>
      <c r="R923" s="51">
        <v>24</v>
      </c>
      <c r="S923" s="51"/>
      <c r="T923" s="65"/>
      <c r="U923" s="65"/>
      <c r="V923" s="65"/>
      <c r="W923" s="51"/>
      <c r="X923" s="66" t="s">
        <v>1953</v>
      </c>
    </row>
    <row r="924" hidden="1" ht="27.75" customHeight="1" s="32" customFormat="1">
      <c r="A924" s="37"/>
      <c r="B924" s="31" t="s">
        <v>32</v>
      </c>
      <c r="C924" s="59" t="s">
        <v>1917</v>
      </c>
      <c r="D924" s="57" t="s">
        <v>30</v>
      </c>
      <c r="E924" s="57">
        <v>46125</v>
      </c>
      <c r="F924" s="38" t="str">
        <f>IF(C924&lt;&gt;"",VLOOKUP($C924,Carpetas!$C$5:$L$2060,2,FALSE),"")</f>
        <v>BOB026-26</v>
      </c>
      <c r="G924" s="38" t="s">
        <v>31</v>
      </c>
      <c r="H924" s="44">
        <f>IF(C924&lt;&gt;"",VLOOKUP($C924,Carpetas!$C$5:$L$2060,9,FALSE),"")</f>
        <v>0</v>
      </c>
      <c r="I924" s="51" t="str">
        <f>IF(C924&lt;&gt;"",VLOOKUP($C924,Carpetas!$C$5:$L$2060,5,FALSE),"")</f>
        <v>Transur</v>
      </c>
      <c r="J924" s="51" t="str">
        <f>IF(D924&lt;&gt;"",VLOOKUP($C924,Carpetas!$C$5:$L$2060,3,FALSE),"")</f>
        <v>Berfrut</v>
      </c>
      <c r="K924" s="50">
        <v>46132</v>
      </c>
      <c r="L924" s="39" t="str">
        <f>VLOOKUP($C924,Carpetas!$C$5:$L$2060,4,FALSE)</f>
        <v>Salto</v>
      </c>
      <c r="M924" s="55">
        <f t="shared" si="62"/>
        <v>46133</v>
      </c>
      <c r="N924" s="53">
        <f t="shared" si="58"/>
        <v>8</v>
      </c>
      <c r="O924" s="51">
        <v>1050</v>
      </c>
      <c r="P924" s="51">
        <v>1</v>
      </c>
      <c r="Q924" s="51">
        <v>1049</v>
      </c>
      <c r="R924" s="51" t="s">
        <v>850</v>
      </c>
      <c r="S924" s="51">
        <v>21</v>
      </c>
      <c r="T924" s="65"/>
      <c r="U924" s="65"/>
      <c r="V924" s="65" t="s">
        <v>1691</v>
      </c>
      <c r="W924" s="51"/>
      <c r="X924" s="66" t="s">
        <v>1954</v>
      </c>
    </row>
    <row r="925" hidden="1" ht="27.75" customHeight="1" s="32" customFormat="1">
      <c r="A925" s="37"/>
      <c r="B925" s="31" t="s">
        <v>32</v>
      </c>
      <c r="C925" s="59" t="s">
        <v>1955</v>
      </c>
      <c r="D925" s="57" t="s">
        <v>30</v>
      </c>
      <c r="E925" s="57">
        <v>46119</v>
      </c>
      <c r="F925" s="38" t="str">
        <f>IF(C925&lt;&gt;"",VLOOKUP($C925,Carpetas!$C$5:$L$2060,2,FALSE),"")</f>
        <v>ECE007-26</v>
      </c>
      <c r="G925" s="38" t="s">
        <v>43</v>
      </c>
      <c r="H925" s="44">
        <f>IF(C925&lt;&gt;"",VLOOKUP($C925,Carpetas!$C$5:$L$2060,9,FALSE),"")</f>
        <v>1554274</v>
      </c>
      <c r="I925" s="51" t="str">
        <f>IF(C925&lt;&gt;"",VLOOKUP($C925,Carpetas!$C$5:$L$2060,5,FALSE),"")</f>
        <v>Andino</v>
      </c>
      <c r="J925" s="51" t="str">
        <f>IF(D925&lt;&gt;"",VLOOKUP($C925,Carpetas!$C$5:$L$2060,3,FALSE),"")</f>
        <v>Exporsweet</v>
      </c>
      <c r="K925" s="50">
        <v>46133</v>
      </c>
      <c r="L925" s="39" t="str">
        <f>VLOOKUP($C925,Carpetas!$C$5:$L$2060,4,FALSE)</f>
        <v>Fray Bentos</v>
      </c>
      <c r="M925" s="55">
        <f t="shared" si="62"/>
        <v>46134</v>
      </c>
      <c r="N925" s="53">
        <f t="shared" si="58"/>
        <v>15</v>
      </c>
      <c r="O925" s="51">
        <v>2224</v>
      </c>
      <c r="P925" s="51">
        <v>2</v>
      </c>
      <c r="Q925" s="51">
        <v>2224</v>
      </c>
      <c r="R925" s="51">
        <v>40</v>
      </c>
      <c r="S925" s="51"/>
      <c r="T925" s="65"/>
      <c r="U925" s="65"/>
      <c r="V925" s="65"/>
      <c r="W925" s="51"/>
      <c r="X925" s="66" t="s">
        <v>1956</v>
      </c>
    </row>
    <row r="926" hidden="1" ht="27.75" customHeight="1" s="32" customFormat="1">
      <c r="A926" s="37"/>
      <c r="B926" s="31" t="s">
        <v>32</v>
      </c>
      <c r="C926" s="59" t="s">
        <v>1957</v>
      </c>
      <c r="D926" s="57" t="s">
        <v>30</v>
      </c>
      <c r="E926" s="57">
        <v>46129</v>
      </c>
      <c r="F926" s="38" t="str">
        <f>IF(C926&lt;&gt;"",VLOOKUP($C926,Carpetas!$C$5:$L$2060,2,FALSE),"")</f>
        <v>BOB027-26</v>
      </c>
      <c r="G926" s="38" t="s">
        <v>31</v>
      </c>
      <c r="H926" s="44">
        <f>IF(C926&lt;&gt;"",VLOOKUP($C926,Carpetas!$C$5:$L$2060,9,FALSE),"")</f>
        <v>0</v>
      </c>
      <c r="I926" s="51" t="str">
        <f>IF(C926&lt;&gt;"",VLOOKUP($C926,Carpetas!$C$5:$L$2060,5,FALSE),"")</f>
        <v>Sintercargas </v>
      </c>
      <c r="J926" s="51" t="str">
        <f>IF(D926&lt;&gt;"",VLOOKUP($C926,Carpetas!$C$5:$L$2060,3,FALSE),"")</f>
        <v>Banexfrut</v>
      </c>
      <c r="K926" s="50">
        <v>46134</v>
      </c>
      <c r="L926" s="39" t="str">
        <f>VLOOKUP($C926,Carpetas!$C$5:$L$2060,4,FALSE)</f>
        <v>Salto</v>
      </c>
      <c r="M926" s="55">
        <f t="shared" si="62"/>
        <v>46135</v>
      </c>
      <c r="N926" s="53">
        <f t="shared" si="58"/>
        <v>6</v>
      </c>
      <c r="O926" s="51">
        <v>1050</v>
      </c>
      <c r="P926" s="51">
        <v>1</v>
      </c>
      <c r="Q926" s="51">
        <v>1050</v>
      </c>
      <c r="R926" s="51"/>
      <c r="S926" s="51">
        <v>21</v>
      </c>
      <c r="T926" s="65"/>
      <c r="U926" s="65"/>
      <c r="V926" s="65" t="s">
        <v>895</v>
      </c>
      <c r="W926" s="51"/>
      <c r="X926" s="66" t="s">
        <v>1958</v>
      </c>
    </row>
    <row r="927" hidden="1" ht="27.75" customHeight="1" s="32" customFormat="1">
      <c r="A927" s="37"/>
      <c r="B927" s="31" t="s">
        <v>32</v>
      </c>
      <c r="C927" s="59" t="s">
        <v>1959</v>
      </c>
      <c r="D927" s="57" t="s">
        <v>42</v>
      </c>
      <c r="E927" s="57">
        <v>46119</v>
      </c>
      <c r="F927" s="38" t="str">
        <f>IF(C927&lt;&gt;"",VLOOKUP($C927,Carpetas!$C$5:$L$2060,2,FALSE),"")</f>
        <v>ECA009-26</v>
      </c>
      <c r="G927" s="38" t="s">
        <v>43</v>
      </c>
      <c r="H927" s="44">
        <f>IF(C927&lt;&gt;"",VLOOKUP($C927,Carpetas!$C$5:$L$2060,9,FALSE),"")</f>
        <v>1554006</v>
      </c>
      <c r="I927" s="51" t="str">
        <f>IF(C927&lt;&gt;"",VLOOKUP($C927,Carpetas!$C$5:$L$2060,5,FALSE),"")</f>
        <v>Andino</v>
      </c>
      <c r="J927" s="51" t="str">
        <f>IF(D927&lt;&gt;"",VLOOKUP($C927,Carpetas!$C$5:$L$2060,3,FALSE),"")</f>
        <v>Agroeden</v>
      </c>
      <c r="K927" s="50">
        <v>46135</v>
      </c>
      <c r="L927" s="39" t="str">
        <f>VLOOKUP($C927,Carpetas!$C$5:$L$2060,4,FALSE)</f>
        <v>Fray Bentos</v>
      </c>
      <c r="M927" s="55">
        <f t="shared" si="62"/>
        <v>46136</v>
      </c>
      <c r="N927" s="53">
        <f t="shared" si="58"/>
        <v>17</v>
      </c>
      <c r="O927" s="51">
        <v>1680</v>
      </c>
      <c r="P927" s="51">
        <v>1</v>
      </c>
      <c r="Q927" s="51">
        <v>1680</v>
      </c>
      <c r="R927" s="51">
        <v>21</v>
      </c>
      <c r="S927" s="51"/>
      <c r="T927" s="65"/>
      <c r="U927" s="65"/>
      <c r="V927" s="65"/>
      <c r="W927" s="51"/>
      <c r="X927" s="66" t="s">
        <v>1960</v>
      </c>
    </row>
    <row r="928" hidden="1" ht="27.75" customHeight="1" s="32" customFormat="1">
      <c r="A928" s="37"/>
      <c r="B928" s="31" t="s">
        <v>32</v>
      </c>
      <c r="C928" s="59" t="s">
        <v>1961</v>
      </c>
      <c r="D928" s="57" t="s">
        <v>30</v>
      </c>
      <c r="E928" s="57">
        <v>46119</v>
      </c>
      <c r="F928" s="38" t="str">
        <f>IF(C928&lt;&gt;"",VLOOKUP($C928,Carpetas!$C$5:$L$2060,2,FALSE),"")</f>
        <v>ECI017/26</v>
      </c>
      <c r="G928" s="38" t="s">
        <v>43</v>
      </c>
      <c r="H928" s="44">
        <f>IF(C928&lt;&gt;"",VLOOKUP($C928,Carpetas!$C$5:$L$2060,9,FALSE),"")</f>
        <v>1554273</v>
      </c>
      <c r="I928" s="51" t="str">
        <f>IF(C928&lt;&gt;"",VLOOKUP($C928,Carpetas!$C$5:$L$2060,5,FALSE),"")</f>
        <v>Andino</v>
      </c>
      <c r="J928" s="51" t="str">
        <f>IF(D928&lt;&gt;"",VLOOKUP($C928,Carpetas!$C$5:$L$2060,3,FALSE),"")</f>
        <v>Interbanana</v>
      </c>
      <c r="K928" s="50">
        <v>46135</v>
      </c>
      <c r="L928" s="39" t="str">
        <f>VLOOKUP($C928,Carpetas!$C$5:$L$2060,4,FALSE)</f>
        <v>Fray Bentos</v>
      </c>
      <c r="M928" s="55">
        <f t="shared" si="62"/>
        <v>46136</v>
      </c>
      <c r="N928" s="53">
        <f t="shared" si="58"/>
        <v>17</v>
      </c>
      <c r="O928" s="51">
        <v>2160</v>
      </c>
      <c r="P928" s="51">
        <v>2</v>
      </c>
      <c r="Q928" s="51" t="s">
        <v>439</v>
      </c>
      <c r="R928" s="51">
        <v>40</v>
      </c>
      <c r="S928" s="51"/>
      <c r="T928" s="65"/>
      <c r="U928" s="65"/>
      <c r="V928" s="65"/>
      <c r="W928" s="51"/>
      <c r="X928" s="66" t="s">
        <v>1962</v>
      </c>
    </row>
    <row r="929" hidden="1" ht="27.75" customHeight="1" s="32" customFormat="1">
      <c r="A929" s="37"/>
      <c r="B929" s="31" t="s">
        <v>32</v>
      </c>
      <c r="C929" s="59" t="s">
        <v>1963</v>
      </c>
      <c r="D929" s="57" t="s">
        <v>30</v>
      </c>
      <c r="E929" s="57">
        <v>46119</v>
      </c>
      <c r="F929" s="38" t="str">
        <f>IF(C929&lt;&gt;"",VLOOKUP($C929,Carpetas!$C$5:$L$2060,2,FALSE),"")</f>
        <v>ECB013/26</v>
      </c>
      <c r="G929" s="38" t="s">
        <v>43</v>
      </c>
      <c r="H929" s="44">
        <f>IF(C929&lt;&gt;"",VLOOKUP($C929,Carpetas!$C$5:$L$2060,9,FALSE),"")</f>
        <v>1554032</v>
      </c>
      <c r="I929" s="51" t="str">
        <f>IF(C929&lt;&gt;"",VLOOKUP($C929,Carpetas!$C$5:$L$2060,5,FALSE),"")</f>
        <v>Andino</v>
      </c>
      <c r="J929" s="51" t="str">
        <f>IF(D929&lt;&gt;"",VLOOKUP($C929,Carpetas!$C$5:$L$2060,3,FALSE),"")</f>
        <v>Nobora Trading Group</v>
      </c>
      <c r="K929" s="50">
        <v>46135</v>
      </c>
      <c r="L929" s="39" t="str">
        <f>VLOOKUP($C929,Carpetas!$C$5:$L$2060,4,FALSE)</f>
        <v>Fray Bentos</v>
      </c>
      <c r="M929" s="55">
        <v>46136</v>
      </c>
      <c r="N929" s="53">
        <f t="shared" si="58"/>
        <v>17</v>
      </c>
      <c r="O929" s="51">
        <v>3240</v>
      </c>
      <c r="P929" s="51">
        <v>3</v>
      </c>
      <c r="Q929" s="51" t="s">
        <v>1594</v>
      </c>
      <c r="R929" s="51">
        <v>60</v>
      </c>
      <c r="S929" s="51"/>
      <c r="T929" s="65"/>
      <c r="U929" s="65"/>
      <c r="V929" s="65"/>
      <c r="W929" s="51"/>
      <c r="X929" s="66" t="s">
        <v>1964</v>
      </c>
    </row>
    <row r="930" hidden="1" ht="27.75" customHeight="1" s="32" customFormat="1">
      <c r="A930" s="37"/>
      <c r="B930" s="31" t="s">
        <v>32</v>
      </c>
      <c r="C930" s="59" t="s">
        <v>1961</v>
      </c>
      <c r="D930" s="57" t="s">
        <v>30</v>
      </c>
      <c r="E930" s="57">
        <v>46119</v>
      </c>
      <c r="F930" s="38" t="str">
        <f>IF(C930&lt;&gt;"",VLOOKUP($C930,Carpetas!$C$5:$L$2060,2,FALSE),"")</f>
        <v>ECI017/26</v>
      </c>
      <c r="G930" s="38" t="s">
        <v>43</v>
      </c>
      <c r="H930" s="44">
        <f>IF(C930&lt;&gt;"",VLOOKUP($C930,Carpetas!$C$5:$L$2060,9,FALSE),"")</f>
        <v>1554273</v>
      </c>
      <c r="I930" s="51" t="str">
        <f>IF(C930&lt;&gt;"",VLOOKUP($C930,Carpetas!$C$5:$L$2060,5,FALSE),"")</f>
        <v>Andino</v>
      </c>
      <c r="J930" s="51" t="str">
        <f>IF(D930&lt;&gt;"",VLOOKUP($C930,Carpetas!$C$5:$L$2060,3,FALSE),"")</f>
        <v>Interbanana</v>
      </c>
      <c r="K930" s="50">
        <v>46136</v>
      </c>
      <c r="L930" s="39" t="str">
        <f>VLOOKUP($C930,Carpetas!$C$5:$L$2060,4,FALSE)</f>
        <v>Fray Bentos</v>
      </c>
      <c r="M930" s="55">
        <f>K930+1</f>
        <v>46137</v>
      </c>
      <c r="N930" s="53">
        <f t="shared" si="58"/>
        <v>18</v>
      </c>
      <c r="O930" s="51">
        <v>1080</v>
      </c>
      <c r="P930" s="51">
        <v>3</v>
      </c>
      <c r="Q930" s="51">
        <v>1080</v>
      </c>
      <c r="R930" s="51">
        <v>20</v>
      </c>
      <c r="S930" s="51"/>
      <c r="T930" s="65"/>
      <c r="U930" s="65"/>
      <c r="V930" s="65"/>
      <c r="W930" s="51"/>
      <c r="X930" s="66" t="s">
        <v>1965</v>
      </c>
    </row>
    <row r="931" hidden="1" ht="27.75" customHeight="1" s="32" customFormat="1">
      <c r="A931" s="37"/>
      <c r="B931" s="31" t="s">
        <v>32</v>
      </c>
      <c r="C931" s="59" t="s">
        <v>1963</v>
      </c>
      <c r="D931" s="57" t="s">
        <v>30</v>
      </c>
      <c r="E931" s="57">
        <v>46119</v>
      </c>
      <c r="F931" s="38" t="str">
        <f>IF(C931&lt;&gt;"",VLOOKUP($C931,Carpetas!$C$5:$L$2060,2,FALSE),"")</f>
        <v>ECB013/26</v>
      </c>
      <c r="G931" s="38" t="s">
        <v>43</v>
      </c>
      <c r="H931" s="44">
        <f>IF(C931&lt;&gt;"",VLOOKUP($C931,Carpetas!$C$5:$L$2060,9,FALSE),"")</f>
        <v>1554032</v>
      </c>
      <c r="I931" s="51" t="str">
        <f>IF(C931&lt;&gt;"",VLOOKUP($C931,Carpetas!$C$5:$L$2060,5,FALSE),"")</f>
        <v>Andino</v>
      </c>
      <c r="J931" s="51" t="str">
        <f>IF(D931&lt;&gt;"",VLOOKUP($C931,Carpetas!$C$5:$L$2060,3,FALSE),"")</f>
        <v>Nobora Trading Group</v>
      </c>
      <c r="K931" s="50">
        <v>46136</v>
      </c>
      <c r="L931" s="39" t="str">
        <f>VLOOKUP($C931,Carpetas!$C$5:$L$2060,4,FALSE)</f>
        <v>Fray Bentos</v>
      </c>
      <c r="M931" s="55">
        <v>46137</v>
      </c>
      <c r="N931" s="53">
        <f t="shared" si="58"/>
        <v>18</v>
      </c>
      <c r="O931" s="51">
        <v>2160</v>
      </c>
      <c r="P931" s="51">
        <v>2</v>
      </c>
      <c r="Q931" s="51" t="s">
        <v>439</v>
      </c>
      <c r="R931" s="51">
        <v>40</v>
      </c>
      <c r="S931" s="51"/>
      <c r="T931" s="65"/>
      <c r="U931" s="65"/>
      <c r="V931" s="65"/>
      <c r="W931" s="51"/>
      <c r="X931" s="66" t="s">
        <v>1966</v>
      </c>
    </row>
    <row r="932" hidden="1" ht="27.75" customHeight="1" s="32" customFormat="1">
      <c r="A932" s="37"/>
      <c r="B932" s="31" t="s">
        <v>32</v>
      </c>
      <c r="C932" s="59" t="s">
        <v>1967</v>
      </c>
      <c r="D932" s="57" t="s">
        <v>34</v>
      </c>
      <c r="E932" s="57">
        <v>46139</v>
      </c>
      <c r="F932" s="38" t="str">
        <f>IF(C932&lt;&gt;"",VLOOKUP($C932,Carpetas!$C$5:$L$2060,2,FALSE),"")</f>
        <v>PEA006-26</v>
      </c>
      <c r="G932" s="38" t="s">
        <v>216</v>
      </c>
      <c r="H932" s="44">
        <f>IF(C932&lt;&gt;"",VLOOKUP($C932,Carpetas!$C$5:$L$2060,9,FALSE),"")</f>
        <v>0</v>
      </c>
      <c r="I932" s="51" t="str">
        <f>IF(C932&lt;&gt;"",VLOOKUP($C932,Carpetas!$C$5:$L$2060,5,FALSE),"")</f>
        <v>Ciatran</v>
      </c>
      <c r="J932" s="51" t="str">
        <f>IF(D932&lt;&gt;"",VLOOKUP($C932,Carpetas!$C$5:$L$2060,3,FALSE),"")</f>
        <v>Green Harvest</v>
      </c>
      <c r="K932" s="50">
        <v>46140</v>
      </c>
      <c r="L932" s="39" t="str">
        <f>VLOOKUP($C932,Carpetas!$C$5:$L$2060,4,FALSE)</f>
        <v>Carrasco</v>
      </c>
      <c r="M932" s="55">
        <f>K932+1</f>
        <v>46141</v>
      </c>
      <c r="N932" s="53">
        <f t="shared" si="58"/>
        <v>2</v>
      </c>
      <c r="O932" s="51">
        <v>1200</v>
      </c>
      <c r="P932" s="51">
        <v>1</v>
      </c>
      <c r="Q932" s="51">
        <v>1200</v>
      </c>
      <c r="R932" s="51"/>
      <c r="S932" s="51">
        <v>10</v>
      </c>
      <c r="T932" s="65"/>
      <c r="U932" s="65"/>
      <c r="V932" s="65"/>
      <c r="W932" s="51"/>
      <c r="X932" s="66" t="s">
        <v>1968</v>
      </c>
    </row>
    <row r="933" hidden="1" ht="27.75" customHeight="1" s="32" customFormat="1">
      <c r="A933" s="37"/>
      <c r="B933" s="31" t="s">
        <v>32</v>
      </c>
      <c r="C933" s="59" t="s">
        <v>1969</v>
      </c>
      <c r="D933" s="57" t="s">
        <v>30</v>
      </c>
      <c r="E933" s="57">
        <v>46136</v>
      </c>
      <c r="F933" s="38" t="str">
        <f>IF(C933&lt;&gt;"",VLOOKUP($C933,Carpetas!$C$5:$L$2060,2,FALSE),"")</f>
        <v>BOB028-26</v>
      </c>
      <c r="G933" s="38" t="s">
        <v>31</v>
      </c>
      <c r="H933" s="44">
        <f>IF(C933&lt;&gt;"",VLOOKUP($C933,Carpetas!$C$5:$L$2060,9,FALSE),"")</f>
        <v>0</v>
      </c>
      <c r="I933" s="51" t="str">
        <f>IF(C933&lt;&gt;"",VLOOKUP($C933,Carpetas!$C$5:$L$2060,5,FALSE),"")</f>
        <v>Sintercargas </v>
      </c>
      <c r="J933" s="51" t="str">
        <f>IF(D933&lt;&gt;"",VLOOKUP($C933,Carpetas!$C$5:$L$2060,3,FALSE),"")</f>
        <v>Banexfrut</v>
      </c>
      <c r="K933" s="50">
        <v>46141</v>
      </c>
      <c r="L933" s="39" t="str">
        <f>VLOOKUP($C933,Carpetas!$C$5:$L$2060,4,FALSE)</f>
        <v>Salto</v>
      </c>
      <c r="M933" s="55">
        <f>K933+1</f>
        <v>46142</v>
      </c>
      <c r="N933" s="53">
        <f t="shared" si="58"/>
        <v>6</v>
      </c>
      <c r="O933" s="51">
        <v>1050</v>
      </c>
      <c r="P933" s="51">
        <v>1</v>
      </c>
      <c r="Q933" s="51">
        <v>1049</v>
      </c>
      <c r="R933" s="51">
        <v>21</v>
      </c>
      <c r="S933" s="51"/>
      <c r="T933" s="65"/>
      <c r="U933" s="65"/>
      <c r="V933" s="65" t="s">
        <v>895</v>
      </c>
      <c r="W933" s="51"/>
      <c r="X933" s="66" t="s">
        <v>1970</v>
      </c>
    </row>
    <row r="934" hidden="1" ht="27.75" customHeight="1" s="32" customFormat="1">
      <c r="A934" s="37"/>
      <c r="B934" s="31" t="s">
        <v>32</v>
      </c>
      <c r="C934" s="59" t="s">
        <v>1971</v>
      </c>
      <c r="D934" s="57" t="s">
        <v>30</v>
      </c>
      <c r="E934" s="57">
        <v>46126</v>
      </c>
      <c r="F934" s="38" t="str">
        <f>IF(C934&lt;&gt;"",VLOOKUP($C934,Carpetas!$C$5:$L$2060,2,FALSE),"")</f>
        <v>ECI018-26</v>
      </c>
      <c r="G934" s="38" t="s">
        <v>43</v>
      </c>
      <c r="H934" s="44">
        <f>IF(C934&lt;&gt;"",VLOOKUP($C934,Carpetas!$C$5:$L$2060,9,FALSE),"")</f>
        <v>1555502</v>
      </c>
      <c r="I934" s="51" t="str">
        <f>IF(C934&lt;&gt;"",VLOOKUP($C934,Carpetas!$C$5:$L$2060,5,FALSE),"")</f>
        <v>Andino</v>
      </c>
      <c r="J934" s="51" t="str">
        <f>IF(D934&lt;&gt;"",VLOOKUP($C934,Carpetas!$C$5:$L$2060,3,FALSE),"")</f>
        <v>Interbanana</v>
      </c>
      <c r="K934" s="50">
        <v>46141</v>
      </c>
      <c r="L934" s="39" t="str">
        <f>VLOOKUP($C934,Carpetas!$C$5:$L$2060,4,FALSE)</f>
        <v>Fray Bentos</v>
      </c>
      <c r="M934" s="55">
        <f>K934+1</f>
        <v>46142</v>
      </c>
      <c r="N934" s="53">
        <f t="shared" si="58"/>
        <v>16</v>
      </c>
      <c r="O934" s="51">
        <v>1080</v>
      </c>
      <c r="P934" s="51">
        <v>1</v>
      </c>
      <c r="Q934" s="51">
        <v>1080</v>
      </c>
      <c r="R934" s="51">
        <v>20</v>
      </c>
      <c r="S934" s="51"/>
      <c r="T934" s="65"/>
      <c r="U934" s="65"/>
      <c r="V934" s="65"/>
      <c r="W934" s="51"/>
      <c r="X934" s="66" t="s">
        <v>1972</v>
      </c>
    </row>
    <row r="935" hidden="1" ht="27.75" customHeight="1" s="32" customFormat="1">
      <c r="A935" s="37"/>
      <c r="B935" s="31" t="s">
        <v>32</v>
      </c>
      <c r="C935" s="59" t="s">
        <v>1973</v>
      </c>
      <c r="D935" s="57" t="s">
        <v>30</v>
      </c>
      <c r="E935" s="57">
        <v>46126</v>
      </c>
      <c r="F935" s="38" t="str">
        <f>IF(C935&lt;&gt;"",VLOOKUP($C935,Carpetas!$C$5:$L$2060,2,FALSE),"")</f>
        <v>ECB014-26</v>
      </c>
      <c r="G935" s="38" t="s">
        <v>43</v>
      </c>
      <c r="H935" s="44">
        <f>IF(C935&lt;&gt;"",VLOOKUP($C935,Carpetas!$C$5:$L$2060,9,FALSE),"")</f>
        <v>1554451</v>
      </c>
      <c r="I935" s="51" t="str">
        <f>IF(C935&lt;&gt;"",VLOOKUP($C935,Carpetas!$C$5:$L$2060,5,FALSE),"")</f>
        <v>Andino</v>
      </c>
      <c r="J935" s="51" t="str">
        <f>IF(D935&lt;&gt;"",VLOOKUP($C935,Carpetas!$C$5:$L$2060,3,FALSE),"")</f>
        <v>Nobora Trading Group</v>
      </c>
      <c r="K935" s="50">
        <v>46141</v>
      </c>
      <c r="L935" s="39" t="str">
        <f>VLOOKUP($C935,Carpetas!$C$5:$L$2060,4,FALSE)</f>
        <v>Fray Bentos</v>
      </c>
      <c r="M935" s="55">
        <f>K935+1</f>
        <v>46142</v>
      </c>
      <c r="N935" s="53">
        <f t="shared" si="58"/>
        <v>16</v>
      </c>
      <c r="O935" s="51">
        <v>1080</v>
      </c>
      <c r="P935" s="51">
        <v>1</v>
      </c>
      <c r="Q935" s="51">
        <v>1080</v>
      </c>
      <c r="R935" s="51">
        <v>20</v>
      </c>
      <c r="S935" s="51"/>
      <c r="T935" s="65"/>
      <c r="U935" s="65"/>
      <c r="V935" s="65"/>
      <c r="W935" s="51"/>
      <c r="X935" s="66" t="s">
        <v>1974</v>
      </c>
    </row>
    <row r="936" hidden="1" ht="27.75" customHeight="1" s="32" customFormat="1">
      <c r="A936" s="37"/>
      <c r="B936" s="31" t="s">
        <v>32</v>
      </c>
      <c r="C936" s="59" t="s">
        <v>1971</v>
      </c>
      <c r="D936" s="57" t="s">
        <v>30</v>
      </c>
      <c r="E936" s="57">
        <v>46126</v>
      </c>
      <c r="F936" s="38" t="str">
        <f>IF(C936&lt;&gt;"",VLOOKUP($C936,Carpetas!$C$5:$L$2060,2,FALSE),"")</f>
        <v>ECI018-26</v>
      </c>
      <c r="G936" s="38" t="s">
        <v>43</v>
      </c>
      <c r="H936" s="44">
        <f>IF(C936&lt;&gt;"",VLOOKUP($C936,Carpetas!$C$5:$L$2060,9,FALSE),"")</f>
        <v>1555502</v>
      </c>
      <c r="I936" s="51" t="str">
        <f>IF(C936&lt;&gt;"",VLOOKUP($C936,Carpetas!$C$5:$L$2060,5,FALSE),"")</f>
        <v>Andino</v>
      </c>
      <c r="J936" s="51" t="str">
        <f>IF(D936&lt;&gt;"",VLOOKUP($C936,Carpetas!$C$5:$L$2060,3,FALSE),"")</f>
        <v>Interbanana</v>
      </c>
      <c r="K936" s="50">
        <v>46142</v>
      </c>
      <c r="L936" s="39" t="str">
        <f>VLOOKUP($C936,Carpetas!$C$5:$L$2060,4,FALSE)</f>
        <v>Fray Bentos</v>
      </c>
      <c r="M936" s="55">
        <v>46144</v>
      </c>
      <c r="N936" s="53">
        <f t="shared" si="58"/>
        <v>18</v>
      </c>
      <c r="O936" s="51">
        <v>1080</v>
      </c>
      <c r="P936" s="51">
        <v>2</v>
      </c>
      <c r="Q936" s="51" t="s">
        <v>439</v>
      </c>
      <c r="R936" s="51">
        <v>40</v>
      </c>
      <c r="S936" s="51"/>
      <c r="T936" s="65"/>
      <c r="U936" s="65"/>
      <c r="V936" s="65"/>
      <c r="W936" s="51"/>
      <c r="X936" s="66" t="s">
        <v>1975</v>
      </c>
    </row>
    <row r="937" hidden="1" ht="27.75" customHeight="1" s="32" customFormat="1">
      <c r="A937" s="37"/>
      <c r="B937" s="31" t="s">
        <v>32</v>
      </c>
      <c r="C937" s="59" t="s">
        <v>1973</v>
      </c>
      <c r="D937" s="57" t="s">
        <v>30</v>
      </c>
      <c r="E937" s="57">
        <v>46126</v>
      </c>
      <c r="F937" s="38" t="str">
        <f>IF(C937&lt;&gt;"",VLOOKUP($C937,Carpetas!$C$5:$L$2060,2,FALSE),"")</f>
        <v>ECB014-26</v>
      </c>
      <c r="G937" s="38" t="s">
        <v>43</v>
      </c>
      <c r="H937" s="44">
        <f>IF(C937&lt;&gt;"",VLOOKUP($C937,Carpetas!$C$5:$L$2060,9,FALSE),"")</f>
        <v>1554451</v>
      </c>
      <c r="I937" s="51" t="str">
        <f>IF(C937&lt;&gt;"",VLOOKUP($C937,Carpetas!$C$5:$L$2060,5,FALSE),"")</f>
        <v>Andino</v>
      </c>
      <c r="J937" s="51" t="str">
        <f>IF(D937&lt;&gt;"",VLOOKUP($C937,Carpetas!$C$5:$L$2060,3,FALSE),"")</f>
        <v>Nobora Trading Group</v>
      </c>
      <c r="K937" s="50">
        <v>46142</v>
      </c>
      <c r="L937" s="39" t="str">
        <f>VLOOKUP($C937,Carpetas!$C$5:$L$2060,4,FALSE)</f>
        <v>Fray Bentos</v>
      </c>
      <c r="M937" s="55">
        <v>46144</v>
      </c>
      <c r="N937" s="53">
        <f t="shared" si="58"/>
        <v>18</v>
      </c>
      <c r="O937" s="51">
        <v>4320</v>
      </c>
      <c r="P937" s="51">
        <v>4</v>
      </c>
      <c r="Q937" s="51" t="s">
        <v>1724</v>
      </c>
      <c r="R937" s="51">
        <v>80</v>
      </c>
      <c r="S937" s="51"/>
      <c r="T937" s="65"/>
      <c r="U937" s="65"/>
      <c r="V937" s="65"/>
      <c r="W937" s="51"/>
      <c r="X937" s="66" t="s">
        <v>1976</v>
      </c>
    </row>
    <row r="938" hidden="1" ht="27.75" customHeight="1" s="32" customFormat="1">
      <c r="A938" s="37"/>
      <c r="B938" s="31" t="s">
        <v>32</v>
      </c>
      <c r="C938" s="59" t="s">
        <v>1977</v>
      </c>
      <c r="D938" s="57" t="s">
        <v>37</v>
      </c>
      <c r="E938" s="57">
        <v>46141</v>
      </c>
      <c r="F938" s="38" t="str">
        <f>IF(C938&lt;&gt;"",VLOOKUP($C938,Carpetas!$C$5:$L$2060,2,FALSE),"")</f>
        <v>CLK002-26</v>
      </c>
      <c r="G938" s="38" t="s">
        <v>35</v>
      </c>
      <c r="H938" s="44">
        <f>IF(C938&lt;&gt;"",VLOOKUP($C938,Carpetas!$C$5:$L$2060,9,FALSE),"")</f>
        <v>1556953</v>
      </c>
      <c r="I938" s="51" t="str">
        <f>IF(C938&lt;&gt;"",VLOOKUP($C938,Carpetas!$C$5:$L$2060,5,FALSE),"")</f>
        <v>Nihuil</v>
      </c>
      <c r="J938" s="51" t="str">
        <f>IF(D938&lt;&gt;"",VLOOKUP($C938,Carpetas!$C$5:$L$2060,3,FALSE),"")</f>
        <v>Coopefrut</v>
      </c>
      <c r="K938" s="50">
        <v>46144</v>
      </c>
      <c r="L938" s="39" t="str">
        <f>VLOOKUP($C938,Carpetas!$C$5:$L$2060,4,FALSE)</f>
        <v>Fray Bentos</v>
      </c>
      <c r="M938" s="55">
        <f>K938+1</f>
        <v>46145</v>
      </c>
      <c r="N938" s="53">
        <f t="shared" si="58"/>
        <v>4</v>
      </c>
      <c r="O938" s="51">
        <v>2304</v>
      </c>
      <c r="P938" s="51">
        <v>1</v>
      </c>
      <c r="Q938" s="51">
        <v>2296</v>
      </c>
      <c r="R938" s="51">
        <v>23</v>
      </c>
      <c r="S938" s="51"/>
      <c r="T938" s="65"/>
      <c r="U938" s="65"/>
      <c r="V938" s="65"/>
      <c r="W938" s="51"/>
      <c r="X938" s="66" t="s">
        <v>1978</v>
      </c>
    </row>
    <row r="939" hidden="1" ht="27.75" customHeight="1" s="32" customFormat="1">
      <c r="A939" s="37"/>
      <c r="B939" s="31" t="s">
        <v>32</v>
      </c>
      <c r="C939" s="59" t="s">
        <v>1971</v>
      </c>
      <c r="D939" s="57" t="s">
        <v>30</v>
      </c>
      <c r="E939" s="57">
        <v>46126</v>
      </c>
      <c r="F939" s="38" t="str">
        <f>IF(C939&lt;&gt;"",VLOOKUP($C939,Carpetas!$C$5:$L$2060,2,FALSE),"")</f>
        <v>ECI018-26</v>
      </c>
      <c r="G939" s="38" t="s">
        <v>43</v>
      </c>
      <c r="H939" s="44">
        <f>IF(C939&lt;&gt;"",VLOOKUP($C939,Carpetas!$C$5:$L$2060,9,FALSE),"")</f>
        <v>1555502</v>
      </c>
      <c r="I939" s="51" t="str">
        <f>IF(C939&lt;&gt;"",VLOOKUP($C939,Carpetas!$C$5:$L$2060,5,FALSE),"")</f>
        <v>Andino</v>
      </c>
      <c r="J939" s="51" t="str">
        <f>IF(D939&lt;&gt;"",VLOOKUP($C939,Carpetas!$C$5:$L$2060,3,FALSE),"")</f>
        <v>Interbanana</v>
      </c>
      <c r="K939" s="50">
        <v>46142</v>
      </c>
      <c r="L939" s="39" t="str">
        <f>VLOOKUP($C939,Carpetas!$C$5:$L$2060,4,FALSE)</f>
        <v>Fray Bentos</v>
      </c>
      <c r="M939" s="55">
        <v>46146</v>
      </c>
      <c r="N939" s="53">
        <f t="shared" si="58"/>
        <v>20</v>
      </c>
      <c r="O939" s="51">
        <v>1080</v>
      </c>
      <c r="P939" s="51">
        <v>2</v>
      </c>
      <c r="Q939" s="51" t="s">
        <v>439</v>
      </c>
      <c r="R939" s="51">
        <v>40</v>
      </c>
      <c r="S939" s="51"/>
      <c r="T939" s="65"/>
      <c r="U939" s="65"/>
      <c r="V939" s="65"/>
      <c r="W939" s="51"/>
      <c r="X939" s="66" t="s">
        <v>1975</v>
      </c>
    </row>
    <row r="940" hidden="1" ht="27.75" customHeight="1" s="32" customFormat="1">
      <c r="A940" s="37"/>
      <c r="B940" s="31" t="s">
        <v>32</v>
      </c>
      <c r="C940" s="59" t="s">
        <v>1979</v>
      </c>
      <c r="D940" s="57" t="s">
        <v>30</v>
      </c>
      <c r="E940" s="57">
        <v>46142</v>
      </c>
      <c r="F940" s="38" t="str">
        <f>IF(C940&lt;&gt;"",VLOOKUP($C940,Carpetas!$C$5:$L$2060,2,FALSE),"")</f>
        <v>BOB029-26</v>
      </c>
      <c r="G940" s="38" t="s">
        <v>31</v>
      </c>
      <c r="H940" s="44">
        <f>IF(C940&lt;&gt;"",VLOOKUP($C940,Carpetas!$C$5:$L$2060,9,FALSE),"")</f>
        <v>0</v>
      </c>
      <c r="I940" s="51" t="str">
        <f>IF(C940&lt;&gt;"",VLOOKUP($C940,Carpetas!$C$5:$L$2060,5,FALSE),"")</f>
        <v>Transur</v>
      </c>
      <c r="J940" s="51" t="str">
        <f>IF(D940&lt;&gt;"",VLOOKUP($C940,Carpetas!$C$5:$L$2060,3,FALSE),"")</f>
        <v>Berfrut</v>
      </c>
      <c r="K940" s="50">
        <f>E940+5</f>
        <v>46147</v>
      </c>
      <c r="L940" s="39" t="str">
        <f>VLOOKUP($C940,Carpetas!$C$5:$L$2060,4,FALSE)</f>
        <v>Salto</v>
      </c>
      <c r="M940" s="55">
        <f ref="M940:M953" t="shared" si="63">K940+1</f>
        <v>46148</v>
      </c>
      <c r="N940" s="53">
        <f ref="N940:N1003" t="shared" si="64">IF(M940&lt;&gt;"",M940-E940,"-")</f>
        <v>6</v>
      </c>
      <c r="O940" s="51">
        <v>1050</v>
      </c>
      <c r="P940" s="51">
        <v>1</v>
      </c>
      <c r="Q940" s="51">
        <v>1050</v>
      </c>
      <c r="R940" s="51" t="s">
        <v>1551</v>
      </c>
      <c r="S940" s="51">
        <v>20</v>
      </c>
      <c r="T940" s="65"/>
      <c r="U940" s="65"/>
      <c r="V940" s="65"/>
      <c r="W940" s="51"/>
      <c r="X940" s="66" t="s">
        <v>1980</v>
      </c>
    </row>
    <row r="941" hidden="1" ht="27.75" customHeight="1" s="32" customFormat="1">
      <c r="A941" s="37"/>
      <c r="B941" s="31" t="s">
        <v>32</v>
      </c>
      <c r="C941" s="59" t="s">
        <v>1981</v>
      </c>
      <c r="D941" s="57" t="s">
        <v>30</v>
      </c>
      <c r="E941" s="57">
        <v>46133</v>
      </c>
      <c r="F941" s="38" t="str">
        <f>IF(C941&lt;&gt;"",VLOOKUP($C941,Carpetas!$C$5:$L$2060,2,FALSE),"")</f>
        <v>ECI019-26</v>
      </c>
      <c r="G941" s="38" t="s">
        <v>35</v>
      </c>
      <c r="H941" s="44">
        <f>IF(C941&lt;&gt;"",VLOOKUP($C941,Carpetas!$C$5:$L$2060,9,FALSE),"")</f>
        <v>1555694</v>
      </c>
      <c r="I941" s="51" t="str">
        <f>IF(C941&lt;&gt;"",VLOOKUP($C941,Carpetas!$C$5:$L$2060,5,FALSE),"")</f>
        <v>Andino</v>
      </c>
      <c r="J941" s="51" t="str">
        <f>IF(D941&lt;&gt;"",VLOOKUP($C941,Carpetas!$C$5:$L$2060,3,FALSE),"")</f>
        <v>Interbanana</v>
      </c>
      <c r="K941" s="50">
        <v>46149</v>
      </c>
      <c r="L941" s="39" t="str">
        <f>VLOOKUP($C941,Carpetas!$C$5:$L$2060,4,FALSE)</f>
        <v>Fray Bentos</v>
      </c>
      <c r="M941" s="55">
        <f t="shared" si="63"/>
        <v>46150</v>
      </c>
      <c r="N941" s="53">
        <f t="shared" si="64"/>
        <v>17</v>
      </c>
      <c r="O941" s="51">
        <v>1080</v>
      </c>
      <c r="P941" s="51">
        <v>3</v>
      </c>
      <c r="Q941" s="51">
        <v>1080</v>
      </c>
      <c r="R941" s="51">
        <v>20</v>
      </c>
      <c r="S941" s="51"/>
      <c r="T941" s="65"/>
      <c r="U941" s="65"/>
      <c r="V941" s="65"/>
      <c r="W941" s="51"/>
      <c r="X941" s="66" t="s">
        <v>1982</v>
      </c>
    </row>
    <row r="942" hidden="1" ht="27.75" customHeight="1" s="32" customFormat="1">
      <c r="A942" s="37"/>
      <c r="B942" s="31" t="s">
        <v>32</v>
      </c>
      <c r="C942" s="59" t="s">
        <v>1983</v>
      </c>
      <c r="D942" s="57" t="s">
        <v>30</v>
      </c>
      <c r="E942" s="57">
        <v>46133</v>
      </c>
      <c r="F942" s="38" t="str">
        <f>IF(C942&lt;&gt;"",VLOOKUP($C942,Carpetas!$C$5:$L$2060,2,FALSE),"")</f>
        <v>ECB015-26</v>
      </c>
      <c r="G942" s="38" t="s">
        <v>35</v>
      </c>
      <c r="H942" s="44">
        <f>IF(C942&lt;&gt;"",VLOOKUP($C942,Carpetas!$C$5:$L$2060,9,FALSE),"")</f>
        <v>1555310</v>
      </c>
      <c r="I942" s="51" t="str">
        <f>IF(C942&lt;&gt;"",VLOOKUP($C942,Carpetas!$C$5:$L$2060,5,FALSE),"")</f>
        <v>Andino</v>
      </c>
      <c r="J942" s="51" t="str">
        <f>IF(D942&lt;&gt;"",VLOOKUP($C942,Carpetas!$C$5:$L$2060,3,FALSE),"")</f>
        <v>Nobora Trading Group</v>
      </c>
      <c r="K942" s="50">
        <v>46149</v>
      </c>
      <c r="L942" s="39" t="str">
        <f>VLOOKUP($C942,Carpetas!$C$5:$L$2060,4,FALSE)</f>
        <v>Fray Bentos</v>
      </c>
      <c r="M942" s="55">
        <f t="shared" si="63"/>
        <v>46150</v>
      </c>
      <c r="N942" s="53">
        <f t="shared" si="64"/>
        <v>17</v>
      </c>
      <c r="O942" s="51">
        <v>1080</v>
      </c>
      <c r="P942" s="51">
        <v>5</v>
      </c>
      <c r="Q942" s="51" t="s">
        <v>439</v>
      </c>
      <c r="R942" s="51">
        <v>20</v>
      </c>
      <c r="S942" s="51"/>
      <c r="T942" s="65"/>
      <c r="U942" s="65">
        <v>0</v>
      </c>
      <c r="V942" s="65"/>
      <c r="W942" s="51"/>
      <c r="X942" s="66" t="s">
        <v>1984</v>
      </c>
    </row>
    <row r="943" hidden="1" ht="27.75" customHeight="1" s="32" customFormat="1">
      <c r="A943" s="37"/>
      <c r="B943" s="31" t="s">
        <v>32</v>
      </c>
      <c r="C943" s="59" t="s">
        <v>1983</v>
      </c>
      <c r="D943" s="57" t="s">
        <v>30</v>
      </c>
      <c r="E943" s="57">
        <v>46133</v>
      </c>
      <c r="F943" s="38" t="str">
        <f>IF(C943&lt;&gt;"",VLOOKUP($C943,Carpetas!$C$5:$L$2060,2,FALSE),"")</f>
        <v>ECB015-26</v>
      </c>
      <c r="G943" s="38" t="s">
        <v>35</v>
      </c>
      <c r="H943" s="44">
        <f>IF(C943&lt;&gt;"",VLOOKUP($C943,Carpetas!$C$5:$L$2060,9,FALSE),"")</f>
        <v>1555310</v>
      </c>
      <c r="I943" s="51" t="str">
        <f>IF(C943&lt;&gt;"",VLOOKUP($C943,Carpetas!$C$5:$L$2060,5,FALSE),"")</f>
        <v>Andino</v>
      </c>
      <c r="J943" s="51" t="str">
        <f>IF(D943&lt;&gt;"",VLOOKUP($C943,Carpetas!$C$5:$L$2060,3,FALSE),"")</f>
        <v>Nobora Trading Group</v>
      </c>
      <c r="K943" s="50">
        <v>46149</v>
      </c>
      <c r="L943" s="39" t="str">
        <f>VLOOKUP($C943,Carpetas!$C$5:$L$2060,4,FALSE)</f>
        <v>Fray Bentos</v>
      </c>
      <c r="M943" s="55">
        <f t="shared" si="63"/>
        <v>46150</v>
      </c>
      <c r="N943" s="53">
        <f t="shared" si="64"/>
        <v>17</v>
      </c>
      <c r="O943" s="51">
        <v>4320</v>
      </c>
      <c r="P943" s="51">
        <v>5</v>
      </c>
      <c r="Q943" s="51" t="s">
        <v>1724</v>
      </c>
      <c r="R943" s="51">
        <v>80</v>
      </c>
      <c r="S943" s="51"/>
      <c r="T943" s="65"/>
      <c r="U943" s="65">
        <v>0</v>
      </c>
      <c r="V943" s="65"/>
      <c r="W943" s="51"/>
      <c r="X943" s="66" t="s">
        <v>1985</v>
      </c>
    </row>
    <row r="944" hidden="1" ht="27.75" customHeight="1" s="32" customFormat="1">
      <c r="A944" s="37"/>
      <c r="B944" s="31" t="s">
        <v>32</v>
      </c>
      <c r="C944" s="59" t="s">
        <v>1981</v>
      </c>
      <c r="D944" s="57" t="s">
        <v>30</v>
      </c>
      <c r="E944" s="57">
        <v>46133</v>
      </c>
      <c r="F944" s="38" t="str">
        <f>IF(C944&lt;&gt;"",VLOOKUP($C944,Carpetas!$C$5:$L$2060,2,FALSE),"")</f>
        <v>ECI019-26</v>
      </c>
      <c r="G944" s="38" t="s">
        <v>35</v>
      </c>
      <c r="H944" s="44">
        <f>IF(C944&lt;&gt;"",VLOOKUP($C944,Carpetas!$C$5:$L$2060,9,FALSE),"")</f>
        <v>1555694</v>
      </c>
      <c r="I944" s="51" t="str">
        <f>IF(C944&lt;&gt;"",VLOOKUP($C944,Carpetas!$C$5:$L$2060,5,FALSE),"")</f>
        <v>Andino</v>
      </c>
      <c r="J944" s="51" t="str">
        <f>IF(D944&lt;&gt;"",VLOOKUP($C944,Carpetas!$C$5:$L$2060,3,FALSE),"")</f>
        <v>Interbanana</v>
      </c>
      <c r="K944" s="50">
        <v>46150</v>
      </c>
      <c r="L944" s="39" t="str">
        <f>VLOOKUP($C944,Carpetas!$C$5:$L$2060,4,FALSE)</f>
        <v>Fray Bentos</v>
      </c>
      <c r="M944" s="55">
        <f t="shared" si="63"/>
        <v>46151</v>
      </c>
      <c r="N944" s="53">
        <f t="shared" si="64"/>
        <v>18</v>
      </c>
      <c r="O944" s="51">
        <v>2160</v>
      </c>
      <c r="P944" s="51">
        <v>3</v>
      </c>
      <c r="Q944" s="51" t="s">
        <v>439</v>
      </c>
      <c r="R944" s="51">
        <v>40</v>
      </c>
      <c r="S944" s="51"/>
      <c r="T944" s="65"/>
      <c r="U944" s="65"/>
      <c r="V944" s="65"/>
      <c r="W944" s="51"/>
      <c r="X944" s="66" t="s">
        <v>1986</v>
      </c>
    </row>
    <row r="945" hidden="1" ht="27.75" customHeight="1" s="32" customFormat="1">
      <c r="A945" s="37"/>
      <c r="B945" s="31" t="s">
        <v>32</v>
      </c>
      <c r="C945" s="59" t="s">
        <v>1987</v>
      </c>
      <c r="D945" s="57" t="s">
        <v>30</v>
      </c>
      <c r="E945" s="57">
        <v>46147</v>
      </c>
      <c r="F945" s="38" t="str">
        <f>IF(C945&lt;&gt;"",VLOOKUP($C945,Carpetas!$C$5:$L$2060,2,FALSE),"")</f>
        <v>BOB030-26</v>
      </c>
      <c r="G945" s="38" t="s">
        <v>31</v>
      </c>
      <c r="H945" s="44">
        <f>IF(C945&lt;&gt;"",VLOOKUP($C945,Carpetas!$C$5:$L$2060,9,FALSE),"")</f>
        <v>0</v>
      </c>
      <c r="I945" s="51" t="str">
        <f>IF(C945&lt;&gt;"",VLOOKUP($C945,Carpetas!$C$5:$L$2060,5,FALSE),"")</f>
        <v>ESTRACOND S.R.L</v>
      </c>
      <c r="J945" s="51" t="str">
        <f>IF(D945&lt;&gt;"",VLOOKUP($C945,Carpetas!$C$5:$L$2060,3,FALSE),"")</f>
        <v>Berfrut</v>
      </c>
      <c r="K945" s="50">
        <f>E945+5</f>
        <v>46152</v>
      </c>
      <c r="L945" s="39" t="str">
        <f>VLOOKUP($C945,Carpetas!$C$5:$L$2060,4,FALSE)</f>
        <v>Salto</v>
      </c>
      <c r="M945" s="55">
        <f t="shared" si="63"/>
        <v>46153</v>
      </c>
      <c r="N945" s="53">
        <f t="shared" si="64"/>
        <v>6</v>
      </c>
      <c r="O945" s="51">
        <v>1050</v>
      </c>
      <c r="P945" s="51">
        <v>1</v>
      </c>
      <c r="Q945" s="51">
        <v>1050</v>
      </c>
      <c r="R945" s="51" t="s">
        <v>1988</v>
      </c>
      <c r="S945" s="51"/>
      <c r="T945" s="65"/>
      <c r="U945" s="65"/>
      <c r="V945" s="65" t="s">
        <v>1866</v>
      </c>
      <c r="W945" s="51"/>
      <c r="X945" s="66" t="s">
        <v>1989</v>
      </c>
      <c r="Y945" s="32" t="s">
        <v>1990</v>
      </c>
    </row>
    <row r="946" hidden="1" ht="27.75" customHeight="1" s="32" customFormat="1">
      <c r="A946" s="37"/>
      <c r="B946" s="31" t="s">
        <v>32</v>
      </c>
      <c r="C946" s="59" t="s">
        <v>1987</v>
      </c>
      <c r="D946" s="57" t="s">
        <v>30</v>
      </c>
      <c r="E946" s="57">
        <v>46147</v>
      </c>
      <c r="F946" s="38" t="str">
        <f>IF(C946&lt;&gt;"",VLOOKUP($C946,Carpetas!$C$5:$L$2060,2,FALSE),"")</f>
        <v>BOB030-26</v>
      </c>
      <c r="G946" s="38" t="s">
        <v>31</v>
      </c>
      <c r="H946" s="44">
        <f>IF(C946&lt;&gt;"",VLOOKUP($C946,Carpetas!$C$5:$L$2060,9,FALSE),"")</f>
        <v>0</v>
      </c>
      <c r="I946" s="51" t="str">
        <f>IF(C946&lt;&gt;"",VLOOKUP($C946,Carpetas!$C$5:$L$2060,5,FALSE),"")</f>
        <v>ESTRACOND S.R.L</v>
      </c>
      <c r="J946" s="51" t="str">
        <f>IF(D946&lt;&gt;"",VLOOKUP($C946,Carpetas!$C$5:$L$2060,3,FALSE),"")</f>
        <v>Berfrut</v>
      </c>
      <c r="K946" s="50">
        <v>46153</v>
      </c>
      <c r="L946" s="39" t="str">
        <f>VLOOKUP($C946,Carpetas!$C$5:$L$2060,4,FALSE)</f>
        <v>Salto</v>
      </c>
      <c r="M946" s="55">
        <f t="shared" si="63"/>
        <v>46154</v>
      </c>
      <c r="N946" s="53">
        <f t="shared" si="64"/>
        <v>7</v>
      </c>
      <c r="O946" s="51">
        <v>1050</v>
      </c>
      <c r="P946" s="51">
        <v>1</v>
      </c>
      <c r="Q946" s="51">
        <v>1050</v>
      </c>
      <c r="R946" s="51" t="s">
        <v>850</v>
      </c>
      <c r="S946" s="51">
        <v>21</v>
      </c>
      <c r="T946" s="65"/>
      <c r="U946" s="65"/>
      <c r="V946" s="65" t="s">
        <v>1691</v>
      </c>
      <c r="W946" s="51"/>
      <c r="X946" s="66" t="s">
        <v>1991</v>
      </c>
    </row>
    <row r="947" hidden="1" ht="27.75" customHeight="1" s="32" customFormat="1">
      <c r="A947" s="37"/>
      <c r="B947" s="31" t="s">
        <v>32</v>
      </c>
      <c r="C947" s="59" t="s">
        <v>1992</v>
      </c>
      <c r="D947" s="57" t="s">
        <v>1842</v>
      </c>
      <c r="E947" s="57">
        <v>46133</v>
      </c>
      <c r="F947" s="38" t="str">
        <f>IF(C947&lt;&gt;"",VLOOKUP($C947,Carpetas!$C$5:$L$2060,2,FALSE),"")</f>
        <v>ECBP002-26</v>
      </c>
      <c r="G947" s="38" t="s">
        <v>35</v>
      </c>
      <c r="H947" s="44">
        <f>IF(C947&lt;&gt;"",VLOOKUP($C947,Carpetas!$C$5:$L$2060,9,FALSE),"")</f>
        <v>1554458</v>
      </c>
      <c r="I947" s="51" t="str">
        <f>IF(C947&lt;&gt;"",VLOOKUP($C947,Carpetas!$C$5:$L$2060,5,FALSE),"")</f>
        <v>Andino</v>
      </c>
      <c r="J947" s="51" t="str">
        <f>IF(D947&lt;&gt;"",VLOOKUP($C947,Carpetas!$C$5:$L$2060,3,FALSE),"")</f>
        <v>Nobora Trading Group</v>
      </c>
      <c r="K947" s="50">
        <v>46153</v>
      </c>
      <c r="L947" s="39" t="str">
        <f>VLOOKUP($C947,Carpetas!$C$5:$L$2060,4,FALSE)</f>
        <v>Fray Bentos</v>
      </c>
      <c r="M947" s="55">
        <f t="shared" si="63"/>
        <v>46154</v>
      </c>
      <c r="N947" s="53">
        <f t="shared" si="64"/>
        <v>21</v>
      </c>
      <c r="O947" s="51">
        <v>1080</v>
      </c>
      <c r="P947" s="51">
        <v>1</v>
      </c>
      <c r="Q947" s="51">
        <v>1080</v>
      </c>
      <c r="R947" s="51">
        <v>20</v>
      </c>
      <c r="S947" s="51"/>
      <c r="T947" s="65"/>
      <c r="U947" s="65"/>
      <c r="V947" s="65">
        <v>666664</v>
      </c>
      <c r="W947" s="51"/>
      <c r="X947" s="66" t="s">
        <v>1993</v>
      </c>
    </row>
    <row r="948" hidden="1" ht="27.75" customHeight="1" s="32" customFormat="1">
      <c r="A948" s="37"/>
      <c r="B948" s="31" t="s">
        <v>32</v>
      </c>
      <c r="C948" s="59" t="s">
        <v>1994</v>
      </c>
      <c r="D948" s="57" t="s">
        <v>30</v>
      </c>
      <c r="E948" s="57">
        <v>46147</v>
      </c>
      <c r="F948" s="38" t="str">
        <f>IF(C948&lt;&gt;"",VLOOKUP($C948,Carpetas!$C$5:$L$2060,2,FALSE),"")</f>
        <v>BOB031-26</v>
      </c>
      <c r="G948" s="38" t="s">
        <v>31</v>
      </c>
      <c r="H948" s="44">
        <f>IF(C948&lt;&gt;"",VLOOKUP($C948,Carpetas!$C$5:$L$2060,9,FALSE),"")</f>
        <v>0</v>
      </c>
      <c r="I948" s="51" t="str">
        <f>IF(C948&lt;&gt;"",VLOOKUP($C948,Carpetas!$C$5:$L$2060,5,FALSE),"")</f>
        <v>Sintercargas </v>
      </c>
      <c r="J948" s="51" t="str">
        <f>IF(D948&lt;&gt;"",VLOOKUP($C948,Carpetas!$C$5:$L$2060,3,FALSE),"")</f>
        <v>Banexfrut</v>
      </c>
      <c r="K948" s="50">
        <v>46155</v>
      </c>
      <c r="L948" s="39" t="str">
        <f>VLOOKUP($C948,Carpetas!$C$5:$L$2060,4,FALSE)</f>
        <v>Salto</v>
      </c>
      <c r="M948" s="55">
        <f t="shared" si="63"/>
        <v>46156</v>
      </c>
      <c r="N948" s="53">
        <f t="shared" si="64"/>
        <v>9</v>
      </c>
      <c r="O948" s="51">
        <v>1050</v>
      </c>
      <c r="P948" s="51">
        <v>1</v>
      </c>
      <c r="Q948" s="51">
        <v>1050</v>
      </c>
      <c r="R948" s="51" t="s">
        <v>850</v>
      </c>
      <c r="S948" s="51"/>
      <c r="T948" s="65"/>
      <c r="U948" s="65"/>
      <c r="V948" s="65" t="s">
        <v>895</v>
      </c>
      <c r="W948" s="51"/>
      <c r="X948" s="66" t="s">
        <v>1995</v>
      </c>
    </row>
    <row r="949" hidden="1" ht="27.75" customHeight="1" s="32" customFormat="1">
      <c r="A949" s="37"/>
      <c r="B949" s="31" t="s">
        <v>32</v>
      </c>
      <c r="C949" s="59" t="s">
        <v>1996</v>
      </c>
      <c r="D949" s="57" t="s">
        <v>34</v>
      </c>
      <c r="E949" s="57">
        <v>46153</v>
      </c>
      <c r="F949" s="38" t="str">
        <f>IF(C949&lt;&gt;"",VLOOKUP($C949,Carpetas!$C$5:$L$2060,2,FALSE),"")</f>
        <v>PEA007-26</v>
      </c>
      <c r="G949" s="38" t="s">
        <v>216</v>
      </c>
      <c r="H949" s="44">
        <f>IF(C949&lt;&gt;"",VLOOKUP($C949,Carpetas!$C$5:$L$2060,9,FALSE),"")</f>
        <v>0</v>
      </c>
      <c r="I949" s="51" t="str">
        <f>IF(C949&lt;&gt;"",VLOOKUP($C949,Carpetas!$C$5:$L$2060,5,FALSE),"")</f>
        <v>Ciatran</v>
      </c>
      <c r="J949" s="51" t="str">
        <f>IF(D949&lt;&gt;"",VLOOKUP($C949,Carpetas!$C$5:$L$2060,3,FALSE),"")</f>
        <v>Camposol</v>
      </c>
      <c r="K949" s="50">
        <v>46156</v>
      </c>
      <c r="L949" s="39" t="str">
        <f>VLOOKUP($C949,Carpetas!$C$5:$L$2060,4,FALSE)</f>
        <v>Carrasco</v>
      </c>
      <c r="M949" s="55">
        <f t="shared" si="63"/>
        <v>46157</v>
      </c>
      <c r="N949" s="53">
        <f t="shared" si="64"/>
        <v>4</v>
      </c>
      <c r="O949" s="51">
        <v>960</v>
      </c>
      <c r="P949" s="51">
        <v>1</v>
      </c>
      <c r="Q949" s="51">
        <v>960</v>
      </c>
      <c r="R949" s="51"/>
      <c r="S949" s="51"/>
      <c r="T949" s="65"/>
      <c r="U949" s="65"/>
      <c r="V949" s="65" t="s">
        <v>1940</v>
      </c>
      <c r="W949" s="51"/>
      <c r="X949" s="66" t="s">
        <v>1997</v>
      </c>
    </row>
    <row r="950" hidden="1" ht="27.75" customHeight="1" s="32" customFormat="1">
      <c r="A950" s="37"/>
      <c r="B950" s="31" t="s">
        <v>32</v>
      </c>
      <c r="C950" s="59" t="s">
        <v>1998</v>
      </c>
      <c r="D950" s="57" t="s">
        <v>30</v>
      </c>
      <c r="E950" s="57">
        <v>46139</v>
      </c>
      <c r="F950" s="38" t="str">
        <f>IF(C950&lt;&gt;"",VLOOKUP($C950,Carpetas!$C$5:$L$2060,2,FALSE),"")</f>
        <v>ECI020-26</v>
      </c>
      <c r="G950" s="38" t="s">
        <v>43</v>
      </c>
      <c r="H950" s="44">
        <f>IF(C950&lt;&gt;"",VLOOKUP($C950,Carpetas!$C$5:$L$2060,9,FALSE),"")</f>
        <v>1556212</v>
      </c>
      <c r="I950" s="51" t="str">
        <f>IF(C950&lt;&gt;"",VLOOKUP($C950,Carpetas!$C$5:$L$2060,5,FALSE),"")</f>
        <v>Andino</v>
      </c>
      <c r="J950" s="51" t="str">
        <f>IF(D950&lt;&gt;"",VLOOKUP($C950,Carpetas!$C$5:$L$2060,3,FALSE),"")</f>
        <v>Interbanana</v>
      </c>
      <c r="K950" s="50">
        <v>46157</v>
      </c>
      <c r="L950" s="39" t="str">
        <f>VLOOKUP($C950,Carpetas!$C$5:$L$2060,4,FALSE)</f>
        <v>Fray Bentos</v>
      </c>
      <c r="M950" s="55">
        <f t="shared" si="63"/>
        <v>46158</v>
      </c>
      <c r="N950" s="53">
        <f t="shared" si="64"/>
        <v>19</v>
      </c>
      <c r="O950" s="51">
        <v>3240</v>
      </c>
      <c r="P950" s="51">
        <v>1</v>
      </c>
      <c r="Q950" s="51" t="s">
        <v>1594</v>
      </c>
      <c r="R950" s="51">
        <v>60</v>
      </c>
      <c r="S950" s="51"/>
      <c r="T950" s="65"/>
      <c r="U950" s="65"/>
      <c r="V950" s="65"/>
      <c r="W950" s="51"/>
      <c r="X950" s="66" t="s">
        <v>1999</v>
      </c>
    </row>
    <row r="951" hidden="1" ht="27.75" customHeight="1" s="32" customFormat="1">
      <c r="A951" s="37"/>
      <c r="B951" s="31" t="s">
        <v>32</v>
      </c>
      <c r="C951" s="59" t="s">
        <v>2000</v>
      </c>
      <c r="D951" s="57" t="s">
        <v>30</v>
      </c>
      <c r="E951" s="57">
        <v>46139</v>
      </c>
      <c r="F951" s="38" t="str">
        <f>IF(C951&lt;&gt;"",VLOOKUP($C951,Carpetas!$C$5:$L$2060,2,FALSE),"")</f>
        <v>ECI021-26</v>
      </c>
      <c r="G951" s="38" t="s">
        <v>43</v>
      </c>
      <c r="H951" s="44">
        <f>IF(C951&lt;&gt;"",VLOOKUP($C951,Carpetas!$C$5:$L$2060,9,FALSE),"")</f>
        <v>1556212</v>
      </c>
      <c r="I951" s="51" t="str">
        <f>IF(C951&lt;&gt;"",VLOOKUP($C951,Carpetas!$C$5:$L$2060,5,FALSE),"")</f>
        <v>Andino</v>
      </c>
      <c r="J951" s="51" t="str">
        <f>IF(D951&lt;&gt;"",VLOOKUP($C951,Carpetas!$C$5:$L$2060,3,FALSE),"")</f>
        <v>Interbanana</v>
      </c>
      <c r="K951" s="50">
        <v>46157</v>
      </c>
      <c r="L951" s="39" t="str">
        <f>VLOOKUP($C951,Carpetas!$C$5:$L$2060,4,FALSE)</f>
        <v>Fray Bentos</v>
      </c>
      <c r="M951" s="55">
        <f t="shared" si="63"/>
        <v>46158</v>
      </c>
      <c r="N951" s="53">
        <f t="shared" si="64"/>
        <v>19</v>
      </c>
      <c r="O951" s="51">
        <v>2160</v>
      </c>
      <c r="P951" s="51">
        <v>1</v>
      </c>
      <c r="Q951" s="51" t="s">
        <v>439</v>
      </c>
      <c r="R951" s="51">
        <v>40</v>
      </c>
      <c r="S951" s="51"/>
      <c r="T951" s="65"/>
      <c r="U951" s="65"/>
      <c r="V951" s="65"/>
      <c r="W951" s="51"/>
      <c r="X951" s="66" t="s">
        <v>1999</v>
      </c>
    </row>
    <row r="952" hidden="1" ht="27.75" customHeight="1" s="32" customFormat="1">
      <c r="A952" s="37"/>
      <c r="B952" s="31" t="s">
        <v>32</v>
      </c>
      <c r="C952" s="59" t="s">
        <v>2001</v>
      </c>
      <c r="D952" s="57" t="s">
        <v>30</v>
      </c>
      <c r="E952" s="57">
        <v>46139</v>
      </c>
      <c r="F952" s="38" t="str">
        <f>IF(C952&lt;&gt;"",VLOOKUP($C952,Carpetas!$C$5:$L$2060,2,FALSE),"")</f>
        <v>ECI022-26</v>
      </c>
      <c r="G952" s="38" t="s">
        <v>43</v>
      </c>
      <c r="H952" s="44">
        <f>IF(C952&lt;&gt;"",VLOOKUP($C952,Carpetas!$C$5:$L$2060,9,FALSE),"")</f>
        <v>1556212</v>
      </c>
      <c r="I952" s="51" t="str">
        <f>IF(C952&lt;&gt;"",VLOOKUP($C952,Carpetas!$C$5:$L$2060,5,FALSE),"")</f>
        <v>Andino</v>
      </c>
      <c r="J952" s="51" t="str">
        <f>IF(D952&lt;&gt;"",VLOOKUP($C952,Carpetas!$C$5:$L$2060,3,FALSE),"")</f>
        <v>Interbanana</v>
      </c>
      <c r="K952" s="50">
        <v>46157</v>
      </c>
      <c r="L952" s="39" t="str">
        <f>VLOOKUP($C952,Carpetas!$C$5:$L$2060,4,FALSE)</f>
        <v>Fray Bentos</v>
      </c>
      <c r="M952" s="55">
        <f t="shared" si="63"/>
        <v>46158</v>
      </c>
      <c r="N952" s="53">
        <f t="shared" si="64"/>
        <v>19</v>
      </c>
      <c r="O952" s="51">
        <v>2160</v>
      </c>
      <c r="P952" s="51">
        <v>1</v>
      </c>
      <c r="Q952" s="51" t="s">
        <v>439</v>
      </c>
      <c r="R952" s="51">
        <v>40</v>
      </c>
      <c r="S952" s="51"/>
      <c r="T952" s="65"/>
      <c r="U952" s="65"/>
      <c r="V952" s="65"/>
      <c r="W952" s="51"/>
      <c r="X952" s="66" t="s">
        <v>1999</v>
      </c>
    </row>
    <row r="953" hidden="1" ht="27.75" customHeight="1" s="32" customFormat="1">
      <c r="A953" s="37"/>
      <c r="B953" s="31" t="s">
        <v>32</v>
      </c>
      <c r="C953" s="59" t="s">
        <v>2002</v>
      </c>
      <c r="D953" s="57" t="s">
        <v>42</v>
      </c>
      <c r="E953" s="57">
        <v>46133</v>
      </c>
      <c r="F953" s="38" t="str">
        <f>IF(C953&lt;&gt;"",VLOOKUP($C953,Carpetas!$C$5:$L$2060,2,FALSE),"")</f>
        <v>ECA010-26</v>
      </c>
      <c r="G953" s="38" t="s">
        <v>43</v>
      </c>
      <c r="H953" s="44">
        <f>IF(C953&lt;&gt;"",VLOOKUP($C953,Carpetas!$C$5:$L$2060,9,FALSE),"")</f>
        <v>1555301</v>
      </c>
      <c r="I953" s="51" t="str">
        <f>IF(C953&lt;&gt;"",VLOOKUP($C953,Carpetas!$C$5:$L$2060,5,FALSE),"")</f>
        <v>Andino</v>
      </c>
      <c r="J953" s="51" t="str">
        <f>IF(D953&lt;&gt;"",VLOOKUP($C953,Carpetas!$C$5:$L$2060,3,FALSE),"")</f>
        <v>Agroeden</v>
      </c>
      <c r="K953" s="50">
        <v>46157</v>
      </c>
      <c r="L953" s="39" t="str">
        <f>VLOOKUP($C953,Carpetas!$C$5:$L$2060,4,FALSE)</f>
        <v>Fray Bentos</v>
      </c>
      <c r="M953" s="55">
        <f t="shared" si="63"/>
        <v>46158</v>
      </c>
      <c r="N953" s="53">
        <f t="shared" si="64"/>
        <v>25</v>
      </c>
      <c r="O953" s="51">
        <v>1680</v>
      </c>
      <c r="P953" s="51">
        <v>1</v>
      </c>
      <c r="Q953" s="51">
        <v>1680</v>
      </c>
      <c r="R953" s="51">
        <v>21</v>
      </c>
      <c r="S953" s="51"/>
      <c r="T953" s="65"/>
      <c r="U953" s="65"/>
      <c r="V953" s="65"/>
      <c r="W953" s="51"/>
      <c r="X953" s="66" t="s">
        <v>2003</v>
      </c>
    </row>
    <row r="954" hidden="1" ht="27.75" customHeight="1" s="32" customFormat="1">
      <c r="A954" s="37"/>
      <c r="B954" s="31" t="s">
        <v>32</v>
      </c>
      <c r="C954" s="59" t="s">
        <v>2004</v>
      </c>
      <c r="D954" s="57" t="s">
        <v>30</v>
      </c>
      <c r="E954" s="57">
        <v>46139</v>
      </c>
      <c r="F954" s="38" t="str">
        <f>IF(C954&lt;&gt;"",VLOOKUP($C954,Carpetas!$C$5:$L$2060,2,FALSE),"")</f>
        <v>ECE008-26</v>
      </c>
      <c r="G954" s="38" t="s">
        <v>43</v>
      </c>
      <c r="H954" s="44">
        <f>IF(C954&lt;&gt;"",VLOOKUP($C954,Carpetas!$C$5:$L$2060,9,FALSE),"")</f>
        <v>1554274</v>
      </c>
      <c r="I954" s="51" t="str">
        <f>IF(C954&lt;&gt;"",VLOOKUP($C954,Carpetas!$C$5:$L$2060,5,FALSE),"")</f>
        <v>Andino</v>
      </c>
      <c r="J954" s="51" t="str">
        <f>IF(D954&lt;&gt;"",VLOOKUP($C954,Carpetas!$C$5:$L$2060,3,FALSE),"")</f>
        <v>Exporsweet</v>
      </c>
      <c r="K954" s="50">
        <v>46158</v>
      </c>
      <c r="L954" s="39" t="str">
        <f>VLOOKUP($C954,Carpetas!$C$5:$L$2060,4,FALSE)</f>
        <v>Fray Bentos</v>
      </c>
      <c r="M954" s="55">
        <v>46160</v>
      </c>
      <c r="N954" s="53">
        <f t="shared" si="64"/>
        <v>21</v>
      </c>
      <c r="O954" s="51">
        <v>1080</v>
      </c>
      <c r="P954" s="51">
        <v>1</v>
      </c>
      <c r="Q954" s="51">
        <v>1080</v>
      </c>
      <c r="R954" s="51">
        <v>20</v>
      </c>
      <c r="S954" s="51"/>
      <c r="T954" s="65"/>
      <c r="U954" s="65"/>
      <c r="V954" s="65"/>
      <c r="W954" s="51"/>
      <c r="X954" s="66" t="s">
        <v>2005</v>
      </c>
    </row>
    <row r="955" hidden="1" ht="27.75" customHeight="1" s="32" customFormat="1">
      <c r="A955" s="37"/>
      <c r="B955" s="31" t="s">
        <v>32</v>
      </c>
      <c r="C955" s="59" t="s">
        <v>2006</v>
      </c>
      <c r="D955" s="57" t="s">
        <v>37</v>
      </c>
      <c r="E955" s="57">
        <v>46155</v>
      </c>
      <c r="F955" s="38" t="str">
        <f>IF(C955&lt;&gt;"",VLOOKUP($C955,Carpetas!$C$5:$L$2060,2,FALSE),"")</f>
        <v>CLK003/26</v>
      </c>
      <c r="G955" s="38" t="s">
        <v>35</v>
      </c>
      <c r="H955" s="44">
        <f>IF(C955&lt;&gt;"",VLOOKUP($C955,Carpetas!$C$5:$L$2060,9,FALSE),"")</f>
        <v>1558216</v>
      </c>
      <c r="I955" s="51" t="str">
        <f>IF(C955&lt;&gt;"",VLOOKUP($C955,Carpetas!$C$5:$L$2060,5,FALSE),"")</f>
        <v>Sarla y Ramon</v>
      </c>
      <c r="J955" s="51" t="str">
        <f>IF(D955&lt;&gt;"",VLOOKUP($C955,Carpetas!$C$5:$L$2060,3,FALSE),"")</f>
        <v>Coopefrut</v>
      </c>
      <c r="K955" s="50">
        <v>46158</v>
      </c>
      <c r="L955" s="39" t="str">
        <f>VLOOKUP($C955,Carpetas!$C$5:$L$2060,4,FALSE)</f>
        <v>Fray Bentos</v>
      </c>
      <c r="M955" s="55">
        <v>46160</v>
      </c>
      <c r="N955" s="53">
        <f t="shared" si="64"/>
        <v>5</v>
      </c>
      <c r="O955" s="51">
        <v>2256</v>
      </c>
      <c r="P955" s="51">
        <v>1</v>
      </c>
      <c r="Q955" s="51">
        <v>2256</v>
      </c>
      <c r="R955" s="51">
        <v>22</v>
      </c>
      <c r="S955" s="51"/>
      <c r="T955" s="65"/>
      <c r="U955" s="65"/>
      <c r="V955" s="65"/>
      <c r="W955" s="51"/>
      <c r="X955" s="66" t="s">
        <v>2007</v>
      </c>
    </row>
    <row r="956" hidden="1" ht="27.75" customHeight="1" s="32" customFormat="1">
      <c r="A956" s="37"/>
      <c r="B956" s="31" t="s">
        <v>32</v>
      </c>
      <c r="C956" s="59" t="s">
        <v>2008</v>
      </c>
      <c r="D956" s="57" t="s">
        <v>42</v>
      </c>
      <c r="E956" s="57">
        <v>46146</v>
      </c>
      <c r="F956" s="38" t="str">
        <f>IF(C956&lt;&gt;"",VLOOKUP($C956,Carpetas!$C$5:$L$2060,2,FALSE),"")</f>
        <v>ECA011-26</v>
      </c>
      <c r="G956" s="38" t="s">
        <v>43</v>
      </c>
      <c r="H956" s="44">
        <f>IF(C956&lt;&gt;"",VLOOKUP($C956,Carpetas!$C$5:$L$2060,9,FALSE),"")</f>
        <v>1556835</v>
      </c>
      <c r="I956" s="51" t="str">
        <f>IF(C956&lt;&gt;"",VLOOKUP($C956,Carpetas!$C$5:$L$2060,5,FALSE),"")</f>
        <v>Andino</v>
      </c>
      <c r="J956" s="51" t="str">
        <f>IF(D956&lt;&gt;"",VLOOKUP($C956,Carpetas!$C$5:$L$2060,3,FALSE),"")</f>
        <v>Agroeden</v>
      </c>
      <c r="K956" s="50">
        <v>46162</v>
      </c>
      <c r="L956" s="39" t="str">
        <f>VLOOKUP($C956,Carpetas!$C$5:$L$2060,4,FALSE)</f>
        <v>Fray Bentos</v>
      </c>
      <c r="M956" s="55">
        <f>K956+1</f>
        <v>46163</v>
      </c>
      <c r="N956" s="53">
        <f t="shared" si="64"/>
        <v>17</v>
      </c>
      <c r="O956" s="51">
        <v>1680</v>
      </c>
      <c r="P956" s="51">
        <v>1</v>
      </c>
      <c r="Q956" s="51">
        <v>1680</v>
      </c>
      <c r="R956" s="51">
        <v>21</v>
      </c>
      <c r="S956" s="51"/>
      <c r="T956" s="65"/>
      <c r="U956" s="65"/>
      <c r="V956" s="65"/>
      <c r="W956" s="51"/>
      <c r="X956" s="66" t="s">
        <v>2009</v>
      </c>
    </row>
    <row r="957" hidden="1" ht="27.75" customHeight="1" s="32" customFormat="1">
      <c r="A957" s="37"/>
      <c r="B957" s="31" t="s">
        <v>32</v>
      </c>
      <c r="C957" s="59" t="s">
        <v>2010</v>
      </c>
      <c r="D957" s="57" t="s">
        <v>30</v>
      </c>
      <c r="E957" s="57">
        <v>46146</v>
      </c>
      <c r="F957" s="38" t="str">
        <f>IF(C957&lt;&gt;"",VLOOKUP($C957,Carpetas!$C$5:$L$2060,2,FALSE),"")</f>
        <v>ECI023-26</v>
      </c>
      <c r="G957" s="38" t="s">
        <v>43</v>
      </c>
      <c r="H957" s="44">
        <f>IF(C957&lt;&gt;"",VLOOKUP($C957,Carpetas!$C$5:$L$2060,9,FALSE),"")</f>
        <v>1556213</v>
      </c>
      <c r="I957" s="51" t="str">
        <f>IF(C957&lt;&gt;"",VLOOKUP($C957,Carpetas!$C$5:$L$2060,5,FALSE),"")</f>
        <v>Andino</v>
      </c>
      <c r="J957" s="51" t="str">
        <f>IF(D957&lt;&gt;"",VLOOKUP($C957,Carpetas!$C$5:$L$2060,3,FALSE),"")</f>
        <v>Interbanana</v>
      </c>
      <c r="K957" s="50">
        <v>46163</v>
      </c>
      <c r="L957" s="39" t="str">
        <f>VLOOKUP($C957,Carpetas!$C$5:$L$2060,4,FALSE)</f>
        <v>Fray Bentos</v>
      </c>
      <c r="M957" s="55">
        <f>K957+1</f>
        <v>46164</v>
      </c>
      <c r="N957" s="53">
        <f t="shared" si="64"/>
        <v>18</v>
      </c>
      <c r="O957" s="51">
        <v>1080</v>
      </c>
      <c r="P957" s="51">
        <v>1</v>
      </c>
      <c r="Q957" s="51">
        <v>1080</v>
      </c>
      <c r="R957" s="51">
        <v>20</v>
      </c>
      <c r="S957" s="51"/>
      <c r="T957" s="65"/>
      <c r="U957" s="65"/>
      <c r="V957" s="65"/>
      <c r="W957" s="51"/>
      <c r="X957" s="66" t="s">
        <v>2011</v>
      </c>
    </row>
    <row r="958" hidden="1" ht="27.75" customHeight="1" s="32" customFormat="1">
      <c r="A958" s="37"/>
      <c r="B958" s="31" t="s">
        <v>32</v>
      </c>
      <c r="C958" s="59" t="s">
        <v>2012</v>
      </c>
      <c r="D958" s="57" t="s">
        <v>34</v>
      </c>
      <c r="E958" s="57">
        <v>46160</v>
      </c>
      <c r="F958" s="38" t="str">
        <f>IF(C958&lt;&gt;"",VLOOKUP($C958,Carpetas!$C$5:$L$2060,2,FALSE),"")</f>
        <v>PEA008-26</v>
      </c>
      <c r="G958" s="38" t="s">
        <v>216</v>
      </c>
      <c r="H958" s="44">
        <f>IF(C958&lt;&gt;"",VLOOKUP($C958,Carpetas!$C$5:$L$2060,9,FALSE),"")</f>
        <v>0</v>
      </c>
      <c r="I958" s="51" t="str">
        <f>IF(C958&lt;&gt;"",VLOOKUP($C958,Carpetas!$C$5:$L$2060,5,FALSE),"")</f>
        <v>Ciatran</v>
      </c>
      <c r="J958" s="51" t="str">
        <f>IF(D958&lt;&gt;"",VLOOKUP($C958,Carpetas!$C$5:$L$2060,3,FALSE),"")</f>
        <v>Camposol</v>
      </c>
      <c r="K958" s="50">
        <v>46163</v>
      </c>
      <c r="L958" s="39" t="str">
        <f>VLOOKUP($C958,Carpetas!$C$5:$L$2060,4,FALSE)</f>
        <v>Carrasco</v>
      </c>
      <c r="M958" s="55">
        <f>K958+1</f>
        <v>46164</v>
      </c>
      <c r="N958" s="53">
        <f t="shared" si="64"/>
        <v>4</v>
      </c>
      <c r="O958" s="51">
        <v>960</v>
      </c>
      <c r="P958" s="51">
        <v>1</v>
      </c>
      <c r="Q958" s="51">
        <v>960</v>
      </c>
      <c r="R958" s="51"/>
      <c r="S958" s="51">
        <v>10</v>
      </c>
      <c r="T958" s="65"/>
      <c r="U958" s="65"/>
      <c r="V958" s="65" t="s">
        <v>2013</v>
      </c>
      <c r="W958" s="51"/>
      <c r="X958" s="66" t="s">
        <v>2014</v>
      </c>
    </row>
    <row r="959" hidden="1" ht="27.75" customHeight="1" s="32" customFormat="1">
      <c r="A959" s="37"/>
      <c r="B959" s="31" t="s">
        <v>32</v>
      </c>
      <c r="C959" s="59" t="s">
        <v>2015</v>
      </c>
      <c r="D959" s="57" t="s">
        <v>1842</v>
      </c>
      <c r="E959" s="57">
        <v>46146</v>
      </c>
      <c r="F959" s="38" t="str">
        <f>IF(C959&lt;&gt;"",VLOOKUP($C959,Carpetas!$C$5:$L$2060,2,FALSE),"")</f>
        <v>ECBP003-26</v>
      </c>
      <c r="G959" s="38" t="s">
        <v>43</v>
      </c>
      <c r="H959" s="44">
        <f>IF(C959&lt;&gt;"",VLOOKUP($C959,Carpetas!$C$5:$L$2060,9,FALSE),"")</f>
        <v>1554458</v>
      </c>
      <c r="I959" s="51" t="str">
        <f>IF(C959&lt;&gt;"",VLOOKUP($C959,Carpetas!$C$5:$L$2060,5,FALSE),"")</f>
        <v>Andino</v>
      </c>
      <c r="J959" s="51" t="str">
        <f>IF(D959&lt;&gt;"",VLOOKUP($C959,Carpetas!$C$5:$L$2060,3,FALSE),"")</f>
        <v>Nobora Trading Group</v>
      </c>
      <c r="K959" s="50">
        <v>46163</v>
      </c>
      <c r="L959" s="39" t="str">
        <f>VLOOKUP($C959,Carpetas!$C$5:$L$2060,4,FALSE)</f>
        <v>Fray Bentos</v>
      </c>
      <c r="M959" s="55">
        <v>46164</v>
      </c>
      <c r="N959" s="53">
        <f t="shared" si="64"/>
        <v>18</v>
      </c>
      <c r="O959" s="51">
        <v>1080</v>
      </c>
      <c r="P959" s="51">
        <v>1</v>
      </c>
      <c r="Q959" s="51">
        <v>1080</v>
      </c>
      <c r="R959" s="51">
        <v>20</v>
      </c>
      <c r="S959" s="51"/>
      <c r="T959" s="65"/>
      <c r="U959" s="65"/>
      <c r="V959" s="65"/>
      <c r="W959" s="51"/>
      <c r="X959" s="66" t="s">
        <v>2016</v>
      </c>
    </row>
    <row r="960" hidden="1" ht="27.75" customHeight="1" s="32" customFormat="1">
      <c r="A960" s="37"/>
      <c r="B960" s="31" t="s">
        <v>32</v>
      </c>
      <c r="C960" s="59" t="s">
        <v>2017</v>
      </c>
      <c r="D960" s="57" t="s">
        <v>30</v>
      </c>
      <c r="E960" s="57">
        <v>46146</v>
      </c>
      <c r="F960" s="38" t="str">
        <f>IF(C960&lt;&gt;"",VLOOKUP($C960,Carpetas!$C$5:$L$2060,2,FALSE),"")</f>
        <v>ECB016-26</v>
      </c>
      <c r="G960" s="38" t="s">
        <v>43</v>
      </c>
      <c r="H960" s="44">
        <f>IF(C960&lt;&gt;"",VLOOKUP($C960,Carpetas!$C$5:$L$2060,9,FALSE),"")</f>
        <v>1556834</v>
      </c>
      <c r="I960" s="51" t="str">
        <f>IF(C960&lt;&gt;"",VLOOKUP($C960,Carpetas!$C$5:$L$2060,5,FALSE),"")</f>
        <v>Andino</v>
      </c>
      <c r="J960" s="51" t="str">
        <f>IF(D960&lt;&gt;"",VLOOKUP($C960,Carpetas!$C$5:$L$2060,3,FALSE),"")</f>
        <v>Nobora Trading Group</v>
      </c>
      <c r="K960" s="50">
        <v>46164</v>
      </c>
      <c r="L960" s="39" t="str">
        <f>VLOOKUP($C960,Carpetas!$C$5:$L$2060,4,FALSE)</f>
        <v>Fray Bentos</v>
      </c>
      <c r="M960" s="55">
        <v>46164</v>
      </c>
      <c r="N960" s="53">
        <f t="shared" si="64"/>
        <v>18</v>
      </c>
      <c r="O960" s="51">
        <v>1080</v>
      </c>
      <c r="P960" s="51">
        <v>1</v>
      </c>
      <c r="Q960" s="51">
        <v>1080</v>
      </c>
      <c r="R960" s="51">
        <v>20</v>
      </c>
      <c r="S960" s="51"/>
      <c r="T960" s="65"/>
      <c r="U960" s="65"/>
      <c r="V960" s="65"/>
      <c r="W960" s="51"/>
      <c r="X960" s="66" t="s">
        <v>2018</v>
      </c>
    </row>
    <row r="961" hidden="1" ht="27.75" customHeight="1" s="32" customFormat="1">
      <c r="A961" s="37"/>
      <c r="B961" s="31" t="s">
        <v>32</v>
      </c>
      <c r="C961" s="59" t="s">
        <v>2017</v>
      </c>
      <c r="D961" s="57" t="s">
        <v>30</v>
      </c>
      <c r="E961" s="57">
        <v>46146</v>
      </c>
      <c r="F961" s="38" t="str">
        <f>IF(C961&lt;&gt;"",VLOOKUP($C961,Carpetas!$C$5:$L$2060,2,FALSE),"")</f>
        <v>ECB016-26</v>
      </c>
      <c r="G961" s="38" t="s">
        <v>43</v>
      </c>
      <c r="H961" s="44">
        <f>IF(C961&lt;&gt;"",VLOOKUP($C961,Carpetas!$C$5:$L$2060,9,FALSE),"")</f>
        <v>1556834</v>
      </c>
      <c r="I961" s="51" t="str">
        <f>IF(C961&lt;&gt;"",VLOOKUP($C961,Carpetas!$C$5:$L$2060,5,FALSE),"")</f>
        <v>Andino</v>
      </c>
      <c r="J961" s="51" t="str">
        <f>IF(D961&lt;&gt;"",VLOOKUP($C961,Carpetas!$C$5:$L$2060,3,FALSE),"")</f>
        <v>Nobora Trading Group</v>
      </c>
      <c r="K961" s="50">
        <v>46163</v>
      </c>
      <c r="L961" s="39" t="str">
        <f>VLOOKUP($C961,Carpetas!$C$5:$L$2060,4,FALSE)</f>
        <v>Fray Bentos</v>
      </c>
      <c r="M961" s="55">
        <v>46165</v>
      </c>
      <c r="N961" s="53">
        <f t="shared" si="64"/>
        <v>19</v>
      </c>
      <c r="O961" s="51">
        <v>3240</v>
      </c>
      <c r="P961" s="51">
        <v>4</v>
      </c>
      <c r="Q961" s="51" t="s">
        <v>1594</v>
      </c>
      <c r="R961" s="51">
        <v>60</v>
      </c>
      <c r="S961" s="51"/>
      <c r="T961" s="65"/>
      <c r="U961" s="65"/>
      <c r="V961" s="65" t="s">
        <v>55</v>
      </c>
      <c r="W961" s="51"/>
      <c r="X961" s="66" t="s">
        <v>2019</v>
      </c>
    </row>
    <row r="962" hidden="1" ht="27.75" customHeight="1" s="32" customFormat="1">
      <c r="A962" s="37"/>
      <c r="B962" s="31" t="s">
        <v>32</v>
      </c>
      <c r="C962" s="59" t="s">
        <v>2020</v>
      </c>
      <c r="D962" s="57" t="s">
        <v>34</v>
      </c>
      <c r="E962" s="57">
        <v>46167</v>
      </c>
      <c r="F962" s="38" t="str">
        <f>IF(C962&lt;&gt;"",VLOOKUP($C962,Carpetas!$C$5:$L$2060,2,FALSE),"")</f>
        <v>PEA009-26</v>
      </c>
      <c r="G962" s="38" t="s">
        <v>216</v>
      </c>
      <c r="H962" s="44">
        <f>IF(C962&lt;&gt;"",VLOOKUP($C962,Carpetas!$C$5:$L$2060,9,FALSE),"")</f>
        <v>0</v>
      </c>
      <c r="I962" s="51" t="str">
        <f>IF(C962&lt;&gt;"",VLOOKUP($C962,Carpetas!$C$5:$L$2060,5,FALSE),"")</f>
        <v>Ciatran</v>
      </c>
      <c r="J962" s="51" t="str">
        <f>IF(D962&lt;&gt;"",VLOOKUP($C962,Carpetas!$C$5:$L$2060,3,FALSE),"")</f>
        <v>Camposol</v>
      </c>
      <c r="K962" s="50">
        <v>46169</v>
      </c>
      <c r="L962" s="39" t="str">
        <f>VLOOKUP($C962,Carpetas!$C$5:$L$2060,4,FALSE)</f>
        <v>Carrasco</v>
      </c>
      <c r="M962" s="55">
        <v>46171</v>
      </c>
      <c r="N962" s="53">
        <f t="shared" si="64"/>
        <v>4</v>
      </c>
      <c r="O962" s="51">
        <v>960</v>
      </c>
      <c r="P962" s="51">
        <v>1</v>
      </c>
      <c r="Q962" s="51"/>
      <c r="R962" s="51"/>
      <c r="S962" s="51"/>
      <c r="T962" s="65"/>
      <c r="U962" s="65"/>
      <c r="V962" s="65"/>
      <c r="W962" s="51"/>
      <c r="X962" s="66"/>
    </row>
    <row r="963" hidden="1" ht="27.75" customHeight="1" s="32" customFormat="1">
      <c r="A963" s="37"/>
      <c r="B963" s="31" t="s">
        <v>32</v>
      </c>
      <c r="C963" s="59" t="s">
        <v>2021</v>
      </c>
      <c r="D963" s="57" t="s">
        <v>30</v>
      </c>
      <c r="E963" s="57">
        <v>46154</v>
      </c>
      <c r="F963" s="38" t="str">
        <f>IF(C963&lt;&gt;"",VLOOKUP($C963,Carpetas!$C$5:$L$2060,2,FALSE),"")</f>
        <v>ECB017/26</v>
      </c>
      <c r="G963" s="38" t="s">
        <v>43</v>
      </c>
      <c r="H963" s="44">
        <f>IF(C963&lt;&gt;"",VLOOKUP($C963,Carpetas!$C$5:$L$2060,9,FALSE),"")</f>
        <v>1557390</v>
      </c>
      <c r="I963" s="51" t="str">
        <f>IF(C963&lt;&gt;"",VLOOKUP($C963,Carpetas!$C$5:$L$2060,5,FALSE),"")</f>
        <v>Andino</v>
      </c>
      <c r="J963" s="51" t="str">
        <f>IF(D963&lt;&gt;"",VLOOKUP($C963,Carpetas!$C$5:$L$2060,3,FALSE),"")</f>
        <v>Nobora Trading Group</v>
      </c>
      <c r="K963" s="50">
        <v>46170</v>
      </c>
      <c r="L963" s="39" t="str">
        <f>VLOOKUP($C963,Carpetas!$C$5:$L$2060,4,FALSE)</f>
        <v>Fray Bentos</v>
      </c>
      <c r="M963" s="55">
        <f ref="M963:M971" t="shared" si="65">K963+1</f>
        <v>46171</v>
      </c>
      <c r="N963" s="53">
        <f t="shared" si="64"/>
        <v>17</v>
      </c>
      <c r="O963" s="51">
        <v>5400</v>
      </c>
      <c r="P963" s="51">
        <v>5</v>
      </c>
      <c r="Q963" s="51">
        <v>5400</v>
      </c>
      <c r="R963" s="51">
        <v>100</v>
      </c>
      <c r="S963" s="51"/>
      <c r="T963" s="65"/>
      <c r="U963" s="65"/>
      <c r="V963" s="65"/>
      <c r="W963" s="51"/>
      <c r="X963" s="66" t="s">
        <v>2022</v>
      </c>
    </row>
    <row r="964" hidden="1" ht="27.75" customHeight="1" s="32" customFormat="1">
      <c r="A964" s="37"/>
      <c r="B964" s="31" t="s">
        <v>32</v>
      </c>
      <c r="C964" s="59" t="s">
        <v>2023</v>
      </c>
      <c r="D964" s="121" t="s">
        <v>30</v>
      </c>
      <c r="E964" s="57">
        <v>46154</v>
      </c>
      <c r="F964" s="38" t="str">
        <f>IF(C964&lt;&gt;"",VLOOKUP($C964,Carpetas!$C$5:$L$2060,2,FALSE),"")</f>
        <v>ECB018b/26</v>
      </c>
      <c r="G964" s="38" t="s">
        <v>43</v>
      </c>
      <c r="H964" s="44">
        <f>IF(C964&lt;&gt;"",VLOOKUP($C964,Carpetas!$C$5:$L$2060,9,FALSE),"")</f>
        <v>0</v>
      </c>
      <c r="I964" s="51" t="str">
        <f>IF(C964&lt;&gt;"",VLOOKUP($C964,Carpetas!$C$5:$L$2060,5,FALSE),"")</f>
        <v>Andino</v>
      </c>
      <c r="J964" s="51" t="str">
        <f>IF(D964&lt;&gt;"",VLOOKUP($C964,Carpetas!$C$5:$L$2060,3,FALSE),"")</f>
        <v>Nobora Trading Group</v>
      </c>
      <c r="K964" s="50">
        <v>46178</v>
      </c>
      <c r="L964" s="39" t="str">
        <f>VLOOKUP($C964,Carpetas!$C$5:$L$2060,4,FALSE)</f>
        <v>Fray Bentos</v>
      </c>
      <c r="M964" s="55">
        <f t="shared" si="65"/>
        <v>46179</v>
      </c>
      <c r="N964" s="53">
        <f t="shared" si="64"/>
        <v>25</v>
      </c>
      <c r="O964" s="51">
        <v>1080</v>
      </c>
      <c r="P964" s="51">
        <v>1</v>
      </c>
      <c r="Q964" s="51">
        <v>1080</v>
      </c>
      <c r="R964" s="51">
        <v>20</v>
      </c>
      <c r="S964" s="51"/>
      <c r="T964" s="65"/>
      <c r="U964" s="65"/>
      <c r="V964" s="65"/>
      <c r="W964" s="51"/>
      <c r="X964" s="66" t="s">
        <v>2024</v>
      </c>
    </row>
    <row r="965" hidden="1" ht="27.75" customHeight="1" s="32" customFormat="1">
      <c r="A965" s="37"/>
      <c r="B965" s="31" t="s">
        <v>32</v>
      </c>
      <c r="C965" s="59" t="s">
        <v>2025</v>
      </c>
      <c r="D965" s="121" t="s">
        <v>30</v>
      </c>
      <c r="E965" s="57">
        <v>46160</v>
      </c>
      <c r="F965" s="38" t="str">
        <f>IF(C965&lt;&gt;"",VLOOKUP($C965,Carpetas!$C$5:$L$2060,2,FALSE),"")</f>
        <v>ECB018a/26</v>
      </c>
      <c r="G965" s="38" t="s">
        <v>43</v>
      </c>
      <c r="H965" s="44">
        <f>IF(C965&lt;&gt;"",VLOOKUP($C965,Carpetas!$C$5:$L$2060,9,FALSE),"")</f>
        <v>1557890</v>
      </c>
      <c r="I965" s="51" t="str">
        <f>IF(C965&lt;&gt;"",VLOOKUP($C965,Carpetas!$C$5:$L$2060,5,FALSE),"")</f>
        <v>Andino</v>
      </c>
      <c r="J965" s="51" t="str">
        <f>IF(D965&lt;&gt;"",VLOOKUP($C965,Carpetas!$C$5:$L$2060,3,FALSE),"")</f>
        <v>Nobora Trading Group</v>
      </c>
      <c r="K965" s="50">
        <v>46178</v>
      </c>
      <c r="L965" s="39" t="str">
        <f>VLOOKUP($C965,Carpetas!$C$5:$L$2060,4,FALSE)</f>
        <v>Fray Bentos</v>
      </c>
      <c r="M965" s="55">
        <f t="shared" si="65"/>
        <v>46179</v>
      </c>
      <c r="N965" s="53">
        <f t="shared" si="64"/>
        <v>19</v>
      </c>
      <c r="O965" s="51">
        <v>5400</v>
      </c>
      <c r="P965" s="51"/>
      <c r="Q965" s="51">
        <v>5400</v>
      </c>
      <c r="R965" s="51">
        <v>100</v>
      </c>
      <c r="S965" s="51"/>
      <c r="T965" s="65"/>
      <c r="U965" s="65"/>
      <c r="V965" s="65"/>
      <c r="W965" s="51"/>
      <c r="X965" s="66" t="s">
        <v>2026</v>
      </c>
    </row>
    <row r="966" hidden="1" ht="27.75" customHeight="1" s="32" customFormat="1">
      <c r="A966" s="37"/>
      <c r="B966" s="31" t="s">
        <v>32</v>
      </c>
      <c r="C966" s="59" t="s">
        <v>2027</v>
      </c>
      <c r="D966" s="121" t="s">
        <v>37</v>
      </c>
      <c r="E966" s="57">
        <v>46178</v>
      </c>
      <c r="F966" s="38" t="str">
        <f>IF(C966&lt;&gt;"",VLOOKUP($C966,Carpetas!$C$5:$L$2060,2,FALSE),"")</f>
        <v>CLK004/26</v>
      </c>
      <c r="G966" s="38" t="s">
        <v>35</v>
      </c>
      <c r="H966" s="44">
        <f>IF(C966&lt;&gt;"",VLOOKUP($C966,Carpetas!$C$5:$L$2060,9,FALSE),"")</f>
        <v>1559897</v>
      </c>
      <c r="I966" s="51" t="str">
        <f>IF(C966&lt;&gt;"",VLOOKUP($C966,Carpetas!$C$5:$L$2060,5,FALSE),"")</f>
        <v>Sarla y Ramon</v>
      </c>
      <c r="J966" s="51" t="str">
        <f>IF(D966&lt;&gt;"",VLOOKUP($C966,Carpetas!$C$5:$L$2060,3,FALSE),"")</f>
        <v>Coopefrut</v>
      </c>
      <c r="K966" s="50">
        <v>46181</v>
      </c>
      <c r="L966" s="39" t="str">
        <f>VLOOKUP($C966,Carpetas!$C$5:$L$2060,4,FALSE)</f>
        <v>Fray Bentos</v>
      </c>
      <c r="M966" s="55">
        <f t="shared" si="65"/>
        <v>46182</v>
      </c>
      <c r="N966" s="53">
        <f t="shared" si="64"/>
        <v>4</v>
      </c>
      <c r="O966" s="51">
        <v>2272</v>
      </c>
      <c r="P966" s="51"/>
      <c r="Q966" s="51">
        <v>2272</v>
      </c>
      <c r="R966" s="51">
        <v>22</v>
      </c>
      <c r="S966" s="51"/>
      <c r="T966" s="65"/>
      <c r="U966" s="65"/>
      <c r="V966" s="65"/>
      <c r="W966" s="51"/>
      <c r="X966" s="66" t="s">
        <v>2028</v>
      </c>
    </row>
    <row r="967" hidden="1" ht="27.75" customHeight="1" s="32" customFormat="1">
      <c r="A967" s="37"/>
      <c r="B967" s="31" t="s">
        <v>32</v>
      </c>
      <c r="C967" s="59" t="s">
        <v>2029</v>
      </c>
      <c r="D967" s="121" t="s">
        <v>30</v>
      </c>
      <c r="E967" s="57">
        <v>46178</v>
      </c>
      <c r="F967" s="38" t="str">
        <f>IF(C967&lt;&gt;"",VLOOKUP($C967,Carpetas!$C$5:$L$2060,2,FALSE),"")</f>
        <v>BOB032-26</v>
      </c>
      <c r="G967" s="38" t="s">
        <v>31</v>
      </c>
      <c r="H967" s="44">
        <f>IF(C967&lt;&gt;"",VLOOKUP($C967,Carpetas!$C$5:$L$2060,9,FALSE),"")</f>
        <v>1559205</v>
      </c>
      <c r="I967" s="51" t="str">
        <f>IF(C967&lt;&gt;"",VLOOKUP($C967,Carpetas!$C$5:$L$2060,5,FALSE),"")</f>
        <v>Sintercargas </v>
      </c>
      <c r="J967" s="51" t="str">
        <f>IF(D967&lt;&gt;"",VLOOKUP($C967,Carpetas!$C$5:$L$2060,3,FALSE),"")</f>
        <v>Banexfrut</v>
      </c>
      <c r="K967" s="50">
        <v>46185</v>
      </c>
      <c r="L967" s="39" t="str">
        <f>VLOOKUP($C967,Carpetas!$C$5:$L$2060,4,FALSE)</f>
        <v>Salto</v>
      </c>
      <c r="M967" s="55">
        <f t="shared" si="65"/>
        <v>46186</v>
      </c>
      <c r="N967" s="53">
        <f t="shared" si="64"/>
        <v>8</v>
      </c>
      <c r="O967" s="51">
        <v>1050</v>
      </c>
      <c r="P967" s="51">
        <v>1</v>
      </c>
      <c r="Q967" s="51">
        <v>1050</v>
      </c>
      <c r="R967" s="51" t="s">
        <v>1988</v>
      </c>
      <c r="S967" s="51">
        <v>21</v>
      </c>
      <c r="T967" s="65"/>
      <c r="U967" s="65"/>
      <c r="V967" s="65" t="s">
        <v>895</v>
      </c>
      <c r="W967" s="51"/>
      <c r="X967" s="66" t="s">
        <v>2030</v>
      </c>
    </row>
    <row r="968" hidden="1" ht="27.75" customHeight="1" s="32" customFormat="1">
      <c r="A968" s="37"/>
      <c r="B968" s="31" t="s">
        <v>32</v>
      </c>
      <c r="C968" s="59" t="s">
        <v>2031</v>
      </c>
      <c r="D968" s="121" t="s">
        <v>1842</v>
      </c>
      <c r="E968" s="57">
        <v>46167</v>
      </c>
      <c r="F968" s="38" t="str">
        <f>IF(C968&lt;&gt;"",VLOOKUP($C968,Carpetas!$C$5:$L$2060,2,FALSE),"")</f>
        <v>ECBP004-26</v>
      </c>
      <c r="G968" s="38" t="s">
        <v>43</v>
      </c>
      <c r="H968" s="44">
        <f>IF(C968&lt;&gt;"",VLOOKUP($C968,Carpetas!$C$5:$L$2060,9,FALSE),"")</f>
        <v>1558600</v>
      </c>
      <c r="I968" s="51" t="str">
        <f>IF(C968&lt;&gt;"",VLOOKUP($C968,Carpetas!$C$5:$L$2060,5,FALSE),"")</f>
        <v>Andino</v>
      </c>
      <c r="J968" s="51" t="str">
        <f>IF(D968&lt;&gt;"",VLOOKUP($C968,Carpetas!$C$5:$L$2060,3,FALSE),"")</f>
        <v>Nobora Trading Group</v>
      </c>
      <c r="K968" s="50">
        <v>46188</v>
      </c>
      <c r="L968" s="39" t="str">
        <f>VLOOKUP($C968,Carpetas!$C$5:$L$2060,4,FALSE)</f>
        <v>Fray Bentos</v>
      </c>
      <c r="M968" s="55">
        <f t="shared" si="65"/>
        <v>46189</v>
      </c>
      <c r="N968" s="53">
        <f t="shared" si="64"/>
        <v>22</v>
      </c>
      <c r="O968" s="51">
        <v>804</v>
      </c>
      <c r="P968" s="51"/>
      <c r="Q968" s="51">
        <v>804</v>
      </c>
      <c r="R968" s="51">
        <v>20</v>
      </c>
      <c r="S968" s="51"/>
      <c r="T968" s="65"/>
      <c r="U968" s="65"/>
      <c r="V968" s="65"/>
      <c r="W968" s="51"/>
      <c r="X968" s="66" t="s">
        <v>2032</v>
      </c>
    </row>
    <row r="969" hidden="1" ht="27.75" customHeight="1" s="32" customFormat="1">
      <c r="A969" s="37"/>
      <c r="B969" s="31" t="s">
        <v>32</v>
      </c>
      <c r="C969" s="59" t="s">
        <v>2033</v>
      </c>
      <c r="D969" s="121" t="s">
        <v>30</v>
      </c>
      <c r="E969" s="57">
        <v>46167</v>
      </c>
      <c r="F969" s="38" t="str">
        <f>IF(C969&lt;&gt;"",VLOOKUP($C969,Carpetas!$C$5:$L$2060,2,FALSE),"")</f>
        <v>ECB019/26</v>
      </c>
      <c r="G969" s="38" t="s">
        <v>43</v>
      </c>
      <c r="H969" s="44">
        <f>IF(C969&lt;&gt;"",VLOOKUP($C969,Carpetas!$C$5:$L$2060,9,FALSE),"")</f>
        <v>1558522</v>
      </c>
      <c r="I969" s="51" t="str">
        <f>IF(C969&lt;&gt;"",VLOOKUP($C969,Carpetas!$C$5:$L$2060,5,FALSE),"")</f>
        <v>Andino</v>
      </c>
      <c r="J969" s="51" t="str">
        <f>IF(D969&lt;&gt;"",VLOOKUP($C969,Carpetas!$C$5:$L$2060,3,FALSE),"")</f>
        <v>Nobora Trading Group</v>
      </c>
      <c r="K969" s="50">
        <v>46188</v>
      </c>
      <c r="L969" s="39" t="str">
        <f>VLOOKUP($C969,Carpetas!$C$5:$L$2060,4,FALSE)</f>
        <v>Fray Bentos</v>
      </c>
      <c r="M969" s="55">
        <f t="shared" si="65"/>
        <v>46189</v>
      </c>
      <c r="N969" s="53">
        <f t="shared" si="64"/>
        <v>22</v>
      </c>
      <c r="O969" s="51">
        <v>5400</v>
      </c>
      <c r="P969" s="51"/>
      <c r="Q969" s="51">
        <v>5400</v>
      </c>
      <c r="R969" s="51">
        <v>100</v>
      </c>
      <c r="S969" s="51"/>
      <c r="T969" s="65"/>
      <c r="U969" s="65"/>
      <c r="V969" s="65"/>
      <c r="W969" s="51"/>
      <c r="X969" s="66" t="s">
        <v>2034</v>
      </c>
    </row>
    <row r="970" hidden="1" ht="27.75" customHeight="1" s="32" customFormat="1">
      <c r="A970" s="37"/>
      <c r="B970" s="31" t="s">
        <v>32</v>
      </c>
      <c r="C970" s="59" t="s">
        <v>2035</v>
      </c>
      <c r="D970" s="121" t="s">
        <v>30</v>
      </c>
      <c r="E970" s="57">
        <v>46174</v>
      </c>
      <c r="F970" s="38" t="str">
        <f>IF(C970&lt;&gt;"",VLOOKUP($C970,Carpetas!$C$5:$L$2060,2,FALSE),"")</f>
        <v>ECB020/26</v>
      </c>
      <c r="G970" s="38" t="s">
        <v>43</v>
      </c>
      <c r="H970" s="44">
        <f>IF(C970&lt;&gt;"",VLOOKUP($C970,Carpetas!$C$5:$L$2060,9,FALSE),"")</f>
        <v>1559174</v>
      </c>
      <c r="I970" s="51" t="str">
        <f>IF(C970&lt;&gt;"",VLOOKUP($C970,Carpetas!$C$5:$L$2060,5,FALSE),"")</f>
        <v>Andino</v>
      </c>
      <c r="J970" s="51" t="str">
        <f>IF(D970&lt;&gt;"",VLOOKUP($C970,Carpetas!$C$5:$L$2060,3,FALSE),"")</f>
        <v>Nobora Trading Group</v>
      </c>
      <c r="K970" s="50">
        <v>46192</v>
      </c>
      <c r="L970" s="39" t="str">
        <f>VLOOKUP($C970,Carpetas!$C$5:$L$2060,4,FALSE)</f>
        <v>Fray Bentos</v>
      </c>
      <c r="M970" s="55">
        <f t="shared" si="65"/>
        <v>46193</v>
      </c>
      <c r="N970" s="53">
        <f t="shared" si="64"/>
        <v>19</v>
      </c>
      <c r="O970" s="51">
        <v>5400</v>
      </c>
      <c r="P970" s="51"/>
      <c r="Q970" s="51" t="s">
        <v>1845</v>
      </c>
      <c r="R970" s="51">
        <v>80</v>
      </c>
      <c r="S970" s="51"/>
      <c r="T970" s="65"/>
      <c r="U970" s="65"/>
      <c r="V970" s="65"/>
      <c r="W970" s="51"/>
      <c r="X970" s="66" t="s">
        <v>2036</v>
      </c>
    </row>
    <row r="971" hidden="1" ht="27.75" customHeight="1" s="32" customFormat="1">
      <c r="A971" s="37"/>
      <c r="B971" s="31" t="s">
        <v>32</v>
      </c>
      <c r="C971" s="59" t="s">
        <v>2037</v>
      </c>
      <c r="D971" s="121" t="s">
        <v>42</v>
      </c>
      <c r="E971" s="57">
        <v>46174</v>
      </c>
      <c r="F971" s="38" t="str">
        <f>IF(C971&lt;&gt;"",VLOOKUP($C971,Carpetas!$C$5:$L$2060,2,FALSE),"")</f>
        <v>ECA012-26</v>
      </c>
      <c r="G971" s="38" t="s">
        <v>43</v>
      </c>
      <c r="H971" s="44">
        <f>IF(C971&lt;&gt;"",VLOOKUP($C971,Carpetas!$C$5:$L$2060,9,FALSE),"")</f>
        <v>1559175</v>
      </c>
      <c r="I971" s="51" t="str">
        <f>IF(C971&lt;&gt;"",VLOOKUP($C971,Carpetas!$C$5:$L$2060,5,FALSE),"")</f>
        <v>Andino</v>
      </c>
      <c r="J971" s="51" t="str">
        <f>IF(D971&lt;&gt;"",VLOOKUP($C971,Carpetas!$C$5:$L$2060,3,FALSE),"")</f>
        <v>Agroeden</v>
      </c>
      <c r="K971" s="50">
        <v>46195</v>
      </c>
      <c r="L971" s="39" t="str">
        <f>VLOOKUP($C971,Carpetas!$C$5:$L$2060,4,FALSE)</f>
        <v>Fray Bentos</v>
      </c>
      <c r="M971" s="55">
        <f t="shared" si="65"/>
        <v>46196</v>
      </c>
      <c r="N971" s="53">
        <f t="shared" si="64"/>
        <v>22</v>
      </c>
      <c r="O971" s="51">
        <v>1680</v>
      </c>
      <c r="P971" s="51"/>
      <c r="Q971" s="51"/>
      <c r="R971" s="51"/>
      <c r="S971" s="51"/>
      <c r="T971" s="65"/>
      <c r="U971" s="65"/>
      <c r="V971" s="65"/>
      <c r="W971" s="51"/>
      <c r="X971" s="66"/>
    </row>
    <row r="972" hidden="1" ht="27.75" customHeight="1" s="32" customFormat="1">
      <c r="A972" s="37"/>
      <c r="B972" s="31" t="s">
        <v>32</v>
      </c>
      <c r="C972" s="59" t="s">
        <v>2038</v>
      </c>
      <c r="D972" s="121" t="s">
        <v>34</v>
      </c>
      <c r="E972" s="57">
        <v>46174</v>
      </c>
      <c r="F972" s="38" t="str">
        <f>IF(C972&lt;&gt;"",VLOOKUP($C972,Carpetas!$C$5:$L$2060,2,FALSE),"")</f>
        <v>PEA010-26</v>
      </c>
      <c r="G972" s="38" t="s">
        <v>216</v>
      </c>
      <c r="H972" s="44">
        <f>IF(C972&lt;&gt;"",VLOOKUP($C972,Carpetas!$C$5:$L$2060,9,FALSE),"")</f>
        <v>0</v>
      </c>
      <c r="I972" s="51" t="str">
        <f>IF(C972&lt;&gt;"",VLOOKUP($C972,Carpetas!$C$5:$L$2060,5,FALSE),"")</f>
        <v>Andino</v>
      </c>
      <c r="J972" s="51" t="str">
        <f>IF(D972&lt;&gt;"",VLOOKUP($C972,Carpetas!$C$5:$L$2060,3,FALSE),"")</f>
        <v>Green Harvest</v>
      </c>
      <c r="K972" s="50">
        <v>46195</v>
      </c>
      <c r="L972" s="39" t="str">
        <f>VLOOKUP($C972,Carpetas!$C$5:$L$2060,4,FALSE)</f>
        <v>Fray Bentos</v>
      </c>
      <c r="M972" s="55">
        <v>46197</v>
      </c>
      <c r="N972" s="53">
        <f t="shared" si="64"/>
        <v>23</v>
      </c>
      <c r="O972" s="51">
        <v>7800</v>
      </c>
      <c r="P972" s="51">
        <v>1</v>
      </c>
      <c r="Q972" s="51">
        <v>7800</v>
      </c>
      <c r="R972" s="51"/>
      <c r="S972" s="51"/>
      <c r="T972" s="65"/>
      <c r="U972" s="65"/>
      <c r="V972" s="65"/>
      <c r="W972" s="51"/>
      <c r="X972" s="66" t="s">
        <v>2039</v>
      </c>
    </row>
    <row r="973" hidden="1" ht="27.75" customHeight="1" s="32" customFormat="1">
      <c r="A973" s="37"/>
      <c r="B973" s="31" t="s">
        <v>32</v>
      </c>
      <c r="C973" s="59" t="s">
        <v>2040</v>
      </c>
      <c r="D973" s="121" t="s">
        <v>30</v>
      </c>
      <c r="E973" s="57">
        <v>46180</v>
      </c>
      <c r="F973" s="38" t="str">
        <f>IF(C973&lt;&gt;"",VLOOKUP($C973,Carpetas!$C$5:$L$2060,2,FALSE),"")</f>
        <v>ECI024/26</v>
      </c>
      <c r="G973" s="38" t="s">
        <v>43</v>
      </c>
      <c r="H973" s="44">
        <f>IF(C973&lt;&gt;"",VLOOKUP($C973,Carpetas!$C$5:$L$2060,9,FALSE),"")</f>
        <v>1560162</v>
      </c>
      <c r="I973" s="51" t="str">
        <f>IF(C973&lt;&gt;"",VLOOKUP($C973,Carpetas!$C$5:$L$2060,5,FALSE),"")</f>
        <v>Andino</v>
      </c>
      <c r="J973" s="51" t="str">
        <f>IF(D973&lt;&gt;"",VLOOKUP($C973,Carpetas!$C$5:$L$2060,3,FALSE),"")</f>
        <v>Interbanana</v>
      </c>
      <c r="K973" s="50">
        <v>46198</v>
      </c>
      <c r="L973" s="39" t="str">
        <f>VLOOKUP($C973,Carpetas!$C$5:$L$2060,4,FALSE)</f>
        <v>Fray Bentos</v>
      </c>
      <c r="M973" s="55">
        <f>K973+1</f>
        <v>46199</v>
      </c>
      <c r="N973" s="53">
        <f t="shared" si="64"/>
        <v>19</v>
      </c>
      <c r="O973" s="51">
        <v>2160</v>
      </c>
      <c r="P973" s="51">
        <v>2</v>
      </c>
      <c r="Q973" s="51" t="s">
        <v>439</v>
      </c>
      <c r="R973" s="51">
        <v>40</v>
      </c>
      <c r="S973" s="51"/>
      <c r="T973" s="65"/>
      <c r="U973" s="65"/>
      <c r="V973" s="65"/>
      <c r="W973" s="51"/>
      <c r="X973" s="66" t="s">
        <v>2041</v>
      </c>
    </row>
    <row r="974" hidden="1" ht="27.75" customHeight="1" s="32" customFormat="1">
      <c r="A974" s="37"/>
      <c r="B974" s="31" t="s">
        <v>32</v>
      </c>
      <c r="C974" s="59" t="s">
        <v>2042</v>
      </c>
      <c r="D974" s="121" t="s">
        <v>30</v>
      </c>
      <c r="E974" s="57">
        <v>46180</v>
      </c>
      <c r="F974" s="38" t="str">
        <f>IF(C974&lt;&gt;"",VLOOKUP($C974,Carpetas!$C$5:$L$2060,2,FALSE),"")</f>
        <v>ECB021/26</v>
      </c>
      <c r="G974" s="38" t="s">
        <v>43</v>
      </c>
      <c r="H974" s="44">
        <f>IF(C974&lt;&gt;"",VLOOKUP($C974,Carpetas!$C$5:$L$2060,9,FALSE),"")</f>
        <v>1559778</v>
      </c>
      <c r="I974" s="51" t="str">
        <f>IF(C974&lt;&gt;"",VLOOKUP($C974,Carpetas!$C$5:$L$2060,5,FALSE),"")</f>
        <v>Andino</v>
      </c>
      <c r="J974" s="51" t="str">
        <f>IF(D974&lt;&gt;"",VLOOKUP($C974,Carpetas!$C$5:$L$2060,3,FALSE),"")</f>
        <v>Nobora Trading Group</v>
      </c>
      <c r="K974" s="50">
        <v>46199</v>
      </c>
      <c r="L974" s="39" t="str">
        <f>VLOOKUP($C974,Carpetas!$C$5:$L$2060,4,FALSE)</f>
        <v>Fray Bentos</v>
      </c>
      <c r="M974" s="55">
        <f>K974+1</f>
        <v>46200</v>
      </c>
      <c r="N974" s="53">
        <f t="shared" si="64"/>
        <v>20</v>
      </c>
      <c r="O974" s="51">
        <v>5400</v>
      </c>
      <c r="P974" s="51"/>
      <c r="Q974" s="51">
        <v>5400</v>
      </c>
      <c r="R974" s="51">
        <v>80</v>
      </c>
      <c r="S974" s="51"/>
      <c r="T974" s="65"/>
      <c r="U974" s="65"/>
      <c r="V974" s="65"/>
      <c r="W974" s="51"/>
      <c r="X974" s="66" t="s">
        <v>2043</v>
      </c>
    </row>
    <row r="975" hidden="1" ht="27.75" customHeight="1" s="32" customFormat="1">
      <c r="A975" s="37"/>
      <c r="B975" s="31" t="s">
        <v>32</v>
      </c>
      <c r="C975" s="59" t="s">
        <v>2044</v>
      </c>
      <c r="D975" s="121" t="s">
        <v>30</v>
      </c>
      <c r="E975" s="57">
        <v>46197</v>
      </c>
      <c r="F975" s="38" t="str">
        <f>IF(C975&lt;&gt;"",VLOOKUP($C975,Carpetas!$C$5:$L$2060,2,FALSE),"")</f>
        <v>BOB033/26</v>
      </c>
      <c r="G975" s="38" t="s">
        <v>31</v>
      </c>
      <c r="H975" s="44">
        <f>IF(C975&lt;&gt;"",VLOOKUP($C975,Carpetas!$C$5:$L$2060,9,FALSE),"")</f>
        <v>1560372</v>
      </c>
      <c r="I975" s="51" t="str">
        <f>IF(C975&lt;&gt;"",VLOOKUP($C975,Carpetas!$C$5:$L$2060,5,FALSE),"")</f>
        <v>Surcentral</v>
      </c>
      <c r="J975" s="51" t="str">
        <f>IF(D975&lt;&gt;"",VLOOKUP($C975,Carpetas!$C$5:$L$2060,3,FALSE),"")</f>
        <v>Banexfrut</v>
      </c>
      <c r="K975" s="50">
        <f>E975+5</f>
        <v>46202</v>
      </c>
      <c r="L975" s="39" t="str">
        <f>VLOOKUP($C975,Carpetas!$C$5:$L$2060,4,FALSE)</f>
        <v>Salto</v>
      </c>
      <c r="M975" s="55">
        <v>46204</v>
      </c>
      <c r="N975" s="53">
        <f t="shared" si="64"/>
        <v>7</v>
      </c>
      <c r="O975" s="51">
        <v>1050</v>
      </c>
      <c r="P975" s="51">
        <v>1</v>
      </c>
      <c r="Q975" s="51">
        <v>1050</v>
      </c>
      <c r="R975" s="51" t="s">
        <v>1988</v>
      </c>
      <c r="S975" s="51"/>
      <c r="T975" s="65"/>
      <c r="U975" s="65"/>
      <c r="V975" s="65" t="s">
        <v>895</v>
      </c>
      <c r="W975" s="51"/>
      <c r="X975" s="66" t="s">
        <v>2045</v>
      </c>
    </row>
    <row r="976" hidden="1" ht="27.75" customHeight="1" s="32" customFormat="1">
      <c r="A976" s="37"/>
      <c r="B976" s="31" t="s">
        <v>32</v>
      </c>
      <c r="C976" s="59" t="s">
        <v>2046</v>
      </c>
      <c r="D976" s="121" t="s">
        <v>30</v>
      </c>
      <c r="E976" s="57">
        <v>46187</v>
      </c>
      <c r="F976" s="38" t="str">
        <f>IF(C976&lt;&gt;"",VLOOKUP($C976,Carpetas!$C$5:$L$2060,2,FALSE),"")</f>
        <v>ECI025/26</v>
      </c>
      <c r="G976" s="38" t="s">
        <v>43</v>
      </c>
      <c r="H976" s="44">
        <f>IF(C976&lt;&gt;"",VLOOKUP($C976,Carpetas!$C$5:$L$2060,9,FALSE),"")</f>
        <v>1560526</v>
      </c>
      <c r="I976" s="51" t="str">
        <f>IF(C976&lt;&gt;"",VLOOKUP($C976,Carpetas!$C$5:$L$2060,5,FALSE),"")</f>
        <v>Andino</v>
      </c>
      <c r="J976" s="51" t="str">
        <f>IF(D976&lt;&gt;"",VLOOKUP($C976,Carpetas!$C$5:$L$2060,3,FALSE),"")</f>
        <v>Interbanana</v>
      </c>
      <c r="K976" s="50">
        <v>46203</v>
      </c>
      <c r="L976" s="39" t="str">
        <f>VLOOKUP($C976,Carpetas!$C$5:$L$2060,4,FALSE)</f>
        <v>Fray Bentos</v>
      </c>
      <c r="M976" s="55">
        <f ref="M976:M985" t="shared" si="66">K976+1</f>
        <v>46204</v>
      </c>
      <c r="N976" s="53">
        <f t="shared" si="64"/>
        <v>17</v>
      </c>
      <c r="O976" s="51">
        <v>2160</v>
      </c>
      <c r="P976" s="51">
        <v>2</v>
      </c>
      <c r="Q976" s="51">
        <v>2160</v>
      </c>
      <c r="R976" s="51">
        <v>40</v>
      </c>
      <c r="S976" s="51"/>
      <c r="T976" s="65"/>
      <c r="U976" s="65"/>
      <c r="V976" s="65"/>
      <c r="W976" s="51"/>
      <c r="X976" s="66" t="s">
        <v>2047</v>
      </c>
    </row>
    <row r="977" hidden="1" ht="27.75" customHeight="1" s="32" customFormat="1">
      <c r="A977" s="37"/>
      <c r="B977" s="31" t="s">
        <v>32</v>
      </c>
      <c r="C977" s="59" t="s">
        <v>2048</v>
      </c>
      <c r="D977" s="121" t="s">
        <v>30</v>
      </c>
      <c r="E977" s="57">
        <v>46187</v>
      </c>
      <c r="F977" s="38" t="str">
        <f>IF(C977&lt;&gt;"",VLOOKUP($C977,Carpetas!$C$5:$L$2060,2,FALSE),"")</f>
        <v>ECB022/26</v>
      </c>
      <c r="G977" s="38" t="s">
        <v>43</v>
      </c>
      <c r="H977" s="44">
        <f>IF(C977&lt;&gt;"",VLOOKUP($C977,Carpetas!$C$5:$L$2060,9,FALSE),"")</f>
        <v>1560317</v>
      </c>
      <c r="I977" s="51" t="str">
        <f>IF(C977&lt;&gt;"",VLOOKUP($C977,Carpetas!$C$5:$L$2060,5,FALSE),"")</f>
        <v>Andino</v>
      </c>
      <c r="J977" s="51" t="str">
        <f>IF(D977&lt;&gt;"",VLOOKUP($C977,Carpetas!$C$5:$L$2060,3,FALSE),"")</f>
        <v>Nobora Trading Group</v>
      </c>
      <c r="K977" s="50">
        <v>46206</v>
      </c>
      <c r="L977" s="39" t="str">
        <f>VLOOKUP($C977,Carpetas!$C$5:$L$2060,4,FALSE)</f>
        <v>Fray Bentos</v>
      </c>
      <c r="M977" s="55">
        <f t="shared" si="66"/>
        <v>46207</v>
      </c>
      <c r="N977" s="53">
        <f t="shared" si="64"/>
        <v>20</v>
      </c>
      <c r="O977" s="51">
        <v>4320</v>
      </c>
      <c r="P977" s="51">
        <v>1</v>
      </c>
      <c r="Q977" s="51">
        <v>4320</v>
      </c>
      <c r="R977" s="51">
        <v>80</v>
      </c>
      <c r="S977" s="51"/>
      <c r="T977" s="65"/>
      <c r="U977" s="65"/>
      <c r="V977" s="65"/>
      <c r="W977" s="51"/>
      <c r="X977" s="66"/>
    </row>
    <row r="978" hidden="1" ht="27.75" customHeight="1" s="32" customFormat="1">
      <c r="A978" s="37"/>
      <c r="B978" s="31" t="s">
        <v>32</v>
      </c>
      <c r="C978" s="59" t="s">
        <v>2048</v>
      </c>
      <c r="D978" s="121" t="s">
        <v>30</v>
      </c>
      <c r="E978" s="57">
        <v>46187</v>
      </c>
      <c r="F978" s="38" t="str">
        <f>IF(C978&lt;&gt;"",VLOOKUP($C978,Carpetas!$C$5:$L$2060,2,FALSE),"")</f>
        <v>ECB022/26</v>
      </c>
      <c r="G978" s="38" t="s">
        <v>43</v>
      </c>
      <c r="H978" s="44">
        <f>IF(C978&lt;&gt;"",VLOOKUP($C978,Carpetas!$C$5:$L$2060,9,FALSE),"")</f>
        <v>1560317</v>
      </c>
      <c r="I978" s="51" t="str">
        <f>IF(C978&lt;&gt;"",VLOOKUP($C978,Carpetas!$C$5:$L$2060,5,FALSE),"")</f>
        <v>Andino</v>
      </c>
      <c r="J978" s="51" t="str">
        <f>IF(D978&lt;&gt;"",VLOOKUP($C978,Carpetas!$C$5:$L$2060,3,FALSE),"")</f>
        <v>Nobora Trading Group</v>
      </c>
      <c r="K978" s="50">
        <v>46209</v>
      </c>
      <c r="L978" s="39" t="str">
        <f>VLOOKUP($C978,Carpetas!$C$5:$L$2060,4,FALSE)</f>
        <v>Fray Bentos</v>
      </c>
      <c r="M978" s="55">
        <f t="shared" si="66"/>
        <v>46210</v>
      </c>
      <c r="N978" s="53">
        <f t="shared" si="64"/>
        <v>23</v>
      </c>
      <c r="O978" s="51">
        <v>1080</v>
      </c>
      <c r="P978" s="51">
        <v>1</v>
      </c>
      <c r="Q978" s="51">
        <v>1080</v>
      </c>
      <c r="R978" s="51">
        <v>20</v>
      </c>
      <c r="S978" s="51">
        <v>21</v>
      </c>
      <c r="T978" s="65"/>
      <c r="U978" s="65"/>
      <c r="V978" s="65" t="s">
        <v>302</v>
      </c>
      <c r="W978" s="51"/>
      <c r="X978" s="66" t="s">
        <v>2049</v>
      </c>
    </row>
    <row r="979" hidden="1" ht="27.75" customHeight="1" s="32" customFormat="1">
      <c r="A979" s="37"/>
      <c r="B979" s="31" t="s">
        <v>32</v>
      </c>
      <c r="C979" s="59" t="s">
        <v>2050</v>
      </c>
      <c r="D979" s="121" t="s">
        <v>37</v>
      </c>
      <c r="E979" s="57">
        <v>46203</v>
      </c>
      <c r="F979" s="38" t="str">
        <f>IF(C979&lt;&gt;"",VLOOKUP($C979,Carpetas!$C$5:$L$2060,2,FALSE),"")</f>
        <v>CLK005-26</v>
      </c>
      <c r="G979" s="38" t="s">
        <v>35</v>
      </c>
      <c r="H979" s="44">
        <f>IF(C979&lt;&gt;"",VLOOKUP($C979,Carpetas!$C$5:$L$2060,9,FALSE),"")</f>
        <v>1562171</v>
      </c>
      <c r="I979" s="51" t="str">
        <f>IF(C979&lt;&gt;"",VLOOKUP($C979,Carpetas!$C$5:$L$2060,5,FALSE),"")</f>
        <v>Sarla y Ramon</v>
      </c>
      <c r="J979" s="51" t="str">
        <f>IF(D979&lt;&gt;"",VLOOKUP($C979,Carpetas!$C$5:$L$2060,3,FALSE),"")</f>
        <v>Coopefrut</v>
      </c>
      <c r="K979" s="50">
        <v>46209</v>
      </c>
      <c r="L979" s="39" t="str">
        <f>VLOOKUP($C979,Carpetas!$C$5:$L$2060,4,FALSE)</f>
        <v>Fray Bentos</v>
      </c>
      <c r="M979" s="55">
        <f t="shared" si="66"/>
        <v>46210</v>
      </c>
      <c r="N979" s="53">
        <f t="shared" si="64"/>
        <v>7</v>
      </c>
      <c r="O979" s="51">
        <v>2212</v>
      </c>
      <c r="P979" s="51">
        <v>1</v>
      </c>
      <c r="Q979" s="51">
        <v>2288</v>
      </c>
      <c r="R979" s="51">
        <v>22</v>
      </c>
      <c r="S979" s="51">
        <v>16</v>
      </c>
      <c r="T979" s="65"/>
      <c r="U979" s="65"/>
      <c r="V979" s="65" t="s">
        <v>432</v>
      </c>
      <c r="W979" s="51"/>
      <c r="X979" s="66" t="s">
        <v>2051</v>
      </c>
    </row>
    <row r="980" hidden="1" ht="27.75" customHeight="1" s="32" customFormat="1">
      <c r="A980" s="37"/>
      <c r="B980" s="31" t="s">
        <v>32</v>
      </c>
      <c r="C980" s="59" t="s">
        <v>2052</v>
      </c>
      <c r="D980" s="121" t="s">
        <v>30</v>
      </c>
      <c r="E980" s="57">
        <v>46194</v>
      </c>
      <c r="F980" s="38" t="str">
        <f>IF(C980&lt;&gt;"",VLOOKUP($C980,Carpetas!$C$5:$L$2060,2,FALSE),"")</f>
        <v>ECB023/26</v>
      </c>
      <c r="G980" s="38" t="s">
        <v>43</v>
      </c>
      <c r="H980" s="44">
        <f>IF(C980&lt;&gt;"",VLOOKUP($C980,Carpetas!$C$5:$L$2060,9,FALSE),"")</f>
        <v>1560741</v>
      </c>
      <c r="I980" s="51" t="str">
        <f>IF(C980&lt;&gt;"",VLOOKUP($C980,Carpetas!$C$5:$L$2060,5,FALSE),"")</f>
        <v>Andino</v>
      </c>
      <c r="J980" s="51" t="str">
        <f>IF(D980&lt;&gt;"",VLOOKUP($C980,Carpetas!$C$5:$L$2060,3,FALSE),"")</f>
        <v>Nobora Trading Group</v>
      </c>
      <c r="K980" s="50">
        <v>46213</v>
      </c>
      <c r="L980" s="39" t="str">
        <f>VLOOKUP($C980,Carpetas!$C$5:$L$2060,4,FALSE)</f>
        <v>Fray Bentos</v>
      </c>
      <c r="M980" s="55">
        <f t="shared" si="66"/>
        <v>46214</v>
      </c>
      <c r="N980" s="53">
        <f t="shared" si="64"/>
        <v>20</v>
      </c>
      <c r="O980" s="51">
        <v>2160</v>
      </c>
      <c r="P980" s="51">
        <v>2</v>
      </c>
      <c r="Q980" s="51">
        <v>2160</v>
      </c>
      <c r="R980" s="51">
        <v>40</v>
      </c>
      <c r="S980" s="51">
        <v>21</v>
      </c>
      <c r="T980" s="65"/>
      <c r="U980" s="65"/>
      <c r="V980" s="65" t="s">
        <v>55</v>
      </c>
      <c r="W980" s="51"/>
      <c r="X980" s="66" t="s">
        <v>2053</v>
      </c>
    </row>
    <row r="981" hidden="1" ht="27.75" customHeight="1" s="32" customFormat="1">
      <c r="A981" s="37"/>
      <c r="B981" s="31" t="s">
        <v>32</v>
      </c>
      <c r="C981" s="59" t="s">
        <v>2054</v>
      </c>
      <c r="D981" s="121" t="s">
        <v>30</v>
      </c>
      <c r="E981" s="57">
        <v>46194</v>
      </c>
      <c r="F981" s="38" t="str">
        <f>IF(C981&lt;&gt;"",VLOOKUP($C981,Carpetas!$C$5:$L$2060,2,FALSE),"")</f>
        <v>ECI026/27</v>
      </c>
      <c r="G981" s="38" t="s">
        <v>43</v>
      </c>
      <c r="H981" s="44">
        <f>IF(C981&lt;&gt;"",VLOOKUP($C981,Carpetas!$C$5:$L$2060,9,FALSE),"")</f>
        <v>1561035</v>
      </c>
      <c r="I981" s="51" t="str">
        <f>IF(C981&lt;&gt;"",VLOOKUP($C981,Carpetas!$C$5:$L$2060,5,FALSE),"")</f>
        <v>Andino</v>
      </c>
      <c r="J981" s="51" t="str">
        <f>IF(D981&lt;&gt;"",VLOOKUP($C981,Carpetas!$C$5:$L$2060,3,FALSE),"")</f>
        <v>Interbanana</v>
      </c>
      <c r="K981" s="50">
        <v>46213</v>
      </c>
      <c r="L981" s="39" t="str">
        <f>VLOOKUP($C981,Carpetas!$C$5:$L$2060,4,FALSE)</f>
        <v>Fray Bentos</v>
      </c>
      <c r="M981" s="55">
        <f t="shared" si="66"/>
        <v>46214</v>
      </c>
      <c r="N981" s="53">
        <f t="shared" si="64"/>
        <v>20</v>
      </c>
      <c r="O981" s="51">
        <v>3240</v>
      </c>
      <c r="P981" s="51">
        <v>3</v>
      </c>
      <c r="Q981" s="51">
        <v>3240</v>
      </c>
      <c r="R981" s="51">
        <v>60</v>
      </c>
      <c r="S981" s="51">
        <v>21</v>
      </c>
      <c r="T981" s="65"/>
      <c r="U981" s="65"/>
      <c r="V981" s="65" t="s">
        <v>1656</v>
      </c>
      <c r="W981" s="51"/>
      <c r="X981" s="66" t="s">
        <v>2055</v>
      </c>
    </row>
    <row r="982" hidden="1" ht="27.75" customHeight="1" s="32" customFormat="1">
      <c r="A982" s="37"/>
      <c r="B982" s="31" t="s">
        <v>32</v>
      </c>
      <c r="C982" s="59" t="s">
        <v>2056</v>
      </c>
      <c r="D982" s="121" t="s">
        <v>42</v>
      </c>
      <c r="E982" s="57">
        <v>46194</v>
      </c>
      <c r="F982" s="38" t="str">
        <f>IF(C982&lt;&gt;"",VLOOKUP($C982,Carpetas!$C$5:$L$2060,2,FALSE),"")</f>
        <v>ECA013-26</v>
      </c>
      <c r="G982" s="38" t="s">
        <v>43</v>
      </c>
      <c r="H982" s="44">
        <f>IF(C982&lt;&gt;"",VLOOKUP($C982,Carpetas!$C$5:$L$2060,9,FALSE),"")</f>
        <v>1560768</v>
      </c>
      <c r="I982" s="51" t="str">
        <f>IF(C982&lt;&gt;"",VLOOKUP($C982,Carpetas!$C$5:$L$2060,5,FALSE),"")</f>
        <v>Andino</v>
      </c>
      <c r="J982" s="51" t="str">
        <f>IF(D982&lt;&gt;"",VLOOKUP($C982,Carpetas!$C$5:$L$2060,3,FALSE),"")</f>
        <v>Agroeden</v>
      </c>
      <c r="K982" s="50">
        <v>46213</v>
      </c>
      <c r="L982" s="39" t="str">
        <f>VLOOKUP($C982,Carpetas!$C$5:$L$2060,4,FALSE)</f>
        <v>Fray Bentos</v>
      </c>
      <c r="M982" s="55">
        <f t="shared" si="66"/>
        <v>46214</v>
      </c>
      <c r="N982" s="53">
        <f t="shared" si="64"/>
        <v>20</v>
      </c>
      <c r="O982" s="51">
        <v>1680</v>
      </c>
      <c r="P982" s="51">
        <v>1</v>
      </c>
      <c r="Q982" s="51">
        <v>1680</v>
      </c>
      <c r="R982" s="51">
        <v>21</v>
      </c>
      <c r="S982" s="51">
        <v>13</v>
      </c>
      <c r="T982" s="65"/>
      <c r="U982" s="65"/>
      <c r="V982" s="65" t="s">
        <v>1203</v>
      </c>
      <c r="W982" s="51"/>
      <c r="X982" s="66" t="s">
        <v>2057</v>
      </c>
    </row>
    <row r="983" hidden="1" ht="27.75" customHeight="1" s="32" customFormat="1">
      <c r="A983" s="37"/>
      <c r="B983" s="31" t="s">
        <v>32</v>
      </c>
      <c r="C983" s="59" t="s">
        <v>2052</v>
      </c>
      <c r="D983" s="121" t="s">
        <v>30</v>
      </c>
      <c r="E983" s="57">
        <v>46194</v>
      </c>
      <c r="F983" s="38" t="str">
        <f>IF(C983&lt;&gt;"",VLOOKUP($C983,Carpetas!$C$5:$L$2060,2,FALSE),"")</f>
        <v>ECB023/26</v>
      </c>
      <c r="G983" s="38" t="s">
        <v>43</v>
      </c>
      <c r="H983" s="44">
        <f>IF(C983&lt;&gt;"",VLOOKUP($C983,Carpetas!$C$5:$L$2060,9,FALSE),"")</f>
        <v>1560741</v>
      </c>
      <c r="I983" s="51" t="str">
        <f>IF(C983&lt;&gt;"",VLOOKUP($C983,Carpetas!$C$5:$L$2060,5,FALSE),"")</f>
        <v>Andino</v>
      </c>
      <c r="J983" s="51" t="str">
        <f>IF(D983&lt;&gt;"",VLOOKUP($C983,Carpetas!$C$5:$L$2060,3,FALSE),"")</f>
        <v>Nobora Trading Group</v>
      </c>
      <c r="K983" s="50">
        <v>46214</v>
      </c>
      <c r="L983" s="39" t="str">
        <f>VLOOKUP($C983,Carpetas!$C$5:$L$2060,4,FALSE)</f>
        <v>Fray Bentos</v>
      </c>
      <c r="M983" s="55">
        <f t="shared" si="66"/>
        <v>46215</v>
      </c>
      <c r="N983" s="53">
        <f t="shared" si="64"/>
        <v>21</v>
      </c>
      <c r="O983" s="51">
        <v>3240</v>
      </c>
      <c r="P983" s="51">
        <v>3</v>
      </c>
      <c r="Q983" s="51">
        <v>1080</v>
      </c>
      <c r="R983" s="51">
        <v>20</v>
      </c>
      <c r="S983" s="51">
        <v>21</v>
      </c>
      <c r="T983" s="65"/>
      <c r="U983" s="65"/>
      <c r="V983" s="65"/>
      <c r="W983" s="51"/>
      <c r="X983" s="66"/>
    </row>
    <row r="984" hidden="1" ht="27.75" customHeight="1" s="32" customFormat="1">
      <c r="A984" s="37"/>
      <c r="B984" s="31" t="s">
        <v>32</v>
      </c>
      <c r="C984" s="59" t="s">
        <v>2058</v>
      </c>
      <c r="D984" s="121" t="s">
        <v>30</v>
      </c>
      <c r="E984" s="57">
        <v>46211</v>
      </c>
      <c r="F984" s="38" t="str">
        <f>IF(C984&lt;&gt;"",VLOOKUP($C984,Carpetas!$C$5:$L$2060,2,FALSE),"")</f>
        <v>BOB034/26</v>
      </c>
      <c r="G984" s="38" t="s">
        <v>31</v>
      </c>
      <c r="H984" s="44">
        <f>IF(C984&lt;&gt;"",VLOOKUP($C984,Carpetas!$C$5:$L$2060,9,FALSE),"")</f>
        <v>1562401</v>
      </c>
      <c r="I984" s="51" t="str">
        <f>IF(C984&lt;&gt;"",VLOOKUP($C984,Carpetas!$C$5:$L$2060,5,FALSE),"")</f>
        <v>Surcentral</v>
      </c>
      <c r="J984" s="51" t="str">
        <f>IF(D984&lt;&gt;"",VLOOKUP($C984,Carpetas!$C$5:$L$2060,3,FALSE),"")</f>
        <v>Banexfrut</v>
      </c>
      <c r="K984" s="50">
        <v>46218</v>
      </c>
      <c r="L984" s="39" t="str">
        <f>VLOOKUP($C984,Carpetas!$C$5:$L$2060,4,FALSE)</f>
        <v>Salto</v>
      </c>
      <c r="M984" s="55">
        <f t="shared" si="66"/>
        <v>46219</v>
      </c>
      <c r="N984" s="53">
        <f t="shared" si="64"/>
        <v>8</v>
      </c>
      <c r="O984" s="51">
        <v>1050</v>
      </c>
      <c r="P984" s="51">
        <v>1</v>
      </c>
      <c r="Q984" s="51">
        <v>1050</v>
      </c>
      <c r="R984" s="51" t="s">
        <v>2059</v>
      </c>
      <c r="S984" s="51">
        <v>21</v>
      </c>
      <c r="T984" s="65"/>
      <c r="U984" s="65"/>
      <c r="V984" s="65"/>
      <c r="W984" s="51"/>
      <c r="X984" s="66" t="s">
        <v>2060</v>
      </c>
    </row>
    <row r="985" hidden="1" ht="27.75" customHeight="1" s="32" customFormat="1">
      <c r="A985" s="37"/>
      <c r="B985" s="31" t="s">
        <v>32</v>
      </c>
      <c r="C985" s="59" t="s">
        <v>2061</v>
      </c>
      <c r="D985" s="121" t="s">
        <v>30</v>
      </c>
      <c r="E985" s="57">
        <v>46200</v>
      </c>
      <c r="F985" s="38" t="str">
        <f>IF(C985&lt;&gt;"",VLOOKUP($C985,Carpetas!$C$5:$L$2060,2,FALSE),"")</f>
        <v>ECI027/26</v>
      </c>
      <c r="G985" s="38" t="s">
        <v>43</v>
      </c>
      <c r="H985" s="44">
        <f>IF(C985&lt;&gt;"",VLOOKUP($C985,Carpetas!$C$5:$L$2060,9,FALSE),"")</f>
        <v>1559985</v>
      </c>
      <c r="I985" s="51" t="str">
        <f>IF(C985&lt;&gt;"",VLOOKUP($C985,Carpetas!$C$5:$L$2060,5,FALSE),"")</f>
        <v>Andino</v>
      </c>
      <c r="J985" s="51" t="str">
        <f>IF(D985&lt;&gt;"",VLOOKUP($C985,Carpetas!$C$5:$L$2060,3,FALSE),"")</f>
        <v>Interbanana</v>
      </c>
      <c r="K985" s="50">
        <v>46219</v>
      </c>
      <c r="L985" s="39" t="str">
        <f>VLOOKUP($C985,Carpetas!$C$5:$L$2060,4,FALSE)</f>
        <v>Fray Bentos</v>
      </c>
      <c r="M985" s="55">
        <f t="shared" si="66"/>
        <v>46220</v>
      </c>
      <c r="N985" s="53">
        <f t="shared" si="64"/>
        <v>20</v>
      </c>
      <c r="O985" s="51">
        <v>1080</v>
      </c>
      <c r="P985" s="51">
        <v>3</v>
      </c>
      <c r="Q985" s="51">
        <v>1080</v>
      </c>
      <c r="R985" s="51">
        <v>20</v>
      </c>
      <c r="S985" s="51">
        <v>21</v>
      </c>
      <c r="T985" s="65"/>
      <c r="U985" s="65"/>
      <c r="V985" s="65" t="s">
        <v>1656</v>
      </c>
      <c r="W985" s="51"/>
      <c r="X985" s="66" t="s">
        <v>2062</v>
      </c>
    </row>
    <row r="986" hidden="1" ht="27.75" customHeight="1" s="32" customFormat="1">
      <c r="A986" s="37"/>
      <c r="B986" s="31" t="s">
        <v>32</v>
      </c>
      <c r="C986" s="59" t="s">
        <v>2063</v>
      </c>
      <c r="D986" s="121" t="s">
        <v>571</v>
      </c>
      <c r="E986" s="57">
        <v>46200</v>
      </c>
      <c r="F986" s="38" t="str">
        <f>IF(C986&lt;&gt;"",VLOOKUP($C986,Carpetas!$C$5:$L$2060,2,FALSE),"")</f>
        <v>ESC001/26</v>
      </c>
      <c r="G986" s="38" t="s">
        <v>361</v>
      </c>
      <c r="H986" s="44">
        <f>IF(C986&lt;&gt;"",VLOOKUP($C986,Carpetas!$C$5:$L$2060,9,FALSE),"")</f>
        <v>1561602</v>
      </c>
      <c r="I986" s="51" t="str">
        <f>IF(C986&lt;&gt;"",VLOOKUP($C986,Carpetas!$C$5:$L$2060,5,FALSE),"")</f>
        <v>Ciatran</v>
      </c>
      <c r="J986" s="51" t="str">
        <f>IF(D986&lt;&gt;"",VLOOKUP($C986,Carpetas!$C$5:$L$2060,3,FALSE),"")</f>
        <v>CIREX</v>
      </c>
      <c r="K986" s="50">
        <v>46221</v>
      </c>
      <c r="L986" s="39" t="str">
        <f>VLOOKUP($C986,Carpetas!$C$5:$L$2060,4,FALSE)</f>
        <v>Montevideo</v>
      </c>
      <c r="M986" s="55">
        <v>46224</v>
      </c>
      <c r="N986" s="53">
        <f t="shared" si="64"/>
        <v>24</v>
      </c>
      <c r="O986" s="51">
        <v>2324</v>
      </c>
      <c r="P986" s="51">
        <v>1</v>
      </c>
      <c r="Q986" s="51">
        <v>2324</v>
      </c>
      <c r="R986" s="51">
        <v>21</v>
      </c>
      <c r="S986" s="51"/>
      <c r="T986" s="65"/>
      <c r="U986" s="65"/>
      <c r="V986" s="65"/>
      <c r="W986" s="51"/>
      <c r="X986" s="66" t="s">
        <v>2064</v>
      </c>
    </row>
    <row r="987" hidden="1" ht="27.75" customHeight="1" s="32" customFormat="1">
      <c r="A987" s="37"/>
      <c r="B987" s="31" t="s">
        <v>32</v>
      </c>
      <c r="C987" s="59" t="s">
        <v>2065</v>
      </c>
      <c r="D987" s="121" t="s">
        <v>30</v>
      </c>
      <c r="E987" s="57">
        <v>46200</v>
      </c>
      <c r="F987" s="38" t="str">
        <f>IF(C987&lt;&gt;"",VLOOKUP($C987,Carpetas!$C$5:$L$2060,2,FALSE),"")</f>
        <v>ECB024/26</v>
      </c>
      <c r="G987" s="38" t="s">
        <v>43</v>
      </c>
      <c r="H987" s="44">
        <f>IF(C987&lt;&gt;"",VLOOKUP($C987,Carpetas!$C$5:$L$2060,9,FALSE),"")</f>
        <v>1561235</v>
      </c>
      <c r="I987" s="51" t="str">
        <f>IF(C987&lt;&gt;"",VLOOKUP($C987,Carpetas!$C$5:$L$2060,5,FALSE),"")</f>
        <v>Andino</v>
      </c>
      <c r="J987" s="51" t="str">
        <f>IF(D987&lt;&gt;"",VLOOKUP($C987,Carpetas!$C$5:$L$2060,3,FALSE),"")</f>
        <v>Nobora Trading Group</v>
      </c>
      <c r="K987" s="50">
        <v>46231</v>
      </c>
      <c r="L987" s="39" t="str">
        <f>VLOOKUP($C987,Carpetas!$C$5:$L$2060,4,FALSE)</f>
        <v>Fray Bentos</v>
      </c>
      <c r="M987" s="55">
        <f>K987+1</f>
        <v>46232</v>
      </c>
      <c r="N987" s="53">
        <f t="shared" si="64"/>
        <v>32</v>
      </c>
      <c r="O987" s="51">
        <v>2160</v>
      </c>
      <c r="P987" s="51">
        <v>2</v>
      </c>
      <c r="Q987" s="51" t="s">
        <v>439</v>
      </c>
      <c r="R987" s="51">
        <v>40</v>
      </c>
      <c r="S987" s="51"/>
      <c r="T987" s="65"/>
      <c r="U987" s="65"/>
      <c r="V987" s="65"/>
      <c r="W987" s="51"/>
      <c r="X987" s="66" t="s">
        <v>2066</v>
      </c>
    </row>
    <row r="988" hidden="1" ht="27.75" customHeight="1" s="32" customFormat="1">
      <c r="A988" s="37"/>
      <c r="B988" s="31" t="s">
        <v>32</v>
      </c>
      <c r="C988" s="59" t="s">
        <v>2067</v>
      </c>
      <c r="D988" s="121" t="s">
        <v>42</v>
      </c>
      <c r="E988" s="57">
        <v>46208</v>
      </c>
      <c r="F988" s="38" t="str">
        <f>IF(C988&lt;&gt;"",VLOOKUP($C988,Carpetas!$C$5:$L$2060,2,FALSE),"")</f>
        <v>ECA014-26</v>
      </c>
      <c r="G988" s="38" t="s">
        <v>43</v>
      </c>
      <c r="H988" s="44">
        <f>IF(C988&lt;&gt;"",VLOOKUP($C988,Carpetas!$C$5:$L$2060,9,FALSE),"")</f>
        <v>1561863</v>
      </c>
      <c r="I988" s="51" t="str">
        <f>IF(C988&lt;&gt;"",VLOOKUP($C988,Carpetas!$C$5:$L$2060,5,FALSE),"")</f>
        <v>Andino</v>
      </c>
      <c r="J988" s="51" t="str">
        <f>IF(D988&lt;&gt;"",VLOOKUP($C988,Carpetas!$C$5:$L$2060,3,FALSE),"")</f>
        <v>Agroeden</v>
      </c>
      <c r="K988" s="50">
        <v>46232</v>
      </c>
      <c r="L988" s="39" t="str">
        <f>VLOOKUP($C988,Carpetas!$C$5:$L$2060,4,FALSE)</f>
        <v>Fray Bentos</v>
      </c>
      <c r="M988" s="55">
        <f>K988+1</f>
        <v>46233</v>
      </c>
      <c r="N988" s="53">
        <f t="shared" si="64"/>
        <v>25</v>
      </c>
      <c r="O988" s="51">
        <v>1680</v>
      </c>
      <c r="P988" s="51">
        <v>3</v>
      </c>
      <c r="Q988" s="51">
        <v>1680</v>
      </c>
      <c r="R988" s="51">
        <v>21</v>
      </c>
      <c r="S988" s="51"/>
      <c r="T988" s="65"/>
      <c r="U988" s="65"/>
      <c r="V988" s="65"/>
      <c r="W988" s="51"/>
      <c r="X988" s="66" t="s">
        <v>2068</v>
      </c>
    </row>
    <row r="989" hidden="1" ht="27.75" customHeight="1" s="32" customFormat="1">
      <c r="A989" s="37"/>
      <c r="B989" s="31" t="s">
        <v>32</v>
      </c>
      <c r="C989" s="59" t="s">
        <v>2065</v>
      </c>
      <c r="D989" s="121" t="s">
        <v>30</v>
      </c>
      <c r="E989" s="57">
        <v>46200</v>
      </c>
      <c r="F989" s="38" t="str">
        <f>IF(C989&lt;&gt;"",VLOOKUP($C989,Carpetas!$C$5:$L$2060,2,FALSE),"")</f>
        <v>ECB024/26</v>
      </c>
      <c r="G989" s="38" t="s">
        <v>43</v>
      </c>
      <c r="H989" s="44">
        <f>IF(C989&lt;&gt;"",VLOOKUP($C989,Carpetas!$C$5:$L$2060,9,FALSE),"")</f>
        <v>1561235</v>
      </c>
      <c r="I989" s="51" t="str">
        <f>IF(C989&lt;&gt;"",VLOOKUP($C989,Carpetas!$C$5:$L$2060,5,FALSE),"")</f>
        <v>Andino</v>
      </c>
      <c r="J989" s="51" t="str">
        <f>IF(D989&lt;&gt;"",VLOOKUP($C989,Carpetas!$C$5:$L$2060,3,FALSE),"")</f>
        <v>Nobora Trading Group</v>
      </c>
      <c r="K989" s="50">
        <v>46232</v>
      </c>
      <c r="L989" s="39" t="str">
        <f>VLOOKUP($C989,Carpetas!$C$5:$L$2060,4,FALSE)</f>
        <v>Fray Bentos</v>
      </c>
      <c r="M989" s="55">
        <f>K989+1</f>
        <v>46233</v>
      </c>
      <c r="N989" s="53">
        <f t="shared" si="64"/>
        <v>33</v>
      </c>
      <c r="O989" s="51">
        <v>1080</v>
      </c>
      <c r="P989" s="51">
        <v>1</v>
      </c>
      <c r="Q989" s="51">
        <v>1080</v>
      </c>
      <c r="R989" s="51">
        <v>20</v>
      </c>
      <c r="S989" s="51"/>
      <c r="T989" s="65"/>
      <c r="U989" s="65"/>
      <c r="V989" s="65"/>
      <c r="W989" s="51"/>
      <c r="X989" s="66" t="s">
        <v>2069</v>
      </c>
    </row>
    <row r="990" hidden="1" ht="27.75" customHeight="1" s="32" customFormat="1">
      <c r="A990" s="37"/>
      <c r="B990" s="31" t="s">
        <v>32</v>
      </c>
      <c r="C990" s="59" t="s">
        <v>2070</v>
      </c>
      <c r="D990" s="121" t="s">
        <v>30</v>
      </c>
      <c r="E990" s="57">
        <v>46228</v>
      </c>
      <c r="F990" s="38" t="str">
        <f>IF(C990&lt;&gt;"",VLOOKUP($C990,Carpetas!$C$5:$L$2060,2,FALSE),"")</f>
        <v>BOB035/26</v>
      </c>
      <c r="G990" s="38" t="s">
        <v>43</v>
      </c>
      <c r="H990" s="44">
        <f>IF(C990&lt;&gt;"",VLOOKUP($C990,Carpetas!$C$5:$L$2060,9,FALSE),"")</f>
        <v>1563901</v>
      </c>
      <c r="I990" s="51" t="str">
        <f>IF(C990&lt;&gt;"",VLOOKUP($C990,Carpetas!$C$5:$L$2060,5,FALSE),"")</f>
        <v>Surcentral</v>
      </c>
      <c r="J990" s="51" t="str">
        <f>IF(D990&lt;&gt;"",VLOOKUP($C990,Carpetas!$C$5:$L$2060,3,FALSE),"")</f>
        <v>Banexfrut</v>
      </c>
      <c r="K990" s="50">
        <v>46232</v>
      </c>
      <c r="L990" s="39" t="str">
        <f>VLOOKUP($C990,Carpetas!$C$5:$L$2060,4,FALSE)</f>
        <v>Salto</v>
      </c>
      <c r="M990" s="55">
        <f>K990+1+1</f>
        <v>46234</v>
      </c>
      <c r="N990" s="53">
        <f t="shared" si="64"/>
        <v>6</v>
      </c>
      <c r="O990" s="51">
        <v>1050</v>
      </c>
      <c r="P990" s="51">
        <v>1</v>
      </c>
      <c r="Q990" s="51">
        <v>1050</v>
      </c>
      <c r="R990" s="51" t="s">
        <v>850</v>
      </c>
      <c r="S990" s="51">
        <v>21</v>
      </c>
      <c r="T990" s="65"/>
      <c r="U990" s="65"/>
      <c r="V990" s="65"/>
      <c r="W990" s="51"/>
      <c r="X990" s="66" t="s">
        <v>2071</v>
      </c>
    </row>
    <row r="991" hidden="1" ht="27.75" customHeight="1" s="32" customFormat="1">
      <c r="A991" s="37"/>
      <c r="B991" s="31" t="s">
        <v>32</v>
      </c>
      <c r="C991" s="59" t="s">
        <v>2065</v>
      </c>
      <c r="D991" s="121" t="s">
        <v>30</v>
      </c>
      <c r="E991" s="57">
        <v>46200</v>
      </c>
      <c r="F991" s="38" t="str">
        <f>IF(C991&lt;&gt;"",VLOOKUP($C991,Carpetas!$C$5:$L$2060,2,FALSE),"")</f>
        <v>ECB024/26</v>
      </c>
      <c r="G991" s="38" t="s">
        <v>43</v>
      </c>
      <c r="H991" s="44">
        <f>IF(C991&lt;&gt;"",VLOOKUP($C991,Carpetas!$C$5:$L$2060,9,FALSE),"")</f>
        <v>1561235</v>
      </c>
      <c r="I991" s="51" t="str">
        <f>IF(C991&lt;&gt;"",VLOOKUP($C991,Carpetas!$C$5:$L$2060,5,FALSE),"")</f>
        <v>Andino</v>
      </c>
      <c r="J991" s="51" t="str">
        <f>IF(D991&lt;&gt;"",VLOOKUP($C991,Carpetas!$C$5:$L$2060,3,FALSE),"")</f>
        <v>Nobora Trading Group</v>
      </c>
      <c r="K991" s="50">
        <v>46233</v>
      </c>
      <c r="L991" s="39" t="str">
        <f>VLOOKUP($C991,Carpetas!$C$5:$L$2060,4,FALSE)</f>
        <v>Fray Bentos</v>
      </c>
      <c r="M991" s="55">
        <f>K991+1</f>
        <v>46234</v>
      </c>
      <c r="N991" s="53">
        <f t="shared" si="64"/>
        <v>34</v>
      </c>
      <c r="O991" s="51">
        <v>2160</v>
      </c>
      <c r="P991" s="51">
        <v>2</v>
      </c>
      <c r="Q991" s="51" t="s">
        <v>439</v>
      </c>
      <c r="R991" s="51">
        <v>40</v>
      </c>
      <c r="S991" s="51"/>
      <c r="T991" s="65"/>
      <c r="U991" s="65"/>
      <c r="V991" s="65"/>
      <c r="W991" s="51"/>
      <c r="X991" s="66" t="s">
        <v>2072</v>
      </c>
    </row>
    <row r="992" hidden="1" ht="27.75" customHeight="1" s="32" customFormat="1">
      <c r="A992" s="37"/>
      <c r="B992" s="31" t="s">
        <v>32</v>
      </c>
      <c r="C992" s="59" t="s">
        <v>2073</v>
      </c>
      <c r="D992" s="121" t="s">
        <v>30</v>
      </c>
      <c r="E992" s="57">
        <v>46208</v>
      </c>
      <c r="F992" s="38" t="str">
        <f>IF(C992&lt;&gt;"",VLOOKUP($C992,Carpetas!$C$5:$L$2060,2,FALSE),"")</f>
        <v>ECB025/26</v>
      </c>
      <c r="G992" s="38" t="s">
        <v>43</v>
      </c>
      <c r="H992" s="44">
        <f>IF(C992&lt;&gt;"",VLOOKUP($C992,Carpetas!$C$5:$L$2060,9,FALSE),"")</f>
        <v>1561864</v>
      </c>
      <c r="I992" s="51" t="str">
        <f>IF(C992&lt;&gt;"",VLOOKUP($C992,Carpetas!$C$5:$L$2060,5,FALSE),"")</f>
        <v>Andino</v>
      </c>
      <c r="J992" s="51" t="str">
        <f>IF(D992&lt;&gt;"",VLOOKUP($C992,Carpetas!$C$5:$L$2060,3,FALSE),"")</f>
        <v>Nobora Trading Group</v>
      </c>
      <c r="K992" s="50">
        <v>46233</v>
      </c>
      <c r="L992" s="39" t="str">
        <f>VLOOKUP($C992,Carpetas!$C$5:$L$2060,4,FALSE)</f>
        <v>Fray Bentos</v>
      </c>
      <c r="M992" s="55">
        <f>K992+1</f>
        <v>46234</v>
      </c>
      <c r="N992" s="53">
        <f t="shared" si="64"/>
        <v>26</v>
      </c>
      <c r="O992" s="51">
        <v>3240</v>
      </c>
      <c r="P992" s="51">
        <v>3</v>
      </c>
      <c r="Q992" s="51" t="s">
        <v>1594</v>
      </c>
      <c r="R992" s="51">
        <v>60</v>
      </c>
      <c r="S992" s="51"/>
      <c r="T992" s="65"/>
      <c r="U992" s="65"/>
      <c r="V992" s="65"/>
      <c r="W992" s="51"/>
      <c r="X992" s="66" t="s">
        <v>2072</v>
      </c>
    </row>
    <row r="993" hidden="1" ht="27.75" customHeight="1" s="32" customFormat="1">
      <c r="A993" s="37"/>
      <c r="B993" s="31" t="s">
        <v>32</v>
      </c>
      <c r="C993" s="59" t="s">
        <v>2073</v>
      </c>
      <c r="D993" s="121" t="s">
        <v>30</v>
      </c>
      <c r="E993" s="57">
        <v>46208</v>
      </c>
      <c r="F993" s="38" t="str">
        <f>IF(C993&lt;&gt;"",VLOOKUP($C993,Carpetas!$C$5:$L$2060,2,FALSE),"")</f>
        <v>ECB025/26</v>
      </c>
      <c r="G993" s="38" t="s">
        <v>43</v>
      </c>
      <c r="H993" s="44">
        <f>IF(C993&lt;&gt;"",VLOOKUP($C993,Carpetas!$C$5:$L$2060,9,FALSE),"")</f>
        <v>1561864</v>
      </c>
      <c r="I993" s="51" t="str">
        <f>IF(C993&lt;&gt;"",VLOOKUP($C993,Carpetas!$C$5:$L$2060,5,FALSE),"")</f>
        <v>Andino</v>
      </c>
      <c r="J993" s="51" t="str">
        <f>IF(D993&lt;&gt;"",VLOOKUP($C993,Carpetas!$C$5:$L$2060,3,FALSE),"")</f>
        <v>Nobora Trading Group</v>
      </c>
      <c r="K993" s="50">
        <v>46234</v>
      </c>
      <c r="L993" s="39" t="str">
        <f>VLOOKUP($C993,Carpetas!$C$5:$L$2060,4,FALSE)</f>
        <v>Fray Bentos</v>
      </c>
      <c r="M993" s="55">
        <f>K993+1</f>
        <v>46235</v>
      </c>
      <c r="N993" s="53">
        <f t="shared" si="64"/>
        <v>27</v>
      </c>
      <c r="O993" s="51">
        <v>2160</v>
      </c>
      <c r="P993" s="51">
        <v>2</v>
      </c>
      <c r="Q993" s="51"/>
      <c r="R993" s="51"/>
      <c r="S993" s="51"/>
      <c r="T993" s="65"/>
      <c r="U993" s="65"/>
      <c r="V993" s="65"/>
      <c r="W993" s="51"/>
      <c r="X993" s="66"/>
    </row>
    <row r="994" hidden="1" ht="27.75" customHeight="1" s="32" customFormat="1">
      <c r="A994" s="37"/>
      <c r="B994" s="31" t="s">
        <v>32</v>
      </c>
      <c r="C994" s="59" t="s">
        <v>2074</v>
      </c>
      <c r="D994" s="121" t="s">
        <v>30</v>
      </c>
      <c r="E994" s="57">
        <v>46230</v>
      </c>
      <c r="F994" s="38" t="str">
        <f>IF(C994&lt;&gt;"",VLOOKUP($C994,Carpetas!$C$5:$L$2060,2,FALSE),"")</f>
        <v>BOB036/26</v>
      </c>
      <c r="G994" s="38" t="s">
        <v>43</v>
      </c>
      <c r="H994" s="44">
        <f>IF(C994&lt;&gt;"",VLOOKUP($C994,Carpetas!$C$5:$L$2060,9,FALSE),"")</f>
        <v>0</v>
      </c>
      <c r="I994" s="51" t="str">
        <f>IF(C994&lt;&gt;"",VLOOKUP($C994,Carpetas!$C$5:$L$2060,5,FALSE),"")</f>
        <v>Sintercargas </v>
      </c>
      <c r="J994" s="51" t="str">
        <f>IF(D994&lt;&gt;"",VLOOKUP($C994,Carpetas!$C$5:$L$2060,3,FALSE),"")</f>
        <v>Befrut</v>
      </c>
      <c r="K994" s="50">
        <v>46238</v>
      </c>
      <c r="L994" s="39" t="str">
        <f>VLOOKUP($C994,Carpetas!$C$5:$L$2060,4,FALSE)</f>
        <v>Salto</v>
      </c>
      <c r="M994" s="55">
        <v>46240</v>
      </c>
      <c r="N994" s="53">
        <f t="shared" si="64"/>
        <v>10</v>
      </c>
      <c r="O994" s="51">
        <v>1050</v>
      </c>
      <c r="P994" s="51">
        <v>1</v>
      </c>
      <c r="Q994" s="51">
        <v>1050</v>
      </c>
      <c r="R994" s="51" t="s">
        <v>2075</v>
      </c>
      <c r="S994" s="51">
        <v>21</v>
      </c>
      <c r="T994" s="65"/>
      <c r="U994" s="65"/>
      <c r="V994" s="65" t="s">
        <v>1691</v>
      </c>
      <c r="W994" s="51"/>
      <c r="X994" s="66" t="s">
        <v>2076</v>
      </c>
    </row>
    <row r="995" hidden="1" ht="27.75" customHeight="1" s="32" customFormat="1">
      <c r="A995" s="37"/>
      <c r="B995" s="31" t="s">
        <v>32</v>
      </c>
      <c r="C995" s="59" t="s">
        <v>2077</v>
      </c>
      <c r="D995" s="121" t="s">
        <v>30</v>
      </c>
      <c r="E995" s="57">
        <v>46235</v>
      </c>
      <c r="F995" s="38" t="str">
        <f>IF(C995&lt;&gt;"",VLOOKUP($C995,Carpetas!$C$5:$L$2060,2,FALSE),"")</f>
        <v>BOB037/26</v>
      </c>
      <c r="G995" s="38" t="s">
        <v>43</v>
      </c>
      <c r="H995" s="44">
        <f>IF(C995&lt;&gt;"",VLOOKUP($C995,Carpetas!$C$5:$L$2060,9,FALSE),"")</f>
        <v>1564817</v>
      </c>
      <c r="I995" s="51" t="str">
        <f>IF(C995&lt;&gt;"",VLOOKUP($C995,Carpetas!$C$5:$L$2060,5,FALSE),"")</f>
        <v>Surcentral</v>
      </c>
      <c r="J995" s="51" t="str">
        <f>IF(D995&lt;&gt;"",VLOOKUP($C995,Carpetas!$C$5:$L$2060,3,FALSE),"")</f>
        <v>Banexfrut</v>
      </c>
      <c r="K995" s="50">
        <v>46239</v>
      </c>
      <c r="L995" s="39" t="str">
        <f>VLOOKUP($C995,Carpetas!$C$5:$L$2060,4,FALSE)</f>
        <v>Salto</v>
      </c>
      <c r="M995" s="55">
        <f>K995+1</f>
        <v>46240</v>
      </c>
      <c r="N995" s="53">
        <f t="shared" si="64"/>
        <v>5</v>
      </c>
      <c r="O995" s="51">
        <v>1050</v>
      </c>
      <c r="P995" s="51">
        <v>1</v>
      </c>
      <c r="Q995" s="51">
        <v>1050</v>
      </c>
      <c r="R995" s="51" t="s">
        <v>850</v>
      </c>
      <c r="S995" s="51">
        <v>21</v>
      </c>
      <c r="T995" s="65"/>
      <c r="U995" s="65"/>
      <c r="V995" s="65"/>
      <c r="W995" s="51"/>
      <c r="X995" s="66" t="s">
        <v>2078</v>
      </c>
    </row>
    <row r="996" hidden="1" ht="27.75" customHeight="1" s="32" customFormat="1">
      <c r="A996" s="37"/>
      <c r="B996" s="31" t="s">
        <v>32</v>
      </c>
      <c r="C996" s="59" t="s">
        <v>2079</v>
      </c>
      <c r="D996" s="121" t="s">
        <v>30</v>
      </c>
      <c r="E996" s="57">
        <v>46215</v>
      </c>
      <c r="F996" s="38" t="str">
        <f>IF(C996&lt;&gt;"",VLOOKUP($C996,Carpetas!$C$5:$L$2060,2,FALSE),"")</f>
        <v>ECB026/26</v>
      </c>
      <c r="G996" s="38" t="s">
        <v>43</v>
      </c>
      <c r="H996" s="44">
        <f>IF(C996&lt;&gt;"",VLOOKUP($C996,Carpetas!$C$5:$L$2060,9,FALSE),"")</f>
        <v>1566865</v>
      </c>
      <c r="I996" s="51" t="str">
        <f>IF(C996&lt;&gt;"",VLOOKUP($C996,Carpetas!$C$5:$L$2060,5,FALSE),"")</f>
        <v>Andino</v>
      </c>
      <c r="J996" s="51" t="str">
        <f>IF(D996&lt;&gt;"",VLOOKUP($C996,Carpetas!$C$5:$L$2060,3,FALSE),"")</f>
        <v>Nobora Trading Group</v>
      </c>
      <c r="K996" s="50">
        <v>46240</v>
      </c>
      <c r="L996" s="39" t="str">
        <f>VLOOKUP($C996,Carpetas!$C$5:$L$2060,4,FALSE)</f>
        <v>Fray Bentos</v>
      </c>
      <c r="M996" s="55">
        <f>K996+1</f>
        <v>46241</v>
      </c>
      <c r="N996" s="53">
        <f t="shared" si="64"/>
        <v>26</v>
      </c>
      <c r="O996" s="51">
        <v>1080</v>
      </c>
      <c r="P996" s="51">
        <v>10</v>
      </c>
      <c r="Q996" s="51">
        <v>1080</v>
      </c>
      <c r="R996" s="51"/>
      <c r="S996" s="51"/>
      <c r="T996" s="65"/>
      <c r="U996" s="65"/>
      <c r="V996" s="65"/>
      <c r="W996" s="51"/>
      <c r="X996" s="66" t="s">
        <v>2080</v>
      </c>
    </row>
    <row r="997" hidden="1" ht="27.75" customHeight="1" s="32" customFormat="1">
      <c r="A997" s="37"/>
      <c r="B997" s="31" t="s">
        <v>32</v>
      </c>
      <c r="C997" s="59" t="s">
        <v>2081</v>
      </c>
      <c r="D997" s="121" t="s">
        <v>30</v>
      </c>
      <c r="E997" s="57">
        <v>46208</v>
      </c>
      <c r="F997" s="38" t="str">
        <f>IF(C997&lt;&gt;"",VLOOKUP($C997,Carpetas!$C$5:$L$2060,2,FALSE),"")</f>
        <v>ECI029/26</v>
      </c>
      <c r="G997" s="38" t="s">
        <v>43</v>
      </c>
      <c r="H997" s="44">
        <f>IF(C997&lt;&gt;"",VLOOKUP($C997,Carpetas!$C$5:$L$2060,9,FALSE),"")</f>
        <v>1562771</v>
      </c>
      <c r="I997" s="51" t="str">
        <f>IF(C997&lt;&gt;"",VLOOKUP($C997,Carpetas!$C$5:$L$2060,5,FALSE),"")</f>
        <v>Andino</v>
      </c>
      <c r="J997" s="51" t="str">
        <f>IF(D997&lt;&gt;"",VLOOKUP($C997,Carpetas!$C$5:$L$2060,3,FALSE),"")</f>
        <v>Interbanana</v>
      </c>
      <c r="K997" s="50">
        <v>46240</v>
      </c>
      <c r="L997" s="39" t="str">
        <f>VLOOKUP($C997,Carpetas!$C$5:$L$2060,4,FALSE)</f>
        <v>Fray Bentos</v>
      </c>
      <c r="M997" s="55">
        <f>K997+1</f>
        <v>46241</v>
      </c>
      <c r="N997" s="53">
        <f t="shared" si="64"/>
        <v>33</v>
      </c>
      <c r="O997" s="51">
        <v>1080</v>
      </c>
      <c r="P997" s="51">
        <v>3</v>
      </c>
      <c r="Q997" s="51">
        <v>1080</v>
      </c>
      <c r="R997" s="51">
        <v>20</v>
      </c>
      <c r="S997" s="51"/>
      <c r="T997" s="65"/>
      <c r="U997" s="65"/>
      <c r="V997" s="65"/>
      <c r="W997" s="51"/>
      <c r="X997" s="66" t="s">
        <v>2082</v>
      </c>
    </row>
    <row r="998" hidden="1" ht="27.75" customHeight="1" s="32" customFormat="1">
      <c r="A998" s="37"/>
      <c r="B998" s="31" t="s">
        <v>32</v>
      </c>
      <c r="C998" s="59" t="s">
        <v>2081</v>
      </c>
      <c r="D998" s="121" t="s">
        <v>30</v>
      </c>
      <c r="E998" s="57">
        <v>46208</v>
      </c>
      <c r="F998" s="38" t="str">
        <f>IF(C998&lt;&gt;"",VLOOKUP($C998,Carpetas!$C$5:$L$2060,2,FALSE),"")</f>
        <v>ECI029/26</v>
      </c>
      <c r="G998" s="38" t="s">
        <v>43</v>
      </c>
      <c r="H998" s="44">
        <f>IF(C998&lt;&gt;"",VLOOKUP($C998,Carpetas!$C$5:$L$2060,9,FALSE),"")</f>
        <v>1562771</v>
      </c>
      <c r="I998" s="51" t="str">
        <f>IF(C998&lt;&gt;"",VLOOKUP($C998,Carpetas!$C$5:$L$2060,5,FALSE),"")</f>
        <v>Andino</v>
      </c>
      <c r="J998" s="51" t="str">
        <f>IF(D998&lt;&gt;"",VLOOKUP($C998,Carpetas!$C$5:$L$2060,3,FALSE),"")</f>
        <v>Interbanana</v>
      </c>
      <c r="K998" s="50">
        <v>46242</v>
      </c>
      <c r="L998" s="39" t="str">
        <f>VLOOKUP($C998,Carpetas!$C$5:$L$2060,4,FALSE)</f>
        <v>Fray Bentos</v>
      </c>
      <c r="M998" s="55">
        <v>46244</v>
      </c>
      <c r="N998" s="53">
        <f t="shared" si="64"/>
        <v>36</v>
      </c>
      <c r="O998" s="51">
        <v>2160</v>
      </c>
      <c r="P998" s="51">
        <v>3</v>
      </c>
      <c r="Q998" s="51">
        <v>2160</v>
      </c>
      <c r="R998" s="51">
        <v>40</v>
      </c>
      <c r="S998" s="51"/>
      <c r="T998" s="65"/>
      <c r="U998" s="65"/>
      <c r="V998" s="65"/>
      <c r="W998" s="51"/>
      <c r="X998" s="66" t="s">
        <v>2083</v>
      </c>
    </row>
    <row r="999" hidden="1" ht="27.75" customHeight="1" s="32" customFormat="1">
      <c r="A999" s="37"/>
      <c r="B999" s="31" t="s">
        <v>32</v>
      </c>
      <c r="C999" s="59" t="s">
        <v>2084</v>
      </c>
      <c r="D999" s="121" t="s">
        <v>37</v>
      </c>
      <c r="E999" s="57">
        <v>46237</v>
      </c>
      <c r="F999" s="38" t="str">
        <f>IF(C999&lt;&gt;"",VLOOKUP($C999,Carpetas!$C$5:$L$2060,2,FALSE),"")</f>
        <v>CLK006-26</v>
      </c>
      <c r="G999" s="38" t="s">
        <v>35</v>
      </c>
      <c r="H999" s="44">
        <f>IF(C999&lt;&gt;"",VLOOKUP($C999,Carpetas!$C$5:$L$2060,9,FALSE),"")</f>
        <v>1564798</v>
      </c>
      <c r="I999" s="51" t="str">
        <f>IF(C999&lt;&gt;"",VLOOKUP($C999,Carpetas!$C$5:$L$2060,5,FALSE),"")</f>
        <v>RCT</v>
      </c>
      <c r="J999" s="51" t="str">
        <f>IF(D999&lt;&gt;"",VLOOKUP($C999,Carpetas!$C$5:$L$2060,3,FALSE),"")</f>
        <v>Coopefrut</v>
      </c>
      <c r="K999" s="50">
        <v>46252</v>
      </c>
      <c r="L999" s="39" t="str">
        <f>VLOOKUP($C999,Carpetas!$C$5:$L$2060,4,FALSE)</f>
        <v>Fray Bentos</v>
      </c>
      <c r="M999" s="55">
        <f>K999+1</f>
        <v>46253</v>
      </c>
      <c r="N999" s="53">
        <f t="shared" si="64"/>
        <v>16</v>
      </c>
      <c r="O999" s="51">
        <v>2295</v>
      </c>
      <c r="P999" s="51">
        <v>1</v>
      </c>
      <c r="Q999" s="51">
        <v>2295</v>
      </c>
      <c r="R999" s="51">
        <v>24</v>
      </c>
      <c r="S999" s="51"/>
      <c r="T999" s="65"/>
      <c r="U999" s="65"/>
      <c r="V999" s="65"/>
      <c r="W999" s="51"/>
      <c r="X999" s="66" t="s">
        <v>2085</v>
      </c>
    </row>
    <row r="1000" hidden="1" ht="27.75" customHeight="1" s="32" customFormat="1">
      <c r="A1000" s="37"/>
      <c r="B1000" s="31" t="s">
        <v>32</v>
      </c>
      <c r="C1000" s="57" t="s">
        <v>2086</v>
      </c>
      <c r="D1000" s="121" t="s">
        <v>48</v>
      </c>
      <c r="E1000" s="57">
        <v>46245</v>
      </c>
      <c r="F1000" s="38" t="str">
        <f>IF(C1000&lt;&gt;"",VLOOKUP($C1000,Carpetas!$C$5:$L$2060,2,FALSE),"")</f>
        <v>CLP004-26</v>
      </c>
      <c r="G1000" s="38" t="s">
        <v>35</v>
      </c>
      <c r="H1000" s="44">
        <f>IF(C1000&lt;&gt;"",VLOOKUP($C1000,Carpetas!$C$5:$L$2060,9,FALSE),"")</f>
        <v>1565473</v>
      </c>
      <c r="I1000" s="51" t="str">
        <f>IF(C1000&lt;&gt;"",VLOOKUP($C1000,Carpetas!$C$5:$L$2060,5,FALSE),"")</f>
        <v>Sarla y Ramon</v>
      </c>
      <c r="J1000" s="51" t="str">
        <f>IF(D1000&lt;&gt;"",VLOOKUP($C1000,Carpetas!$C$5:$L$2060,3,FALSE),"")</f>
        <v>Comercial Superior</v>
      </c>
      <c r="K1000" s="50">
        <v>46254</v>
      </c>
      <c r="L1000" s="39" t="str">
        <f>VLOOKUP($C1000,Carpetas!$C$5:$L$2060,4,FALSE)</f>
        <v>Fray Bentos</v>
      </c>
      <c r="M1000" s="55">
        <f>K1000+1</f>
        <v>46255</v>
      </c>
      <c r="N1000" s="53">
        <f t="shared" si="64"/>
        <v>10</v>
      </c>
      <c r="O1000" s="51">
        <v>2024</v>
      </c>
      <c r="P1000" s="51">
        <v>1</v>
      </c>
      <c r="Q1000" s="51">
        <v>2024</v>
      </c>
      <c r="R1000" s="51">
        <v>23</v>
      </c>
      <c r="S1000" s="51"/>
      <c r="T1000" s="65"/>
      <c r="U1000" s="65"/>
      <c r="V1000" s="65"/>
      <c r="W1000" s="51"/>
      <c r="X1000" s="66" t="s">
        <v>2087</v>
      </c>
    </row>
    <row r="1001" hidden="1" ht="27.75" customHeight="1" s="32" customFormat="1">
      <c r="A1001" s="37"/>
      <c r="B1001" s="31" t="s">
        <v>32</v>
      </c>
      <c r="C1001" s="59" t="s">
        <v>2088</v>
      </c>
      <c r="D1001" s="121" t="s">
        <v>30</v>
      </c>
      <c r="E1001" s="57">
        <v>46246</v>
      </c>
      <c r="F1001" s="38" t="str">
        <f>IF(C1001&lt;&gt;"",VLOOKUP($C1001,Carpetas!$C$5:$L$2060,2,FALSE),"")</f>
        <v>BOB039-26</v>
      </c>
      <c r="G1001" s="38" t="s">
        <v>31</v>
      </c>
      <c r="H1001" s="44">
        <f>IF(C1001&lt;&gt;"",VLOOKUP($C1001,Carpetas!$C$5:$L$2060,9,FALSE),"")</f>
        <v>0</v>
      </c>
      <c r="I1001" s="51" t="str">
        <f>IF(C1001&lt;&gt;"",VLOOKUP($C1001,Carpetas!$C$5:$L$2060,5,FALSE),"")</f>
        <v>Sintercargas </v>
      </c>
      <c r="J1001" s="51" t="str">
        <f>IF(D1001&lt;&gt;"",VLOOKUP($C1001,Carpetas!$C$5:$L$2060,3,FALSE),"")</f>
        <v>Befrut</v>
      </c>
      <c r="K1001" s="50">
        <v>46255</v>
      </c>
      <c r="L1001" s="39" t="str">
        <f>VLOOKUP($C1001,Carpetas!$C$5:$L$2060,4,FALSE)</f>
        <v>Salto</v>
      </c>
      <c r="M1001" s="55">
        <f>K1001+1</f>
        <v>46256</v>
      </c>
      <c r="N1001" s="53">
        <f t="shared" si="64"/>
        <v>10</v>
      </c>
      <c r="O1001" s="51">
        <v>1050</v>
      </c>
      <c r="P1001" s="51">
        <v>3</v>
      </c>
      <c r="Q1001" s="51">
        <v>1050</v>
      </c>
      <c r="R1001" s="51" t="s">
        <v>850</v>
      </c>
      <c r="S1001" s="51"/>
      <c r="T1001" s="65"/>
      <c r="U1001" s="65"/>
      <c r="V1001" s="65" t="s">
        <v>1866</v>
      </c>
      <c r="W1001" s="51"/>
      <c r="X1001" s="66" t="s">
        <v>2089</v>
      </c>
    </row>
    <row r="1002" hidden="1" ht="27.75" customHeight="1" s="32" customFormat="1">
      <c r="A1002" s="37"/>
      <c r="B1002" s="31" t="s">
        <v>32</v>
      </c>
      <c r="C1002" s="59" t="s">
        <v>2079</v>
      </c>
      <c r="D1002" s="121" t="s">
        <v>30</v>
      </c>
      <c r="E1002" s="57">
        <v>46215</v>
      </c>
      <c r="F1002" s="38" t="str">
        <f>IF(C1002&lt;&gt;"",VLOOKUP($C1002,Carpetas!$C$5:$L$2060,2,FALSE),"")</f>
        <v>ECB026/26</v>
      </c>
      <c r="G1002" s="38" t="s">
        <v>43</v>
      </c>
      <c r="H1002" s="44">
        <f>IF(C1002&lt;&gt;"",VLOOKUP($C1002,Carpetas!$C$5:$L$2060,9,FALSE),"")</f>
        <v>1566865</v>
      </c>
      <c r="I1002" s="51" t="str">
        <f>IF(C1002&lt;&gt;"",VLOOKUP($C1002,Carpetas!$C$5:$L$2060,5,FALSE),"")</f>
        <v>Andino</v>
      </c>
      <c r="J1002" s="51" t="str">
        <f>IF(D1002&lt;&gt;"",VLOOKUP($C1002,Carpetas!$C$5:$L$2060,3,FALSE),"")</f>
        <v>Nobora Trading Group</v>
      </c>
      <c r="K1002" s="50">
        <v>46256</v>
      </c>
      <c r="L1002" s="39" t="str">
        <f>VLOOKUP($C1002,Carpetas!$C$5:$L$2060,4,FALSE)</f>
        <v>Fray Bentos</v>
      </c>
      <c r="M1002" s="55">
        <f>K1002+1</f>
        <v>46257</v>
      </c>
      <c r="N1002" s="53">
        <f t="shared" si="64"/>
        <v>42</v>
      </c>
      <c r="O1002" s="51">
        <v>3240</v>
      </c>
      <c r="P1002" s="51">
        <v>3</v>
      </c>
      <c r="Q1002" s="51">
        <v>3240</v>
      </c>
      <c r="R1002" s="51">
        <v>60</v>
      </c>
      <c r="S1002" s="51"/>
      <c r="T1002" s="65"/>
      <c r="U1002" s="65"/>
      <c r="V1002" s="65" t="s">
        <v>55</v>
      </c>
      <c r="W1002" s="51"/>
      <c r="X1002" s="66" t="s">
        <v>2090</v>
      </c>
    </row>
    <row r="1003" hidden="1" ht="27.75" customHeight="1" s="32" customFormat="1">
      <c r="A1003" s="37"/>
      <c r="B1003" s="31" t="s">
        <v>32</v>
      </c>
      <c r="C1003" s="59" t="s">
        <v>2091</v>
      </c>
      <c r="D1003" s="121" t="s">
        <v>30</v>
      </c>
      <c r="E1003" s="57">
        <v>46222</v>
      </c>
      <c r="F1003" s="38" t="str">
        <f>IF(C1003&lt;&gt;"",VLOOKUP($C1003,Carpetas!$C$5:$L$2060,2,FALSE),"")</f>
        <v>ECI030/26</v>
      </c>
      <c r="G1003" s="38" t="s">
        <v>43</v>
      </c>
      <c r="H1003" s="44">
        <f>IF(C1003&lt;&gt;"",VLOOKUP($C1003,Carpetas!$C$5:$L$2060,9,FALSE),"")</f>
        <v>1563491</v>
      </c>
      <c r="I1003" s="51" t="str">
        <f>IF(C1003&lt;&gt;"",VLOOKUP($C1003,Carpetas!$C$5:$L$2060,5,FALSE),"")</f>
        <v>Andino</v>
      </c>
      <c r="J1003" s="51" t="str">
        <f>IF(D1003&lt;&gt;"",VLOOKUP($C1003,Carpetas!$C$5:$L$2060,3,FALSE),"")</f>
        <v>Interbanana</v>
      </c>
      <c r="K1003" s="50">
        <v>46256</v>
      </c>
      <c r="L1003" s="39" t="str">
        <f>VLOOKUP($C1003,Carpetas!$C$5:$L$2060,4,FALSE)</f>
        <v>Fray Bentos</v>
      </c>
      <c r="M1003" s="55">
        <f>K1003+1</f>
        <v>46257</v>
      </c>
      <c r="N1003" s="53">
        <f t="shared" si="64"/>
        <v>35</v>
      </c>
      <c r="O1003" s="51">
        <v>1080</v>
      </c>
      <c r="P1003" s="51">
        <v>3</v>
      </c>
      <c r="Q1003" s="51">
        <v>1080</v>
      </c>
      <c r="R1003" s="51">
        <v>20</v>
      </c>
      <c r="S1003" s="51"/>
      <c r="T1003" s="65"/>
      <c r="U1003" s="65"/>
      <c r="V1003" s="65" t="s">
        <v>1656</v>
      </c>
      <c r="W1003" s="51"/>
      <c r="X1003" s="66" t="s">
        <v>2092</v>
      </c>
    </row>
    <row r="1004" hidden="1" ht="27.75" customHeight="1" s="32" customFormat="1">
      <c r="A1004" s="37"/>
      <c r="B1004" s="31" t="s">
        <v>32</v>
      </c>
      <c r="C1004" s="59" t="s">
        <v>2093</v>
      </c>
      <c r="D1004" s="121" t="s">
        <v>30</v>
      </c>
      <c r="E1004" s="57">
        <v>46248</v>
      </c>
      <c r="F1004" s="38" t="str">
        <f>IF(C1004&lt;&gt;"",VLOOKUP($C1004,Carpetas!$C$5:$L$2060,2,FALSE),"")</f>
        <v>BOB040-26</v>
      </c>
      <c r="G1004" s="38" t="s">
        <v>31</v>
      </c>
      <c r="H1004" s="44">
        <f>IF(C1004&lt;&gt;"",VLOOKUP($C1004,Carpetas!$C$5:$L$2060,9,FALSE),"")</f>
        <v>1565676</v>
      </c>
      <c r="I1004" s="51" t="str">
        <f>IF(C1004&lt;&gt;"",VLOOKUP($C1004,Carpetas!$C$5:$L$2060,5,FALSE),"")</f>
        <v>Surcentral</v>
      </c>
      <c r="J1004" s="51" t="str">
        <f>IF(D1004&lt;&gt;"",VLOOKUP($C1004,Carpetas!$C$5:$L$2060,3,FALSE),"")</f>
        <v>Banexfrut</v>
      </c>
      <c r="K1004" s="50">
        <v>46258</v>
      </c>
      <c r="L1004" s="39" t="str">
        <f>VLOOKUP($C1004,Carpetas!$C$5:$L$2060,4,FALSE)</f>
        <v>Salto</v>
      </c>
      <c r="M1004" s="55">
        <v>46260</v>
      </c>
      <c r="N1004" s="53">
        <f ref="N1004:N1063" t="shared" si="67">IF(M1004&lt;&gt;"",M1004-E1004,"-")</f>
        <v>12</v>
      </c>
      <c r="O1004" s="51">
        <v>1050</v>
      </c>
      <c r="P1004" s="51">
        <v>1</v>
      </c>
      <c r="Q1004" s="51">
        <v>1050</v>
      </c>
      <c r="R1004" s="51">
        <v>21</v>
      </c>
      <c r="S1004" s="51"/>
      <c r="T1004" s="65"/>
      <c r="U1004" s="65"/>
      <c r="V1004" s="65" t="s">
        <v>895</v>
      </c>
      <c r="W1004" s="51"/>
      <c r="X1004" s="66" t="s">
        <v>2094</v>
      </c>
    </row>
    <row r="1005" hidden="1" ht="27.75" customHeight="1" s="32" customFormat="1">
      <c r="A1005" s="37"/>
      <c r="B1005" s="31" t="s">
        <v>32</v>
      </c>
      <c r="C1005" s="59" t="s">
        <v>2095</v>
      </c>
      <c r="D1005" s="121" t="s">
        <v>42</v>
      </c>
      <c r="E1005" s="57">
        <v>46236</v>
      </c>
      <c r="F1005" s="38" t="str">
        <f>IF(C1005&lt;&gt;"",VLOOKUP($C1005,Carpetas!$C$5:$L$2060,2,FALSE),"")</f>
        <v>ECA015/26</v>
      </c>
      <c r="G1005" s="38" t="s">
        <v>43</v>
      </c>
      <c r="H1005" s="44">
        <f>IF(C1005&lt;&gt;"",VLOOKUP($C1005,Carpetas!$C$5:$L$2060,9,FALSE),"")</f>
        <v>1564257</v>
      </c>
      <c r="I1005" s="51" t="str">
        <f>IF(C1005&lt;&gt;"",VLOOKUP($C1005,Carpetas!$C$5:$L$2060,5,FALSE),"")</f>
        <v>Andino</v>
      </c>
      <c r="J1005" s="51" t="str">
        <f>IF(D1005&lt;&gt;"",VLOOKUP($C1005,Carpetas!$C$5:$L$2060,3,FALSE),"")</f>
        <v>Agroeden</v>
      </c>
      <c r="K1005" s="50">
        <v>46258</v>
      </c>
      <c r="L1005" s="39" t="str">
        <f>VLOOKUP($C1005,Carpetas!$C$5:$L$2060,4,FALSE)</f>
        <v>Fray Bentos</v>
      </c>
      <c r="M1005" s="55">
        <v>46260</v>
      </c>
      <c r="N1005" s="53">
        <f t="shared" si="67"/>
        <v>24</v>
      </c>
      <c r="O1005" s="51">
        <v>1680</v>
      </c>
      <c r="P1005" s="51">
        <v>1</v>
      </c>
      <c r="Q1005" s="51">
        <v>1680</v>
      </c>
      <c r="R1005" s="51">
        <v>21</v>
      </c>
      <c r="S1005" s="51"/>
      <c r="T1005" s="65"/>
      <c r="U1005" s="65"/>
      <c r="V1005" s="65"/>
      <c r="W1005" s="51"/>
      <c r="X1005" s="66"/>
    </row>
    <row r="1006" hidden="1" ht="27.75" customHeight="1" s="32" customFormat="1">
      <c r="A1006" s="37"/>
      <c r="B1006" s="31" t="s">
        <v>32</v>
      </c>
      <c r="C1006" s="59" t="s">
        <v>2096</v>
      </c>
      <c r="D1006" s="121" t="s">
        <v>30</v>
      </c>
      <c r="E1006" s="57">
        <v>46208</v>
      </c>
      <c r="F1006" s="38" t="str">
        <f>IF(C1006&lt;&gt;"",VLOOKUP($C1006,Carpetas!$C$5:$L$2060,2,FALSE),"")</f>
        <v>ECI028/26</v>
      </c>
      <c r="G1006" s="38" t="s">
        <v>43</v>
      </c>
      <c r="H1006" s="44">
        <f>IF(C1006&lt;&gt;"",VLOOKUP($C1006,Carpetas!$C$5:$L$2060,9,FALSE),"")</f>
        <v>1562410</v>
      </c>
      <c r="I1006" s="51" t="str">
        <f>IF(C1006&lt;&gt;"",VLOOKUP($C1006,Carpetas!$C$5:$L$2060,5,FALSE),"")</f>
        <v>RCT</v>
      </c>
      <c r="J1006" s="51" t="str">
        <f>IF(D1006&lt;&gt;"",VLOOKUP($C1006,Carpetas!$C$5:$L$2060,3,FALSE),"")</f>
        <v>Interbanana</v>
      </c>
      <c r="K1006" s="50">
        <v>46258</v>
      </c>
      <c r="L1006" s="39" t="str">
        <f>VLOOKUP($C1006,Carpetas!$C$5:$L$2060,4,FALSE)</f>
        <v>Fray Bentos</v>
      </c>
      <c r="M1006" s="55">
        <v>46260</v>
      </c>
      <c r="N1006" s="53">
        <f t="shared" si="67"/>
        <v>52</v>
      </c>
      <c r="O1006" s="51">
        <v>2160</v>
      </c>
      <c r="P1006" s="51">
        <v>2</v>
      </c>
      <c r="Q1006" s="51">
        <v>2160</v>
      </c>
      <c r="R1006" s="51">
        <v>21</v>
      </c>
      <c r="S1006" s="51"/>
      <c r="T1006" s="65"/>
      <c r="U1006" s="65"/>
      <c r="V1006" s="65" t="s">
        <v>1656</v>
      </c>
      <c r="W1006" s="51"/>
      <c r="X1006" s="66" t="s">
        <v>2097</v>
      </c>
    </row>
    <row r="1007" hidden="1" ht="27.75" customHeight="1" s="32" customFormat="1">
      <c r="A1007" s="37"/>
      <c r="B1007" s="31" t="s">
        <v>32</v>
      </c>
      <c r="C1007" s="59" t="s">
        <v>2096</v>
      </c>
      <c r="D1007" s="121" t="s">
        <v>30</v>
      </c>
      <c r="E1007" s="57">
        <v>46208</v>
      </c>
      <c r="F1007" s="38" t="str">
        <f>IF(C1007&lt;&gt;"",VLOOKUP($C1007,Carpetas!$C$5:$L$2060,2,FALSE),"")</f>
        <v>ECI028/26</v>
      </c>
      <c r="G1007" s="38" t="s">
        <v>43</v>
      </c>
      <c r="H1007" s="44">
        <f>IF(C1007&lt;&gt;"",VLOOKUP($C1007,Carpetas!$C$5:$L$2060,9,FALSE),"")</f>
        <v>1562410</v>
      </c>
      <c r="I1007" s="51" t="str">
        <f>IF(C1007&lt;&gt;"",VLOOKUP($C1007,Carpetas!$C$5:$L$2060,5,FALSE),"")</f>
        <v>RCT</v>
      </c>
      <c r="J1007" s="51" t="str">
        <f>IF(D1007&lt;&gt;"",VLOOKUP($C1007,Carpetas!$C$5:$L$2060,3,FALSE),"")</f>
        <v>Interbanana</v>
      </c>
      <c r="K1007" s="50">
        <v>46258</v>
      </c>
      <c r="L1007" s="39" t="str">
        <f>VLOOKUP($C1007,Carpetas!$C$5:$L$2060,4,FALSE)</f>
        <v>Fray Bentos</v>
      </c>
      <c r="M1007" s="55">
        <v>46260</v>
      </c>
      <c r="N1007" s="53">
        <f t="shared" si="67"/>
        <v>52</v>
      </c>
      <c r="O1007" s="51">
        <v>1080</v>
      </c>
      <c r="P1007" s="51">
        <v>1</v>
      </c>
      <c r="Q1007" s="51">
        <v>1080</v>
      </c>
      <c r="R1007" s="51">
        <v>21</v>
      </c>
      <c r="S1007" s="51"/>
      <c r="T1007" s="65"/>
      <c r="U1007" s="65"/>
      <c r="V1007" s="65" t="s">
        <v>1656</v>
      </c>
      <c r="W1007" s="51"/>
      <c r="X1007" s="66" t="s">
        <v>2098</v>
      </c>
    </row>
    <row r="1008" hidden="1" ht="27.75" customHeight="1" s="32" customFormat="1">
      <c r="A1008" s="37"/>
      <c r="B1008" s="31" t="s">
        <v>32</v>
      </c>
      <c r="C1008" s="59" t="s">
        <v>2079</v>
      </c>
      <c r="D1008" s="121" t="s">
        <v>30</v>
      </c>
      <c r="E1008" s="57">
        <v>46215</v>
      </c>
      <c r="F1008" s="38" t="str">
        <f>IF(C1008&lt;&gt;"",VLOOKUP($C1008,Carpetas!$C$5:$L$2060,2,FALSE),"")</f>
        <v>ECB026/26</v>
      </c>
      <c r="G1008" s="38" t="s">
        <v>43</v>
      </c>
      <c r="H1008" s="44">
        <f>IF(C1008&lt;&gt;"",VLOOKUP($C1008,Carpetas!$C$5:$L$2060,9,FALSE),"")</f>
        <v>1566865</v>
      </c>
      <c r="I1008" s="51" t="str">
        <f>IF(C1008&lt;&gt;"",VLOOKUP($C1008,Carpetas!$C$5:$L$2060,5,FALSE),"")</f>
        <v>Andino</v>
      </c>
      <c r="J1008" s="51" t="str">
        <f>IF(D1008&lt;&gt;"",VLOOKUP($C1008,Carpetas!$C$5:$L$2060,3,FALSE),"")</f>
        <v>Nobora Trading Group</v>
      </c>
      <c r="K1008" s="50">
        <v>46258</v>
      </c>
      <c r="L1008" s="39" t="str">
        <f>VLOOKUP($C1008,Carpetas!$C$5:$L$2060,4,FALSE)</f>
        <v>Fray Bentos</v>
      </c>
      <c r="M1008" s="55">
        <v>46260</v>
      </c>
      <c r="N1008" s="53">
        <f t="shared" si="67"/>
        <v>45</v>
      </c>
      <c r="O1008" s="51">
        <v>1080</v>
      </c>
      <c r="P1008" s="51">
        <v>1</v>
      </c>
      <c r="Q1008" s="51">
        <v>1080</v>
      </c>
      <c r="R1008" s="51">
        <v>21</v>
      </c>
      <c r="S1008" s="51"/>
      <c r="T1008" s="65"/>
      <c r="U1008" s="65"/>
      <c r="V1008" s="65" t="s">
        <v>55</v>
      </c>
      <c r="W1008" s="51"/>
      <c r="X1008" s="66" t="s">
        <v>2099</v>
      </c>
    </row>
    <row r="1009" hidden="1" ht="27.75" customHeight="1" s="32" customFormat="1">
      <c r="A1009" s="37"/>
      <c r="B1009" s="31" t="s">
        <v>32</v>
      </c>
      <c r="C1009" s="59" t="s">
        <v>2091</v>
      </c>
      <c r="D1009" s="121" t="s">
        <v>30</v>
      </c>
      <c r="E1009" s="57">
        <v>46222</v>
      </c>
      <c r="F1009" s="38" t="str">
        <f>IF(C1009&lt;&gt;"",VLOOKUP($C1009,Carpetas!$C$5:$L$2060,2,FALSE),"")</f>
        <v>ECI030/26</v>
      </c>
      <c r="G1009" s="38" t="s">
        <v>43</v>
      </c>
      <c r="H1009" s="44">
        <f>IF(C1009&lt;&gt;"",VLOOKUP($C1009,Carpetas!$C$5:$L$2060,9,FALSE),"")</f>
        <v>1563491</v>
      </c>
      <c r="I1009" s="51" t="str">
        <f>IF(C1009&lt;&gt;"",VLOOKUP($C1009,Carpetas!$C$5:$L$2060,5,FALSE),"")</f>
        <v>Andino</v>
      </c>
      <c r="J1009" s="51" t="str">
        <f>IF(D1009&lt;&gt;"",VLOOKUP($C1009,Carpetas!$C$5:$L$2060,3,FALSE),"")</f>
        <v>Interbanana</v>
      </c>
      <c r="K1009" s="50">
        <v>46258</v>
      </c>
      <c r="L1009" s="39" t="str">
        <f>VLOOKUP($C1009,Carpetas!$C$5:$L$2060,4,FALSE)</f>
        <v>Fray Bentos</v>
      </c>
      <c r="M1009" s="55">
        <v>46260</v>
      </c>
      <c r="N1009" s="53">
        <f t="shared" si="67"/>
        <v>38</v>
      </c>
      <c r="O1009" s="51">
        <v>1080</v>
      </c>
      <c r="P1009" s="51">
        <v>1</v>
      </c>
      <c r="Q1009" s="51">
        <v>1080</v>
      </c>
      <c r="R1009" s="51">
        <v>20</v>
      </c>
      <c r="S1009" s="51"/>
      <c r="T1009" s="65"/>
      <c r="U1009" s="65"/>
      <c r="V1009" s="65"/>
      <c r="W1009" s="51"/>
      <c r="X1009" s="66" t="s">
        <v>2100</v>
      </c>
    </row>
    <row r="1010" hidden="1" ht="27.75" customHeight="1" s="32" customFormat="1">
      <c r="A1010" s="37"/>
      <c r="B1010" s="31" t="s">
        <v>32</v>
      </c>
      <c r="C1010" s="59" t="s">
        <v>2091</v>
      </c>
      <c r="D1010" s="121" t="s">
        <v>30</v>
      </c>
      <c r="E1010" s="57">
        <v>46222</v>
      </c>
      <c r="F1010" s="38" t="str">
        <f>IF(C1010&lt;&gt;"",VLOOKUP($C1010,Carpetas!$C$5:$L$2060,2,FALSE),"")</f>
        <v>ECI030/26</v>
      </c>
      <c r="G1010" s="38" t="s">
        <v>43</v>
      </c>
      <c r="H1010" s="44">
        <f>IF(C1010&lt;&gt;"",VLOOKUP($C1010,Carpetas!$C$5:$L$2060,9,FALSE),"")</f>
        <v>1563491</v>
      </c>
      <c r="I1010" s="51" t="str">
        <f>IF(C1010&lt;&gt;"",VLOOKUP($C1010,Carpetas!$C$5:$L$2060,5,FALSE),"")</f>
        <v>Andino</v>
      </c>
      <c r="J1010" s="51" t="str">
        <f>IF(D1010&lt;&gt;"",VLOOKUP($C1010,Carpetas!$C$5:$L$2060,3,FALSE),"")</f>
        <v>Interbanana</v>
      </c>
      <c r="K1010" s="50">
        <v>46258</v>
      </c>
      <c r="L1010" s="39" t="str">
        <f>VLOOKUP($C1010,Carpetas!$C$5:$L$2060,4,FALSE)</f>
        <v>Fray Bentos</v>
      </c>
      <c r="M1010" s="55">
        <v>46260</v>
      </c>
      <c r="N1010" s="53">
        <f t="shared" si="67"/>
        <v>38</v>
      </c>
      <c r="O1010" s="51">
        <v>1080</v>
      </c>
      <c r="P1010" s="51">
        <v>1</v>
      </c>
      <c r="Q1010" s="51">
        <v>1080</v>
      </c>
      <c r="R1010" s="51">
        <v>20</v>
      </c>
      <c r="S1010" s="51"/>
      <c r="T1010" s="65"/>
      <c r="U1010" s="65"/>
      <c r="V1010" s="65"/>
      <c r="W1010" s="51"/>
      <c r="X1010" s="66" t="s">
        <v>2101</v>
      </c>
    </row>
    <row r="1011" hidden="1" ht="27.75" customHeight="1" s="32" customFormat="1">
      <c r="A1011" s="37"/>
      <c r="B1011" s="31" t="s">
        <v>32</v>
      </c>
      <c r="C1011" s="59" t="s">
        <v>2102</v>
      </c>
      <c r="D1011" s="121" t="s">
        <v>30</v>
      </c>
      <c r="E1011" s="57">
        <v>46222</v>
      </c>
      <c r="F1011" s="38" t="str">
        <f>IF(C1011&lt;&gt;"",VLOOKUP($C1011,Carpetas!$C$5:$L$2060,2,FALSE),"")</f>
        <v>ECB027/26</v>
      </c>
      <c r="G1011" s="38" t="s">
        <v>43</v>
      </c>
      <c r="H1011" s="44">
        <f>IF(C1011&lt;&gt;"",VLOOKUP($C1011,Carpetas!$C$5:$L$2060,9,FALSE),"")</f>
        <v>1563165</v>
      </c>
      <c r="I1011" s="51" t="str">
        <f>IF(C1011&lt;&gt;"",VLOOKUP($C1011,Carpetas!$C$5:$L$2060,5,FALSE),"")</f>
        <v>Andino</v>
      </c>
      <c r="J1011" s="51" t="str">
        <f>IF(D1011&lt;&gt;"",VLOOKUP($C1011,Carpetas!$C$5:$L$2060,3,FALSE),"")</f>
        <v>Nobora Trading Group</v>
      </c>
      <c r="K1011" s="50">
        <v>46258</v>
      </c>
      <c r="L1011" s="39" t="str">
        <f>VLOOKUP($C1011,Carpetas!$C$5:$L$2060,4,FALSE)</f>
        <v>Fray Bentos</v>
      </c>
      <c r="M1011" s="55">
        <v>46260</v>
      </c>
      <c r="N1011" s="53">
        <f t="shared" si="67"/>
        <v>38</v>
      </c>
      <c r="O1011" s="51">
        <v>4320</v>
      </c>
      <c r="P1011" s="51">
        <v>4</v>
      </c>
      <c r="Q1011" s="51" t="s">
        <v>1724</v>
      </c>
      <c r="R1011" s="51">
        <v>80</v>
      </c>
      <c r="S1011" s="51"/>
      <c r="T1011" s="65"/>
      <c r="U1011" s="65"/>
      <c r="V1011" s="65"/>
      <c r="W1011" s="51"/>
      <c r="X1011" s="66" t="s">
        <v>2103</v>
      </c>
    </row>
    <row r="1012" hidden="1" ht="27.75" customHeight="1" s="32" customFormat="1">
      <c r="A1012" s="37"/>
      <c r="B1012" s="31" t="s">
        <v>32</v>
      </c>
      <c r="C1012" s="59" t="s">
        <v>2104</v>
      </c>
      <c r="D1012" s="121" t="s">
        <v>30</v>
      </c>
      <c r="E1012" s="57">
        <v>46229</v>
      </c>
      <c r="F1012" s="38" t="str">
        <f>IF(C1012&lt;&gt;"",VLOOKUP($C1012,Carpetas!$C$5:$L$2060,2,FALSE),"")</f>
        <v>ECI031/26</v>
      </c>
      <c r="G1012" s="38" t="s">
        <v>43</v>
      </c>
      <c r="H1012" s="44">
        <f>IF(C1012&lt;&gt;"",VLOOKUP($C1012,Carpetas!$C$5:$L$2060,9,FALSE),"")</f>
        <v>1564167</v>
      </c>
      <c r="I1012" s="51" t="str">
        <f>IF(C1012&lt;&gt;"",VLOOKUP($C1012,Carpetas!$C$5:$L$2060,5,FALSE),"")</f>
        <v>Andino</v>
      </c>
      <c r="J1012" s="51" t="str">
        <f>IF(D1012&lt;&gt;"",VLOOKUP($C1012,Carpetas!$C$5:$L$2060,3,FALSE),"")</f>
        <v>Interbanana</v>
      </c>
      <c r="K1012" s="50">
        <v>46258</v>
      </c>
      <c r="L1012" s="39" t="str">
        <f>VLOOKUP($C1012,Carpetas!$C$5:$L$2060,4,FALSE)</f>
        <v>Fray Bentos</v>
      </c>
      <c r="M1012" s="55">
        <v>46260</v>
      </c>
      <c r="N1012" s="53">
        <f t="shared" si="67"/>
        <v>31</v>
      </c>
      <c r="O1012" s="51">
        <v>3240</v>
      </c>
      <c r="P1012" s="51">
        <v>3</v>
      </c>
      <c r="Q1012" s="51" t="s">
        <v>1594</v>
      </c>
      <c r="R1012" s="51">
        <v>60</v>
      </c>
      <c r="S1012" s="51"/>
      <c r="T1012" s="65"/>
      <c r="U1012" s="65"/>
      <c r="V1012" s="65"/>
      <c r="W1012" s="51"/>
      <c r="X1012" s="66" t="s">
        <v>2101</v>
      </c>
    </row>
    <row r="1013" hidden="1" ht="27.75" customHeight="1" s="32" customFormat="1">
      <c r="A1013" s="37"/>
      <c r="B1013" s="31" t="s">
        <v>32</v>
      </c>
      <c r="C1013" s="59" t="s">
        <v>2105</v>
      </c>
      <c r="D1013" s="121" t="s">
        <v>30</v>
      </c>
      <c r="E1013" s="57">
        <v>46253</v>
      </c>
      <c r="F1013" s="38" t="str">
        <f>IF(C1013&lt;&gt;"",VLOOKUP($C1013,Carpetas!$C$5:$L$2060,2,FALSE),"")</f>
        <v>BOB041/26</v>
      </c>
      <c r="G1013" s="38" t="s">
        <v>31</v>
      </c>
      <c r="H1013" s="44">
        <f>IF(C1013&lt;&gt;"",VLOOKUP($C1013,Carpetas!$C$5:$L$2060,9,FALSE),"")</f>
        <v>1566579</v>
      </c>
      <c r="I1013" s="51" t="str">
        <f>IF(C1013&lt;&gt;"",VLOOKUP($C1013,Carpetas!$C$5:$L$2060,5,FALSE),"")</f>
        <v>Sintercargas </v>
      </c>
      <c r="J1013" s="51" t="str">
        <f>IF(D1013&lt;&gt;"",VLOOKUP($C1013,Carpetas!$C$5:$L$2060,3,FALSE),"")</f>
        <v>Befrut</v>
      </c>
      <c r="K1013" s="50">
        <v>46258</v>
      </c>
      <c r="L1013" s="39" t="str">
        <f>VLOOKUP($C1013,Carpetas!$C$5:$L$2060,4,FALSE)</f>
        <v>Salto</v>
      </c>
      <c r="M1013" s="55">
        <f>K1013+1+2</f>
        <v>46261</v>
      </c>
      <c r="N1013" s="53">
        <f t="shared" si="67"/>
        <v>8</v>
      </c>
      <c r="O1013" s="51">
        <v>1050</v>
      </c>
      <c r="P1013" s="51">
        <v>1</v>
      </c>
      <c r="Q1013" s="51">
        <v>1050</v>
      </c>
      <c r="R1013" s="51" t="s">
        <v>850</v>
      </c>
      <c r="S1013" s="51"/>
      <c r="T1013" s="65"/>
      <c r="U1013" s="65"/>
      <c r="V1013" s="65" t="s">
        <v>1866</v>
      </c>
      <c r="W1013" s="51"/>
      <c r="X1013" s="66" t="s">
        <v>2106</v>
      </c>
    </row>
    <row r="1014" hidden="1" ht="27.75" customHeight="1" s="32" customFormat="1">
      <c r="A1014" s="37"/>
      <c r="B1014" s="31" t="s">
        <v>32</v>
      </c>
      <c r="C1014" s="59" t="s">
        <v>2107</v>
      </c>
      <c r="D1014" s="121" t="s">
        <v>30</v>
      </c>
      <c r="E1014" s="57">
        <v>46229</v>
      </c>
      <c r="F1014" s="38" t="str">
        <f>IF(C1014&lt;&gt;"",VLOOKUP($C1014,Carpetas!$C$5:$L$2060,2,FALSE),"")</f>
        <v>ECI032/26</v>
      </c>
      <c r="G1014" s="38" t="s">
        <v>43</v>
      </c>
      <c r="H1014" s="44">
        <f>IF(C1014&lt;&gt;"",VLOOKUP($C1014,Carpetas!$C$5:$L$2060,9,FALSE),"")</f>
        <v>1564166</v>
      </c>
      <c r="I1014" s="51" t="str">
        <f>IF(C1014&lt;&gt;"",VLOOKUP($C1014,Carpetas!$C$5:$L$2060,5,FALSE),"")</f>
        <v>Andino</v>
      </c>
      <c r="J1014" s="51" t="str">
        <f>IF(D1014&lt;&gt;"",VLOOKUP($C1014,Carpetas!$C$5:$L$2060,3,FALSE),"")</f>
        <v>Interbanana</v>
      </c>
      <c r="K1014" s="50">
        <v>46260</v>
      </c>
      <c r="L1014" s="39" t="str">
        <f>VLOOKUP($C1014,Carpetas!$C$5:$L$2060,4,FALSE)</f>
        <v>Fray Bentos</v>
      </c>
      <c r="M1014" s="55">
        <f ref="M1014:M1034" t="shared" si="68">K1014+1</f>
        <v>46261</v>
      </c>
      <c r="N1014" s="53">
        <f t="shared" si="67"/>
        <v>32</v>
      </c>
      <c r="O1014" s="51">
        <v>2160</v>
      </c>
      <c r="P1014" s="51">
        <v>2</v>
      </c>
      <c r="Q1014" s="51" t="s">
        <v>439</v>
      </c>
      <c r="R1014" s="51">
        <v>40</v>
      </c>
      <c r="S1014" s="51"/>
      <c r="T1014" s="65"/>
      <c r="U1014" s="65"/>
      <c r="V1014" s="65"/>
      <c r="W1014" s="51"/>
      <c r="X1014" s="66" t="s">
        <v>2108</v>
      </c>
    </row>
    <row r="1015" hidden="1" ht="27.75" customHeight="1" s="32" customFormat="1">
      <c r="A1015" s="37"/>
      <c r="B1015" s="31" t="s">
        <v>32</v>
      </c>
      <c r="C1015" s="59" t="s">
        <v>2109</v>
      </c>
      <c r="D1015" s="121" t="s">
        <v>48</v>
      </c>
      <c r="E1015" s="57">
        <v>46223</v>
      </c>
      <c r="F1015" s="38" t="str">
        <f>IF(C1015&lt;&gt;"",VLOOKUP($C1015,Carpetas!$C$5:$L$2060,2,FALSE),"")</f>
        <v>MXP004/26</v>
      </c>
      <c r="G1015" s="38" t="s">
        <v>78</v>
      </c>
      <c r="H1015" s="44" t="str">
        <f>IF(C1015&lt;&gt;"",VLOOKUP($C1015,Carpetas!$C$5:$L$2060,9,FALSE),"")</f>
        <v>xx</v>
      </c>
      <c r="I1015" s="51" t="str">
        <f>IF(C1015&lt;&gt;"",VLOOKUP($C1015,Carpetas!$C$5:$L$2060,5,FALSE),"")</f>
        <v>Andino</v>
      </c>
      <c r="J1015" s="51" t="str">
        <f>IF(D1015&lt;&gt;"",VLOOKUP($C1015,Carpetas!$C$5:$L$2060,3,FALSE),"")</f>
        <v>Mission</v>
      </c>
      <c r="K1015" s="50">
        <v>46260</v>
      </c>
      <c r="L1015" s="39" t="str">
        <f>VLOOKUP($C1015,Carpetas!$C$5:$L$2060,4,FALSE)</f>
        <v>Fray Bentos</v>
      </c>
      <c r="M1015" s="55">
        <f t="shared" si="68"/>
        <v>46261</v>
      </c>
      <c r="N1015" s="53">
        <f t="shared" si="67"/>
        <v>38</v>
      </c>
      <c r="O1015" s="51">
        <v>1920</v>
      </c>
      <c r="P1015" s="51">
        <v>1</v>
      </c>
      <c r="Q1015" s="51">
        <v>1920</v>
      </c>
      <c r="R1015" s="51">
        <v>20</v>
      </c>
      <c r="S1015" s="51"/>
      <c r="T1015" s="65"/>
      <c r="U1015" s="65"/>
      <c r="V1015" s="65"/>
      <c r="W1015" s="51"/>
      <c r="X1015" s="66" t="s">
        <v>2110</v>
      </c>
    </row>
    <row r="1016" hidden="1" ht="27.75" customHeight="1" s="32" customFormat="1">
      <c r="A1016" s="37"/>
      <c r="B1016" s="31" t="s">
        <v>32</v>
      </c>
      <c r="C1016" s="59" t="s">
        <v>2102</v>
      </c>
      <c r="D1016" s="121" t="s">
        <v>30</v>
      </c>
      <c r="E1016" s="57">
        <v>46222</v>
      </c>
      <c r="F1016" s="38" t="str">
        <f>IF(C1016&lt;&gt;"",VLOOKUP($C1016,Carpetas!$C$5:$L$2060,2,FALSE),"")</f>
        <v>ECB027/26</v>
      </c>
      <c r="G1016" s="38" t="s">
        <v>43</v>
      </c>
      <c r="H1016" s="44">
        <f>IF(C1016&lt;&gt;"",VLOOKUP($C1016,Carpetas!$C$5:$L$2060,9,FALSE),"")</f>
        <v>1563165</v>
      </c>
      <c r="I1016" s="51" t="str">
        <f>IF(C1016&lt;&gt;"",VLOOKUP($C1016,Carpetas!$C$5:$L$2060,5,FALSE),"")</f>
        <v>Andino</v>
      </c>
      <c r="J1016" s="51" t="str">
        <f>IF(D1016&lt;&gt;"",VLOOKUP($C1016,Carpetas!$C$5:$L$2060,3,FALSE),"")</f>
        <v>Nobora Trading Group</v>
      </c>
      <c r="K1016" s="50">
        <v>46260</v>
      </c>
      <c r="L1016" s="39" t="str">
        <f>VLOOKUP($C1016,Carpetas!$C$5:$L$2060,4,FALSE)</f>
        <v>Fray Bentos</v>
      </c>
      <c r="M1016" s="55">
        <f t="shared" si="68"/>
        <v>46261</v>
      </c>
      <c r="N1016" s="53">
        <f t="shared" si="67"/>
        <v>39</v>
      </c>
      <c r="O1016" s="51">
        <v>1080</v>
      </c>
      <c r="P1016" s="51">
        <v>1</v>
      </c>
      <c r="Q1016" s="51">
        <v>1080</v>
      </c>
      <c r="R1016" s="51">
        <v>20</v>
      </c>
      <c r="S1016" s="51"/>
      <c r="T1016" s="65"/>
      <c r="U1016" s="65"/>
      <c r="V1016" s="65"/>
      <c r="W1016" s="51"/>
      <c r="X1016" s="66" t="s">
        <v>2111</v>
      </c>
    </row>
    <row r="1017" hidden="1" ht="27.75" customHeight="1" s="32" customFormat="1">
      <c r="A1017" s="37"/>
      <c r="B1017" s="31" t="s">
        <v>32</v>
      </c>
      <c r="C1017" s="57" t="s">
        <v>2105</v>
      </c>
      <c r="D1017" s="121" t="s">
        <v>30</v>
      </c>
      <c r="E1017" s="57">
        <v>46258</v>
      </c>
      <c r="F1017" s="38" t="str">
        <f>IF(C1017&lt;&gt;"",VLOOKUP($C1017,Carpetas!$C$5:$L$2060,2,FALSE),"")</f>
        <v>BOB041/26</v>
      </c>
      <c r="G1017" s="38" t="s">
        <v>31</v>
      </c>
      <c r="H1017" s="44">
        <f>IF(C1017&lt;&gt;"",VLOOKUP($C1017,Carpetas!$C$5:$L$2060,9,FALSE),"")</f>
        <v>1566579</v>
      </c>
      <c r="I1017" s="51" t="str">
        <f>IF(C1017&lt;&gt;"",VLOOKUP($C1017,Carpetas!$C$5:$L$2060,5,FALSE),"")</f>
        <v>Sintercargas </v>
      </c>
      <c r="J1017" s="51" t="str">
        <f>IF(D1017&lt;&gt;"",VLOOKUP($C1017,Carpetas!$C$5:$L$2060,3,FALSE),"")</f>
        <v>Befrut</v>
      </c>
      <c r="K1017" s="50">
        <v>46265</v>
      </c>
      <c r="L1017" s="39" t="str">
        <f>VLOOKUP($C1017,Carpetas!$C$5:$L$2060,4,FALSE)</f>
        <v>Salto</v>
      </c>
      <c r="M1017" s="55">
        <f t="shared" si="68"/>
        <v>46266</v>
      </c>
      <c r="N1017" s="53">
        <f t="shared" si="67"/>
        <v>8</v>
      </c>
      <c r="O1017" s="51">
        <v>1050</v>
      </c>
      <c r="P1017" s="51">
        <v>5</v>
      </c>
      <c r="Q1017" s="51">
        <v>1049</v>
      </c>
      <c r="R1017" s="51"/>
      <c r="S1017" s="51"/>
      <c r="T1017" s="65"/>
      <c r="U1017" s="65"/>
      <c r="V1017" s="65" t="s">
        <v>1691</v>
      </c>
      <c r="W1017" s="51"/>
      <c r="X1017" s="66" t="s">
        <v>2112</v>
      </c>
    </row>
    <row r="1018" hidden="1" ht="27.75" customHeight="1" s="32" customFormat="1">
      <c r="A1018" s="37"/>
      <c r="B1018" s="31" t="s">
        <v>32</v>
      </c>
      <c r="C1018" s="57" t="s">
        <v>2113</v>
      </c>
      <c r="D1018" s="121" t="s">
        <v>30</v>
      </c>
      <c r="E1018" s="57">
        <v>46258</v>
      </c>
      <c r="F1018" s="38" t="str">
        <f>IF(C1018&lt;&gt;"",VLOOKUP($C1018,Carpetas!$C$5:$L$2060,2,FALSE),"")</f>
        <v>BOB042-26</v>
      </c>
      <c r="G1018" s="38" t="s">
        <v>31</v>
      </c>
      <c r="H1018" s="44">
        <f>IF(C1018&lt;&gt;"",VLOOKUP($C1018,Carpetas!$C$5:$L$2060,9,FALSE),"")</f>
        <v>1566770</v>
      </c>
      <c r="I1018" s="51" t="str">
        <f>IF(C1018&lt;&gt;"",VLOOKUP($C1018,Carpetas!$C$5:$L$2060,5,FALSE),"")</f>
        <v>Surcentral</v>
      </c>
      <c r="J1018" s="51" t="str">
        <f>IF(D1018&lt;&gt;"",VLOOKUP($C1018,Carpetas!$C$5:$L$2060,3,FALSE),"")</f>
        <v>Banexfrut</v>
      </c>
      <c r="K1018" s="50">
        <v>46267</v>
      </c>
      <c r="L1018" s="39" t="str">
        <f>VLOOKUP($C1018,Carpetas!$C$5:$L$2060,4,FALSE)</f>
        <v>Salto</v>
      </c>
      <c r="M1018" s="55">
        <f t="shared" si="68"/>
        <v>46268</v>
      </c>
      <c r="N1018" s="53">
        <f t="shared" si="67"/>
        <v>10</v>
      </c>
      <c r="O1018" s="51">
        <v>1050</v>
      </c>
      <c r="P1018" s="51">
        <v>5</v>
      </c>
      <c r="Q1018" s="51">
        <v>1050</v>
      </c>
      <c r="R1018" s="51"/>
      <c r="S1018" s="51"/>
      <c r="T1018" s="65"/>
      <c r="U1018" s="65"/>
      <c r="V1018" s="65" t="s">
        <v>895</v>
      </c>
      <c r="W1018" s="51"/>
      <c r="X1018" s="66" t="s">
        <v>2114</v>
      </c>
    </row>
    <row r="1019" hidden="1" ht="27.75" customHeight="1" s="32" customFormat="1">
      <c r="A1019" s="37"/>
      <c r="B1019" s="31" t="s">
        <v>32</v>
      </c>
      <c r="C1019" s="59" t="s">
        <v>2107</v>
      </c>
      <c r="D1019" s="121" t="s">
        <v>30</v>
      </c>
      <c r="E1019" s="57">
        <v>46229</v>
      </c>
      <c r="F1019" s="38" t="str">
        <f>IF(C1019&lt;&gt;"",VLOOKUP($C1019,Carpetas!$C$5:$L$2060,2,FALSE),"")</f>
        <v>ECI032/26</v>
      </c>
      <c r="G1019" s="38" t="s">
        <v>43</v>
      </c>
      <c r="H1019" s="44">
        <f>IF(C1019&lt;&gt;"",VLOOKUP($C1019,Carpetas!$C$5:$L$2060,9,FALSE),"")</f>
        <v>1564166</v>
      </c>
      <c r="I1019" s="51" t="str">
        <f>IF(C1019&lt;&gt;"",VLOOKUP($C1019,Carpetas!$C$5:$L$2060,5,FALSE),"")</f>
        <v>Andino</v>
      </c>
      <c r="J1019" s="51" t="str">
        <f>IF(D1019&lt;&gt;"",VLOOKUP($C1019,Carpetas!$C$5:$L$2060,3,FALSE),"")</f>
        <v>Interbanana</v>
      </c>
      <c r="K1019" s="50">
        <v>46268</v>
      </c>
      <c r="L1019" s="39" t="str">
        <f>VLOOKUP($C1019,Carpetas!$C$5:$L$2060,4,FALSE)</f>
        <v>Fray Bentos</v>
      </c>
      <c r="M1019" s="55">
        <f t="shared" si="68"/>
        <v>46269</v>
      </c>
      <c r="N1019" s="53">
        <f t="shared" si="67"/>
        <v>40</v>
      </c>
      <c r="O1019" s="51">
        <v>2160</v>
      </c>
      <c r="P1019" s="51">
        <v>3</v>
      </c>
      <c r="Q1019" s="51">
        <v>2160</v>
      </c>
      <c r="R1019" s="51">
        <v>40</v>
      </c>
      <c r="S1019" s="51">
        <v>21</v>
      </c>
      <c r="T1019" s="65"/>
      <c r="U1019" s="65"/>
      <c r="V1019" s="65" t="s">
        <v>1656</v>
      </c>
      <c r="W1019" s="51"/>
      <c r="X1019" s="66" t="s">
        <v>2115</v>
      </c>
    </row>
    <row r="1020" hidden="1" ht="27.75" customHeight="1" s="32" customFormat="1">
      <c r="A1020" s="37"/>
      <c r="B1020" s="31" t="s">
        <v>32</v>
      </c>
      <c r="C1020" s="59" t="s">
        <v>2116</v>
      </c>
      <c r="D1020" s="121" t="s">
        <v>48</v>
      </c>
      <c r="E1020" s="57">
        <v>46234</v>
      </c>
      <c r="F1020" s="38" t="str">
        <f>IF(C1020&lt;&gt;"",VLOOKUP($C1020,Carpetas!$C$5:$L$2060,2,FALSE),"")</f>
        <v>MXP005/26</v>
      </c>
      <c r="G1020" s="38" t="s">
        <v>78</v>
      </c>
      <c r="H1020" s="44" t="str">
        <f>IF(C1020&lt;&gt;"",VLOOKUP($C1020,Carpetas!$C$5:$L$2060,9,FALSE),"")</f>
        <v>xx</v>
      </c>
      <c r="I1020" s="51" t="str">
        <f>IF(C1020&lt;&gt;"",VLOOKUP($C1020,Carpetas!$C$5:$L$2060,5,FALSE),"")</f>
        <v>Andino</v>
      </c>
      <c r="J1020" s="51" t="str">
        <f>IF(D1020&lt;&gt;"",VLOOKUP($C1020,Carpetas!$C$5:$L$2060,3,FALSE),"")</f>
        <v>Mission</v>
      </c>
      <c r="K1020" s="50">
        <v>46268</v>
      </c>
      <c r="L1020" s="39" t="str">
        <f>VLOOKUP($C1020,Carpetas!$C$5:$L$2060,4,FALSE)</f>
        <v>Fray Bentos</v>
      </c>
      <c r="M1020" s="55">
        <f t="shared" si="68"/>
        <v>46269</v>
      </c>
      <c r="N1020" s="53">
        <f t="shared" si="67"/>
        <v>35</v>
      </c>
      <c r="O1020" s="51">
        <v>1920</v>
      </c>
      <c r="P1020" s="51">
        <v>1</v>
      </c>
      <c r="Q1020" s="51">
        <v>1920</v>
      </c>
      <c r="R1020" s="51">
        <v>20</v>
      </c>
      <c r="S1020" s="51"/>
      <c r="T1020" s="65"/>
      <c r="U1020" s="65"/>
      <c r="V1020" s="65"/>
      <c r="W1020" s="51"/>
      <c r="X1020" s="66" t="s">
        <v>2117</v>
      </c>
    </row>
    <row r="1021" hidden="1" ht="27.75" customHeight="1" s="32" customFormat="1">
      <c r="A1021" s="37"/>
      <c r="B1021" s="31" t="s">
        <v>32</v>
      </c>
      <c r="C1021" s="59" t="s">
        <v>2118</v>
      </c>
      <c r="D1021" s="121" t="s">
        <v>432</v>
      </c>
      <c r="E1021" s="57">
        <v>46258</v>
      </c>
      <c r="F1021" s="38" t="str">
        <f>IF(C1021&lt;&gt;"",VLOOKUP($C1021,Carpetas!$C$5:$L$2060,2,FALSE),"")</f>
        <v>CLK007-26</v>
      </c>
      <c r="G1021" s="38" t="s">
        <v>35</v>
      </c>
      <c r="H1021" s="44">
        <f>IF(C1021&lt;&gt;"",VLOOKUP($C1021,Carpetas!$C$5:$L$2060,9,FALSE),"")</f>
        <v>1566982</v>
      </c>
      <c r="I1021" s="51" t="str">
        <f>IF(C1021&lt;&gt;"",VLOOKUP($C1021,Carpetas!$C$5:$L$2060,5,FALSE),"")</f>
        <v>Nihuill</v>
      </c>
      <c r="J1021" s="51" t="str">
        <f>IF(D1021&lt;&gt;"",VLOOKUP($C1021,Carpetas!$C$5:$L$2060,3,FALSE),"")</f>
        <v>Coopefrut</v>
      </c>
      <c r="K1021" s="50">
        <v>46268</v>
      </c>
      <c r="L1021" s="39" t="str">
        <f>VLOOKUP($C1021,Carpetas!$C$5:$L$2060,4,FALSE)</f>
        <v>Fray Bentos</v>
      </c>
      <c r="M1021" s="55">
        <f t="shared" si="68"/>
        <v>46269</v>
      </c>
      <c r="N1021" s="53">
        <f t="shared" si="67"/>
        <v>11</v>
      </c>
      <c r="O1021" s="51">
        <v>2288</v>
      </c>
      <c r="P1021" s="51">
        <v>3</v>
      </c>
      <c r="Q1021" s="51">
        <v>2288</v>
      </c>
      <c r="R1021" s="51">
        <v>22</v>
      </c>
      <c r="S1021" s="51"/>
      <c r="T1021" s="65"/>
      <c r="U1021" s="65"/>
      <c r="V1021" s="65"/>
      <c r="W1021" s="51"/>
      <c r="X1021" s="66" t="s">
        <v>2119</v>
      </c>
    </row>
    <row r="1022" hidden="1" ht="27.75" customHeight="1" s="32" customFormat="1">
      <c r="A1022" s="37"/>
      <c r="B1022" s="31" t="s">
        <v>32</v>
      </c>
      <c r="C1022" s="59" t="s">
        <v>2107</v>
      </c>
      <c r="D1022" s="121" t="s">
        <v>30</v>
      </c>
      <c r="E1022" s="57">
        <v>46229</v>
      </c>
      <c r="F1022" s="38" t="str">
        <f>IF(C1022&lt;&gt;"",VLOOKUP($C1022,Carpetas!$C$5:$L$2060,2,FALSE),"")</f>
        <v>ECI032/26</v>
      </c>
      <c r="G1022" s="38" t="s">
        <v>43</v>
      </c>
      <c r="H1022" s="44">
        <f>IF(C1022&lt;&gt;"",VLOOKUP($C1022,Carpetas!$C$5:$L$2060,9,FALSE),"")</f>
        <v>1564166</v>
      </c>
      <c r="I1022" s="51" t="str">
        <f>IF(C1022&lt;&gt;"",VLOOKUP($C1022,Carpetas!$C$5:$L$2060,5,FALSE),"")</f>
        <v>Andino</v>
      </c>
      <c r="J1022" s="51" t="str">
        <f>IF(D1022&lt;&gt;"",VLOOKUP($C1022,Carpetas!$C$5:$L$2060,3,FALSE),"")</f>
        <v>Interbanana</v>
      </c>
      <c r="K1022" s="50">
        <v>46269</v>
      </c>
      <c r="L1022" s="39" t="str">
        <f>VLOOKUP($C1022,Carpetas!$C$5:$L$2060,4,FALSE)</f>
        <v>Fray Bentos</v>
      </c>
      <c r="M1022" s="55">
        <f t="shared" si="68"/>
        <v>46270</v>
      </c>
      <c r="N1022" s="53">
        <f t="shared" si="67"/>
        <v>41</v>
      </c>
      <c r="O1022" s="51">
        <v>1080</v>
      </c>
      <c r="P1022" s="51">
        <v>3</v>
      </c>
      <c r="Q1022" s="51">
        <v>1080</v>
      </c>
      <c r="R1022" s="51">
        <v>20</v>
      </c>
      <c r="S1022" s="51">
        <v>21</v>
      </c>
      <c r="T1022" s="65"/>
      <c r="U1022" s="65"/>
      <c r="V1022" s="65" t="s">
        <v>1656</v>
      </c>
      <c r="W1022" s="51"/>
      <c r="X1022" s="66" t="s">
        <v>2120</v>
      </c>
    </row>
    <row r="1023" hidden="1" ht="27.75" customHeight="1" s="32" customFormat="1">
      <c r="A1023" s="37"/>
      <c r="B1023" s="31" t="s">
        <v>32</v>
      </c>
      <c r="C1023" s="59" t="s">
        <v>2121</v>
      </c>
      <c r="D1023" s="121" t="s">
        <v>30</v>
      </c>
      <c r="E1023" s="57">
        <v>46243</v>
      </c>
      <c r="F1023" s="38" t="str">
        <f>IF(C1023&lt;&gt;"",VLOOKUP($C1023,Carpetas!$C$5:$L$2060,2,FALSE),"")</f>
        <v>ECB029/26</v>
      </c>
      <c r="G1023" s="38" t="s">
        <v>43</v>
      </c>
      <c r="H1023" s="44">
        <f>IF(C1023&lt;&gt;"",VLOOKUP($C1023,Carpetas!$C$5:$L$2060,9,FALSE),"")</f>
        <v>1565119</v>
      </c>
      <c r="I1023" s="51" t="str">
        <f>IF(C1023&lt;&gt;"",VLOOKUP($C1023,Carpetas!$C$5:$L$2060,5,FALSE),"")</f>
        <v>Andino</v>
      </c>
      <c r="J1023" s="51" t="str">
        <f>IF(D1023&lt;&gt;"",VLOOKUP($C1023,Carpetas!$C$5:$L$2060,3,FALSE),"")</f>
        <v>Nobora Trading Group</v>
      </c>
      <c r="K1023" s="50">
        <v>46272</v>
      </c>
      <c r="L1023" s="39" t="str">
        <f>VLOOKUP($C1023,Carpetas!$C$5:$L$2060,4,FALSE)</f>
        <v>Fray Bentos</v>
      </c>
      <c r="M1023" s="55">
        <f t="shared" si="68"/>
        <v>46273</v>
      </c>
      <c r="N1023" s="53">
        <f t="shared" si="67"/>
        <v>30</v>
      </c>
      <c r="O1023" s="51">
        <v>2160</v>
      </c>
      <c r="P1023" s="51">
        <v>2</v>
      </c>
      <c r="Q1023" s="51"/>
      <c r="R1023" s="51"/>
      <c r="S1023" s="51"/>
      <c r="T1023" s="65"/>
      <c r="U1023" s="65"/>
      <c r="V1023" s="65"/>
      <c r="W1023" s="51"/>
      <c r="X1023" s="66"/>
    </row>
    <row r="1024" hidden="1" ht="27.75" customHeight="1" s="32" customFormat="1">
      <c r="A1024" s="37"/>
      <c r="B1024" s="31" t="s">
        <v>32</v>
      </c>
      <c r="C1024" s="59" t="s">
        <v>2122</v>
      </c>
      <c r="D1024" s="121" t="s">
        <v>30</v>
      </c>
      <c r="E1024" s="57">
        <v>46250</v>
      </c>
      <c r="F1024" s="38" t="str">
        <f>IF(C1024&lt;&gt;"",VLOOKUP($C1024,Carpetas!$C$5:$L$2060,2,FALSE),"")</f>
        <v>ECB030/26</v>
      </c>
      <c r="G1024" s="38" t="s">
        <v>43</v>
      </c>
      <c r="H1024" s="44">
        <f>IF(C1024&lt;&gt;"",VLOOKUP($C1024,Carpetas!$C$5:$L$2060,9,FALSE),"")</f>
        <v>1565785</v>
      </c>
      <c r="I1024" s="51" t="str">
        <f>IF(C1024&lt;&gt;"",VLOOKUP($C1024,Carpetas!$C$5:$L$2060,5,FALSE),"")</f>
        <v>Andino</v>
      </c>
      <c r="J1024" s="51" t="str">
        <f>IF(D1024&lt;&gt;"",VLOOKUP($C1024,Carpetas!$C$5:$L$2060,3,FALSE),"")</f>
        <v>Nobora Trading Group</v>
      </c>
      <c r="K1024" s="50">
        <v>46272</v>
      </c>
      <c r="L1024" s="39" t="str">
        <f>VLOOKUP($C1024,Carpetas!$C$5:$L$2060,4,FALSE)</f>
        <v>Fray Bentos</v>
      </c>
      <c r="M1024" s="55">
        <f t="shared" si="68"/>
        <v>46273</v>
      </c>
      <c r="N1024" s="53">
        <f t="shared" si="67"/>
        <v>23</v>
      </c>
      <c r="O1024" s="51">
        <v>2160</v>
      </c>
      <c r="P1024" s="51">
        <v>2</v>
      </c>
      <c r="Q1024" s="51"/>
      <c r="R1024" s="51"/>
      <c r="S1024" s="51"/>
      <c r="T1024" s="65"/>
      <c r="U1024" s="65"/>
      <c r="V1024" s="65"/>
      <c r="W1024" s="51"/>
      <c r="X1024" s="66"/>
    </row>
    <row r="1025" hidden="1" ht="27.75" customHeight="1" s="32" customFormat="1">
      <c r="A1025" s="37"/>
      <c r="B1025" s="31" t="s">
        <v>32</v>
      </c>
      <c r="C1025" s="59" t="s">
        <v>2123</v>
      </c>
      <c r="D1025" s="121" t="s">
        <v>30</v>
      </c>
      <c r="E1025" s="57">
        <v>46236</v>
      </c>
      <c r="F1025" s="38" t="str">
        <f>IF(C1025&lt;&gt;"",VLOOKUP($C1025,Carpetas!$C$5:$L$2060,2,FALSE),"")</f>
        <v>ECI033/26</v>
      </c>
      <c r="G1025" s="38" t="s">
        <v>43</v>
      </c>
      <c r="H1025" s="44">
        <f>IF(C1025&lt;&gt;"",VLOOKUP($C1025,Carpetas!$C$5:$L$2060,9,FALSE),"")</f>
        <v>1564715</v>
      </c>
      <c r="I1025" s="51" t="str">
        <f>IF(C1025&lt;&gt;"",VLOOKUP($C1025,Carpetas!$C$5:$L$2060,5,FALSE),"")</f>
        <v>Andino</v>
      </c>
      <c r="J1025" s="51" t="str">
        <f>IF(D1025&lt;&gt;"",VLOOKUP($C1025,Carpetas!$C$5:$L$2060,3,FALSE),"")</f>
        <v>Interbanana</v>
      </c>
      <c r="K1025" s="50">
        <v>46272</v>
      </c>
      <c r="L1025" s="39" t="str">
        <f>VLOOKUP($C1025,Carpetas!$C$5:$L$2060,4,FALSE)</f>
        <v>Fray Bentos</v>
      </c>
      <c r="M1025" s="55">
        <f t="shared" si="68"/>
        <v>46273</v>
      </c>
      <c r="N1025" s="53">
        <f t="shared" si="67"/>
        <v>37</v>
      </c>
      <c r="O1025" s="51">
        <v>5400</v>
      </c>
      <c r="P1025" s="51">
        <v>5</v>
      </c>
      <c r="Q1025" s="51"/>
      <c r="R1025" s="51">
        <v>100</v>
      </c>
      <c r="S1025" s="51">
        <v>21</v>
      </c>
      <c r="T1025" s="65"/>
      <c r="U1025" s="65"/>
      <c r="V1025" s="65" t="s">
        <v>1656</v>
      </c>
      <c r="W1025" s="51"/>
      <c r="X1025" s="66" t="s">
        <v>2124</v>
      </c>
    </row>
    <row r="1026" hidden="1" ht="27.75" customHeight="1" s="32" customFormat="1">
      <c r="A1026" s="37"/>
      <c r="B1026" s="31" t="s">
        <v>32</v>
      </c>
      <c r="C1026" s="59" t="s">
        <v>2125</v>
      </c>
      <c r="D1026" s="121" t="s">
        <v>42</v>
      </c>
      <c r="E1026" s="57">
        <v>46250</v>
      </c>
      <c r="F1026" s="38" t="str">
        <f>IF(C1026&lt;&gt;"",VLOOKUP($C1026,Carpetas!$C$5:$L$2060,2,FALSE),"")</f>
        <v>ECA016/26</v>
      </c>
      <c r="G1026" s="38" t="s">
        <v>35</v>
      </c>
      <c r="H1026" s="44">
        <f>IF(C1026&lt;&gt;"",VLOOKUP($C1026,Carpetas!$C$5:$L$2060,9,FALSE),"")</f>
        <v>1565785</v>
      </c>
      <c r="I1026" s="51" t="str">
        <f>IF(C1026&lt;&gt;"",VLOOKUP($C1026,Carpetas!$C$5:$L$2060,5,FALSE),"")</f>
        <v>Andino</v>
      </c>
      <c r="J1026" s="51" t="str">
        <f>IF(D1026&lt;&gt;"",VLOOKUP($C1026,Carpetas!$C$5:$L$2060,3,FALSE),"")</f>
        <v>Agroeden</v>
      </c>
      <c r="K1026" s="50">
        <v>46272</v>
      </c>
      <c r="L1026" s="39" t="str">
        <f>VLOOKUP($C1026,Carpetas!$C$5:$L$2060,4,FALSE)</f>
        <v>Fray Bentos</v>
      </c>
      <c r="M1026" s="55">
        <f t="shared" si="68"/>
        <v>46273</v>
      </c>
      <c r="N1026" s="53">
        <f t="shared" si="67"/>
        <v>23</v>
      </c>
      <c r="O1026" s="51">
        <v>1680</v>
      </c>
      <c r="P1026" s="51">
        <v>1</v>
      </c>
      <c r="Q1026" s="51"/>
      <c r="R1026" s="51">
        <v>20</v>
      </c>
      <c r="S1026" s="51">
        <v>12</v>
      </c>
      <c r="T1026" s="65"/>
      <c r="U1026" s="65"/>
      <c r="V1026" s="65"/>
      <c r="W1026" s="51"/>
      <c r="X1026" s="66" t="s">
        <v>2126</v>
      </c>
    </row>
    <row r="1027" hidden="1" ht="27.75" customHeight="1" s="32" customFormat="1">
      <c r="A1027" s="37"/>
      <c r="B1027" s="31" t="s">
        <v>32</v>
      </c>
      <c r="C1027" s="59" t="s">
        <v>2127</v>
      </c>
      <c r="D1027" s="121" t="s">
        <v>30</v>
      </c>
      <c r="E1027" s="57">
        <v>46236</v>
      </c>
      <c r="F1027" s="38" t="str">
        <f>IF(C1027&lt;&gt;"",VLOOKUP($C1027,Carpetas!$C$5:$L$2060,2,FALSE),"")</f>
        <v>ECB028/26</v>
      </c>
      <c r="G1027" s="38" t="s">
        <v>43</v>
      </c>
      <c r="H1027" s="44">
        <f>IF(C1027&lt;&gt;"",VLOOKUP($C1027,Carpetas!$C$5:$L$2060,9,FALSE),"")</f>
        <v>1564255</v>
      </c>
      <c r="I1027" s="51" t="str">
        <f>IF(C1027&lt;&gt;"",VLOOKUP($C1027,Carpetas!$C$5:$L$2060,5,FALSE),"")</f>
        <v>Andino</v>
      </c>
      <c r="J1027" s="51" t="str">
        <f>IF(D1027&lt;&gt;"",VLOOKUP($C1027,Carpetas!$C$5:$L$2060,3,FALSE),"")</f>
        <v>Nobora Trading Group</v>
      </c>
      <c r="K1027" s="50">
        <v>46272</v>
      </c>
      <c r="L1027" s="39" t="str">
        <f>VLOOKUP($C1027,Carpetas!$C$5:$L$2060,4,FALSE)</f>
        <v>Fray Bentos</v>
      </c>
      <c r="M1027" s="55">
        <f t="shared" si="68"/>
        <v>46273</v>
      </c>
      <c r="N1027" s="53">
        <f t="shared" si="67"/>
        <v>37</v>
      </c>
      <c r="O1027" s="51">
        <v>1080</v>
      </c>
      <c r="P1027" s="51">
        <v>1</v>
      </c>
      <c r="Q1027" s="51"/>
      <c r="R1027" s="51">
        <v>20</v>
      </c>
      <c r="S1027" s="51">
        <v>21</v>
      </c>
      <c r="T1027" s="65"/>
      <c r="U1027" s="65"/>
      <c r="V1027" s="65" t="s">
        <v>55</v>
      </c>
      <c r="W1027" s="51" t="s">
        <v>198</v>
      </c>
      <c r="X1027" s="66" t="s">
        <v>2128</v>
      </c>
    </row>
    <row r="1028" hidden="1" ht="27.75" customHeight="1" s="32" customFormat="1">
      <c r="A1028" s="37"/>
      <c r="B1028" s="31" t="s">
        <v>32</v>
      </c>
      <c r="C1028" s="59" t="s">
        <v>2129</v>
      </c>
      <c r="D1028" s="121" t="s">
        <v>571</v>
      </c>
      <c r="E1028" s="57">
        <v>46248</v>
      </c>
      <c r="F1028" s="38" t="str">
        <f>IF(C1028&lt;&gt;"",VLOOKUP($C1028,Carpetas!$C$5:$L$2060,2,FALSE),"")</f>
        <v>ESC002/26</v>
      </c>
      <c r="G1028" s="38" t="s">
        <v>361</v>
      </c>
      <c r="H1028" s="44">
        <f>IF(C1028&lt;&gt;"",VLOOKUP($C1028,Carpetas!$C$5:$L$2060,9,FALSE),"")</f>
        <v>1567631</v>
      </c>
      <c r="I1028" s="51" t="str">
        <f>IF(C1028&lt;&gt;"",VLOOKUP($C1028,Carpetas!$C$5:$L$2060,5,FALSE),"")</f>
        <v>Ciatran</v>
      </c>
      <c r="J1028" s="51" t="str">
        <f>IF(D1028&lt;&gt;"",VLOOKUP($C1028,Carpetas!$C$5:$L$2060,3,FALSE),"")</f>
        <v>Cirex</v>
      </c>
      <c r="K1028" s="50">
        <v>46273</v>
      </c>
      <c r="L1028" s="39" t="str">
        <f>VLOOKUP($C1028,Carpetas!$C$5:$L$2060,4,FALSE)</f>
        <v>Montevideo</v>
      </c>
      <c r="M1028" s="55">
        <f t="shared" si="68"/>
        <v>46274</v>
      </c>
      <c r="N1028" s="53">
        <f t="shared" si="67"/>
        <v>26</v>
      </c>
      <c r="O1028" s="51">
        <v>2324</v>
      </c>
      <c r="P1028" s="51">
        <v>1</v>
      </c>
      <c r="Q1028" s="51">
        <v>2324</v>
      </c>
      <c r="R1028" s="51">
        <v>21</v>
      </c>
      <c r="S1028" s="51"/>
      <c r="T1028" s="65"/>
      <c r="U1028" s="65"/>
      <c r="V1028" s="65" t="s">
        <v>2130</v>
      </c>
      <c r="W1028" s="51" t="s">
        <v>2131</v>
      </c>
      <c r="X1028" s="66" t="s">
        <v>2132</v>
      </c>
    </row>
    <row r="1029" hidden="1" ht="27.75" customHeight="1" s="32" customFormat="1">
      <c r="A1029" s="37"/>
      <c r="B1029" s="31" t="s">
        <v>32</v>
      </c>
      <c r="C1029" s="59" t="s">
        <v>2133</v>
      </c>
      <c r="D1029" s="121" t="s">
        <v>432</v>
      </c>
      <c r="E1029" s="57">
        <v>46266</v>
      </c>
      <c r="F1029" s="38" t="str">
        <f>IF(C1029&lt;&gt;"",VLOOKUP($C1029,Carpetas!$C$5:$L$2060,2,FALSE),"")</f>
        <v>CLK008-26</v>
      </c>
      <c r="G1029" s="38" t="s">
        <v>35</v>
      </c>
      <c r="H1029" s="44">
        <f>IF(C1029&lt;&gt;"",VLOOKUP($C1029,Carpetas!$C$5:$L$2060,9,FALSE),"")</f>
        <v>1566982</v>
      </c>
      <c r="I1029" s="51" t="str">
        <f>IF(C1029&lt;&gt;"",VLOOKUP($C1029,Carpetas!$C$5:$L$2060,5,FALSE),"")</f>
        <v>Nihuill</v>
      </c>
      <c r="J1029" s="51" t="str">
        <f>IF(D1029&lt;&gt;"",VLOOKUP($C1029,Carpetas!$C$5:$L$2060,3,FALSE),"")</f>
        <v>Coopefrut</v>
      </c>
      <c r="K1029" s="50">
        <v>46273</v>
      </c>
      <c r="L1029" s="39" t="str">
        <f>VLOOKUP($C1029,Carpetas!$C$5:$L$2060,4,FALSE)</f>
        <v>Fray Bentos</v>
      </c>
      <c r="M1029" s="55">
        <f t="shared" si="68"/>
        <v>46274</v>
      </c>
      <c r="N1029" s="53">
        <f t="shared" si="67"/>
        <v>8</v>
      </c>
      <c r="O1029" s="51">
        <v>2288</v>
      </c>
      <c r="P1029" s="51">
        <v>1</v>
      </c>
      <c r="Q1029" s="51">
        <v>2288</v>
      </c>
      <c r="R1029" s="51">
        <v>22</v>
      </c>
      <c r="S1029" s="51">
        <v>10</v>
      </c>
      <c r="T1029" s="65"/>
      <c r="U1029" s="65"/>
      <c r="V1029" s="65" t="s">
        <v>459</v>
      </c>
      <c r="W1029" s="51" t="s">
        <v>596</v>
      </c>
      <c r="X1029" s="66" t="s">
        <v>2134</v>
      </c>
    </row>
    <row r="1030" hidden="1" ht="27.75" customHeight="1" s="32" customFormat="1">
      <c r="A1030" s="37"/>
      <c r="B1030" s="31" t="s">
        <v>32</v>
      </c>
      <c r="C1030" s="59" t="s">
        <v>2127</v>
      </c>
      <c r="D1030" s="121" t="s">
        <v>30</v>
      </c>
      <c r="E1030" s="57">
        <v>46236</v>
      </c>
      <c r="F1030" s="38" t="str">
        <f>IF(C1030&lt;&gt;"",VLOOKUP($C1030,Carpetas!$C$5:$L$2060,2,FALSE),"")</f>
        <v>ECB028/26</v>
      </c>
      <c r="G1030" s="38" t="s">
        <v>43</v>
      </c>
      <c r="H1030" s="44">
        <f>IF(C1030&lt;&gt;"",VLOOKUP($C1030,Carpetas!$C$5:$L$2060,9,FALSE),"")</f>
        <v>1564255</v>
      </c>
      <c r="I1030" s="51" t="str">
        <f>IF(C1030&lt;&gt;"",VLOOKUP($C1030,Carpetas!$C$5:$L$2060,5,FALSE),"")</f>
        <v>Andino</v>
      </c>
      <c r="J1030" s="51" t="str">
        <f>IF(D1030&lt;&gt;"",VLOOKUP($C1030,Carpetas!$C$5:$L$2060,3,FALSE),"")</f>
        <v>Nobora Trading Group</v>
      </c>
      <c r="K1030" s="50">
        <v>46273</v>
      </c>
      <c r="L1030" s="39" t="str">
        <f>VLOOKUP($C1030,Carpetas!$C$5:$L$2060,4,FALSE)</f>
        <v>Fray Bentos</v>
      </c>
      <c r="M1030" s="55">
        <f t="shared" si="68"/>
        <v>46274</v>
      </c>
      <c r="N1030" s="53">
        <f t="shared" si="67"/>
        <v>38</v>
      </c>
      <c r="O1030" s="51">
        <v>1080</v>
      </c>
      <c r="P1030" s="51">
        <v>1</v>
      </c>
      <c r="Q1030" s="51">
        <v>1080</v>
      </c>
      <c r="R1030" s="51">
        <v>20</v>
      </c>
      <c r="S1030" s="51">
        <v>21</v>
      </c>
      <c r="T1030" s="65"/>
      <c r="U1030" s="65"/>
      <c r="V1030" s="65" t="s">
        <v>55</v>
      </c>
      <c r="W1030" s="51" t="s">
        <v>101</v>
      </c>
      <c r="X1030" s="66" t="s">
        <v>2135</v>
      </c>
    </row>
    <row r="1031" hidden="1" ht="27.75" customHeight="1" s="32" customFormat="1">
      <c r="A1031" s="37"/>
      <c r="B1031" s="31" t="s">
        <v>32</v>
      </c>
      <c r="C1031" s="59" t="s">
        <v>2121</v>
      </c>
      <c r="D1031" s="121" t="s">
        <v>30</v>
      </c>
      <c r="E1031" s="57">
        <v>46243</v>
      </c>
      <c r="F1031" s="38" t="str">
        <f>IF(C1031&lt;&gt;"",VLOOKUP($C1031,Carpetas!$C$5:$L$2060,2,FALSE),"")</f>
        <v>ECB029/26</v>
      </c>
      <c r="G1031" s="38" t="s">
        <v>43</v>
      </c>
      <c r="H1031" s="44">
        <f>IF(C1031&lt;&gt;"",VLOOKUP($C1031,Carpetas!$C$5:$L$2060,9,FALSE),"")</f>
        <v>1565119</v>
      </c>
      <c r="I1031" s="51" t="str">
        <f>IF(C1031&lt;&gt;"",VLOOKUP($C1031,Carpetas!$C$5:$L$2060,5,FALSE),"")</f>
        <v>Andino</v>
      </c>
      <c r="J1031" s="51" t="str">
        <f>IF(D1031&lt;&gt;"",VLOOKUP($C1031,Carpetas!$C$5:$L$2060,3,FALSE),"")</f>
        <v>Nobora Trading Group</v>
      </c>
      <c r="K1031" s="50">
        <v>46273</v>
      </c>
      <c r="L1031" s="39" t="str">
        <f>VLOOKUP($C1031,Carpetas!$C$5:$L$2060,4,FALSE)</f>
        <v>Fray Bentos</v>
      </c>
      <c r="M1031" s="55">
        <f t="shared" si="68"/>
        <v>46274</v>
      </c>
      <c r="N1031" s="53">
        <f t="shared" si="67"/>
        <v>31</v>
      </c>
      <c r="O1031" s="51">
        <v>3186</v>
      </c>
      <c r="P1031" s="51">
        <v>3</v>
      </c>
      <c r="Q1031" s="51">
        <v>3186</v>
      </c>
      <c r="R1031" s="51">
        <v>59</v>
      </c>
      <c r="S1031" s="51">
        <v>21</v>
      </c>
      <c r="T1031" s="65"/>
      <c r="U1031" s="65"/>
      <c r="V1031" s="65" t="s">
        <v>55</v>
      </c>
      <c r="W1031" s="51" t="s">
        <v>2136</v>
      </c>
      <c r="X1031" s="66" t="s">
        <v>2137</v>
      </c>
    </row>
    <row r="1032" hidden="1" ht="27.75" customHeight="1" s="32" customFormat="1">
      <c r="A1032" s="37"/>
      <c r="B1032" s="31" t="s">
        <v>32</v>
      </c>
      <c r="C1032" s="59" t="s">
        <v>2138</v>
      </c>
      <c r="D1032" s="121" t="s">
        <v>30</v>
      </c>
      <c r="E1032" s="57">
        <v>46243</v>
      </c>
      <c r="F1032" s="38" t="str">
        <f>IF(C1032&lt;&gt;"",VLOOKUP($C1032,Carpetas!$C$5:$L$2060,2,FALSE),"")</f>
        <v>ECI034/26</v>
      </c>
      <c r="G1032" s="38" t="s">
        <v>43</v>
      </c>
      <c r="H1032" s="44">
        <f>IF(C1032&lt;&gt;"",VLOOKUP($C1032,Carpetas!$C$5:$L$2060,9,FALSE),"")</f>
        <v>1565618</v>
      </c>
      <c r="I1032" s="51" t="str">
        <f>IF(C1032&lt;&gt;"",VLOOKUP($C1032,Carpetas!$C$5:$L$2060,5,FALSE),"")</f>
        <v>Andino</v>
      </c>
      <c r="J1032" s="51" t="str">
        <f>IF(D1032&lt;&gt;"",VLOOKUP($C1032,Carpetas!$C$5:$L$2060,3,FALSE),"")</f>
        <v>Interbanana</v>
      </c>
      <c r="K1032" s="50">
        <v>46273</v>
      </c>
      <c r="L1032" s="39" t="str">
        <f>VLOOKUP($C1032,Carpetas!$C$5:$L$2060,4,FALSE)</f>
        <v>Fray Bentos</v>
      </c>
      <c r="M1032" s="55">
        <f t="shared" si="68"/>
        <v>46274</v>
      </c>
      <c r="N1032" s="53">
        <f t="shared" si="67"/>
        <v>31</v>
      </c>
      <c r="O1032" s="51">
        <v>3240</v>
      </c>
      <c r="P1032" s="51">
        <v>3</v>
      </c>
      <c r="Q1032" s="51">
        <v>3240</v>
      </c>
      <c r="R1032" s="51">
        <v>60</v>
      </c>
      <c r="S1032" s="51">
        <v>21</v>
      </c>
      <c r="T1032" s="65"/>
      <c r="U1032" s="65"/>
      <c r="V1032" s="65" t="s">
        <v>1656</v>
      </c>
      <c r="W1032" s="51" t="s">
        <v>2139</v>
      </c>
      <c r="X1032" s="66" t="s">
        <v>2140</v>
      </c>
    </row>
    <row r="1033" hidden="1" ht="27.75" customHeight="1" s="32" customFormat="1">
      <c r="A1033" s="37"/>
      <c r="B1033" s="31" t="s">
        <v>32</v>
      </c>
      <c r="C1033" s="59" t="s">
        <v>2141</v>
      </c>
      <c r="D1033" s="121" t="s">
        <v>48</v>
      </c>
      <c r="E1033" s="57">
        <v>46238</v>
      </c>
      <c r="F1033" s="38" t="str">
        <f>IF(C1033&lt;&gt;"",VLOOKUP($C1033,Carpetas!$C$5:$L$2060,2,FALSE),"")</f>
        <v>MXP006/26</v>
      </c>
      <c r="G1033" s="38" t="s">
        <v>78</v>
      </c>
      <c r="H1033" s="44">
        <f>IF(C1033&lt;&gt;"",VLOOKUP($C1033,Carpetas!$C$5:$L$2060,9,FALSE),"")</f>
        <v>1567631</v>
      </c>
      <c r="I1033" s="51" t="str">
        <f>IF(C1033&lt;&gt;"",VLOOKUP($C1033,Carpetas!$C$5:$L$2060,5,FALSE),"")</f>
        <v>Andino</v>
      </c>
      <c r="J1033" s="51" t="str">
        <f>IF(D1033&lt;&gt;"",VLOOKUP($C1033,Carpetas!$C$5:$L$2060,3,FALSE),"")</f>
        <v>Mission</v>
      </c>
      <c r="K1033" s="50">
        <v>46276</v>
      </c>
      <c r="L1033" s="39" t="str">
        <f>VLOOKUP($C1033,Carpetas!$C$5:$L$2060,4,FALSE)</f>
        <v>Fray Bentos</v>
      </c>
      <c r="M1033" s="55">
        <f t="shared" si="68"/>
        <v>46277</v>
      </c>
      <c r="N1033" s="53">
        <f t="shared" si="67"/>
        <v>39</v>
      </c>
      <c r="O1033" s="51">
        <v>1920</v>
      </c>
      <c r="P1033" s="51">
        <v>1</v>
      </c>
      <c r="Q1033" s="51">
        <v>1920</v>
      </c>
      <c r="R1033" s="51">
        <v>20</v>
      </c>
      <c r="S1033" s="51">
        <v>10</v>
      </c>
      <c r="T1033" s="65"/>
      <c r="U1033" s="65"/>
      <c r="V1033" s="65" t="s">
        <v>2142</v>
      </c>
      <c r="W1033" s="51" t="s">
        <v>2143</v>
      </c>
      <c r="X1033" s="66" t="s">
        <v>2144</v>
      </c>
    </row>
    <row r="1034" hidden="1" ht="27.75" customHeight="1" s="32" customFormat="1">
      <c r="A1034" s="37"/>
      <c r="B1034" s="31" t="s">
        <v>32</v>
      </c>
      <c r="C1034" s="59" t="s">
        <v>2145</v>
      </c>
      <c r="D1034" s="121" t="s">
        <v>30</v>
      </c>
      <c r="E1034" s="57">
        <v>46272</v>
      </c>
      <c r="F1034" s="38" t="str">
        <f>IF(C1034&lt;&gt;"",VLOOKUP($C1034,Carpetas!$C$5:$L$2060,2,FALSE),"")</f>
        <v>BOB043-26</v>
      </c>
      <c r="G1034" s="38" t="s">
        <v>31</v>
      </c>
      <c r="H1034" s="44">
        <f>IF(C1034&lt;&gt;"",VLOOKUP($C1034,Carpetas!$C$5:$L$2060,9,FALSE),"")</f>
        <v>1569113</v>
      </c>
      <c r="I1034" s="51" t="str">
        <f>IF(C1034&lt;&gt;"",VLOOKUP($C1034,Carpetas!$C$5:$L$2060,5,FALSE),"")</f>
        <v>Surcentral</v>
      </c>
      <c r="J1034" s="51" t="str">
        <f>IF(D1034&lt;&gt;"",VLOOKUP($C1034,Carpetas!$C$5:$L$2060,3,FALSE),"")</f>
        <v>Banexfrut</v>
      </c>
      <c r="K1034" s="50">
        <v>46276</v>
      </c>
      <c r="L1034" s="39" t="str">
        <f>VLOOKUP($C1034,Carpetas!$C$5:$L$2060,4,FALSE)</f>
        <v>Salto</v>
      </c>
      <c r="M1034" s="55">
        <f t="shared" si="68"/>
        <v>46277</v>
      </c>
      <c r="N1034" s="53">
        <f t="shared" si="67"/>
        <v>5</v>
      </c>
      <c r="O1034" s="51">
        <v>1050</v>
      </c>
      <c r="P1034" s="51">
        <v>1</v>
      </c>
      <c r="Q1034" s="51">
        <v>1050</v>
      </c>
      <c r="R1034" s="51" t="s">
        <v>1551</v>
      </c>
      <c r="S1034" s="51">
        <v>22</v>
      </c>
      <c r="T1034" s="65"/>
      <c r="U1034" s="65"/>
      <c r="V1034" s="65" t="s">
        <v>895</v>
      </c>
      <c r="W1034" s="51"/>
      <c r="X1034" s="66" t="s">
        <v>2146</v>
      </c>
    </row>
    <row r="1035" hidden="1" ht="27.75" customHeight="1" s="32" customFormat="1">
      <c r="A1035" s="37"/>
      <c r="B1035" s="31" t="s">
        <v>32</v>
      </c>
      <c r="C1035" s="59" t="s">
        <v>2147</v>
      </c>
      <c r="D1035" s="121" t="s">
        <v>48</v>
      </c>
      <c r="E1035" s="57">
        <v>46272</v>
      </c>
      <c r="F1035" s="38" t="str">
        <f>IF(C1035&lt;&gt;"",VLOOKUP($C1035,Carpetas!$C$5:$L$2060,2,FALSE),"")</f>
        <v>CLP005-26</v>
      </c>
      <c r="G1035" s="38" t="s">
        <v>35</v>
      </c>
      <c r="H1035" s="44">
        <f>IF(C1035&lt;&gt;"",VLOOKUP($C1035,Carpetas!$C$5:$L$2060,9,FALSE),"")</f>
        <v>1568570</v>
      </c>
      <c r="I1035" s="51" t="str">
        <f>IF(C1035&lt;&gt;"",VLOOKUP($C1035,Carpetas!$C$5:$L$2060,5,FALSE),"")</f>
        <v>Sarla y Ramon</v>
      </c>
      <c r="J1035" s="51" t="str">
        <f>IF(D1035&lt;&gt;"",VLOOKUP($C1035,Carpetas!$C$5:$L$2060,3,FALSE),"")</f>
        <v>Comercial Superior</v>
      </c>
      <c r="K1035" s="50">
        <v>46277</v>
      </c>
      <c r="L1035" s="39" t="str">
        <f>VLOOKUP($C1035,Carpetas!$C$5:$L$2060,4,FALSE)</f>
        <v>Fray Bentos</v>
      </c>
      <c r="M1035" s="55">
        <v>46279</v>
      </c>
      <c r="N1035" s="53">
        <f t="shared" si="67"/>
        <v>7</v>
      </c>
      <c r="O1035" s="51">
        <v>2112</v>
      </c>
      <c r="P1035" s="51">
        <v>1</v>
      </c>
      <c r="Q1035" s="51">
        <v>2112</v>
      </c>
      <c r="R1035" s="51">
        <v>24</v>
      </c>
      <c r="S1035" s="51">
        <v>10</v>
      </c>
      <c r="T1035" s="65"/>
      <c r="U1035" s="65"/>
      <c r="V1035" s="65" t="s">
        <v>2148</v>
      </c>
      <c r="W1035" s="51" t="s">
        <v>1016</v>
      </c>
      <c r="X1035" s="66" t="s">
        <v>2149</v>
      </c>
    </row>
    <row r="1036" hidden="1" ht="27.75" customHeight="1" s="32" customFormat="1">
      <c r="A1036" s="37"/>
      <c r="B1036" s="31" t="s">
        <v>32</v>
      </c>
      <c r="C1036" s="59" t="s">
        <v>2150</v>
      </c>
      <c r="D1036" s="121" t="s">
        <v>432</v>
      </c>
      <c r="E1036" s="57">
        <v>46277</v>
      </c>
      <c r="F1036" s="38" t="str">
        <f>IF(C1036&lt;&gt;"",VLOOKUP($C1036,Carpetas!$C$5:$L$2060,2,FALSE),"")</f>
        <v>CLK009-26</v>
      </c>
      <c r="G1036" s="38" t="s">
        <v>35</v>
      </c>
      <c r="H1036" s="44">
        <f>IF(C1036&lt;&gt;"",VLOOKUP($C1036,Carpetas!$C$5:$L$2060,9,FALSE),"")</f>
        <v>1569761</v>
      </c>
      <c r="I1036" s="51" t="str">
        <f>IF(C1036&lt;&gt;"",VLOOKUP($C1036,Carpetas!$C$5:$L$2060,5,FALSE),"")</f>
        <v>Cisternas</v>
      </c>
      <c r="J1036" s="51" t="str">
        <f>IF(D1036&lt;&gt;"",VLOOKUP($C1036,Carpetas!$C$5:$L$2060,3,FALSE),"")</f>
        <v>Coopefrut</v>
      </c>
      <c r="K1036" s="50">
        <v>46279</v>
      </c>
      <c r="L1036" s="39" t="str">
        <f>VLOOKUP($C1036,Carpetas!$C$5:$L$2060,4,FALSE)</f>
        <v>Fray Bentos</v>
      </c>
      <c r="M1036" s="55">
        <f>K1036+1</f>
        <v>46280</v>
      </c>
      <c r="N1036" s="53">
        <f t="shared" si="67"/>
        <v>3</v>
      </c>
      <c r="O1036" s="51">
        <v>2216</v>
      </c>
      <c r="P1036" s="51">
        <v>1</v>
      </c>
      <c r="Q1036" s="51">
        <v>2216</v>
      </c>
      <c r="R1036" s="51">
        <v>21</v>
      </c>
      <c r="S1036" s="51">
        <v>10</v>
      </c>
      <c r="T1036" s="65"/>
      <c r="U1036" s="65"/>
      <c r="V1036" s="65" t="s">
        <v>2151</v>
      </c>
      <c r="W1036" s="51" t="s">
        <v>471</v>
      </c>
      <c r="X1036" s="66" t="s">
        <v>2152</v>
      </c>
    </row>
    <row r="1037" hidden="1" ht="27.75" customHeight="1" s="32" customFormat="1">
      <c r="A1037" s="37"/>
      <c r="B1037" s="31" t="s">
        <v>32</v>
      </c>
      <c r="C1037" s="59" t="s">
        <v>2153</v>
      </c>
      <c r="D1037" s="121" t="s">
        <v>30</v>
      </c>
      <c r="E1037" s="57">
        <v>46276</v>
      </c>
      <c r="F1037" s="38" t="str">
        <f>IF(C1037&lt;&gt;"",VLOOKUP($C1037,Carpetas!$C$5:$L$2060,2,FALSE),"")</f>
        <v>BOB044-26</v>
      </c>
      <c r="G1037" s="38" t="s">
        <v>31</v>
      </c>
      <c r="H1037" s="44">
        <f>IF(C1037&lt;&gt;"",VLOOKUP($C1037,Carpetas!$C$5:$L$2060,9,FALSE),"")</f>
        <v>1569196</v>
      </c>
      <c r="I1037" s="51" t="str">
        <f>IF(C1037&lt;&gt;"",VLOOKUP($C1037,Carpetas!$C$5:$L$2060,5,FALSE),"")</f>
        <v>Surcentral</v>
      </c>
      <c r="J1037" s="51" t="str">
        <f>IF(D1037&lt;&gt;"",VLOOKUP($C1037,Carpetas!$C$5:$L$2060,3,FALSE),"")</f>
        <v>Banexfrut</v>
      </c>
      <c r="K1037" s="50">
        <f>E1037+5</f>
        <v>46281</v>
      </c>
      <c r="L1037" s="39" t="str">
        <f>VLOOKUP($C1037,Carpetas!$C$5:$L$2060,4,FALSE)</f>
        <v>Salto</v>
      </c>
      <c r="M1037" s="55">
        <f>K1037+1</f>
        <v>46282</v>
      </c>
      <c r="N1037" s="53">
        <f t="shared" si="67"/>
        <v>6</v>
      </c>
      <c r="O1037" s="51">
        <v>1050</v>
      </c>
      <c r="P1037" s="51">
        <v>1</v>
      </c>
      <c r="Q1037" s="51">
        <v>1049</v>
      </c>
      <c r="R1037" s="51" t="s">
        <v>2059</v>
      </c>
      <c r="S1037" s="51">
        <v>20</v>
      </c>
      <c r="T1037" s="65"/>
      <c r="U1037" s="65"/>
      <c r="V1037" s="65" t="s">
        <v>895</v>
      </c>
      <c r="W1037" s="51"/>
      <c r="X1037" s="66" t="s">
        <v>2154</v>
      </c>
    </row>
    <row r="1038" hidden="1" ht="27.75" customHeight="1" s="32" customFormat="1">
      <c r="A1038" s="37"/>
      <c r="B1038" s="31" t="s">
        <v>32</v>
      </c>
      <c r="C1038" s="59" t="s">
        <v>2155</v>
      </c>
      <c r="D1038" s="121" t="s">
        <v>30</v>
      </c>
      <c r="E1038" s="57">
        <v>46266</v>
      </c>
      <c r="F1038" s="38" t="str">
        <f>IF(C1038&lt;&gt;"",VLOOKUP($C1038,Carpetas!$C$5:$L$2060,2,FALSE),"")</f>
        <v>ECI035/26</v>
      </c>
      <c r="G1038" s="38" t="s">
        <v>43</v>
      </c>
      <c r="H1038" s="44">
        <f>IF(C1038&lt;&gt;"",VLOOKUP($C1038,Carpetas!$C$5:$L$2060,9,FALSE),"")</f>
        <v>1567631</v>
      </c>
      <c r="I1038" s="51" t="str">
        <f>IF(C1038&lt;&gt;"",VLOOKUP($C1038,Carpetas!$C$5:$L$2060,5,FALSE),"")</f>
        <v>Andino</v>
      </c>
      <c r="J1038" s="51" t="str">
        <f>IF(D1038&lt;&gt;"",VLOOKUP($C1038,Carpetas!$C$5:$L$2060,3,FALSE),"")</f>
        <v>Interbanana</v>
      </c>
      <c r="K1038" s="50">
        <v>46283</v>
      </c>
      <c r="L1038" s="39" t="str">
        <f>VLOOKUP($C1038,Carpetas!$C$5:$L$2060,4,FALSE)</f>
        <v>Fray Bentos</v>
      </c>
      <c r="M1038" s="55">
        <f>K1038+1</f>
        <v>46284</v>
      </c>
      <c r="N1038" s="53">
        <f t="shared" si="67"/>
        <v>18</v>
      </c>
      <c r="O1038" s="51">
        <v>1080</v>
      </c>
      <c r="P1038" s="51">
        <v>1</v>
      </c>
      <c r="Q1038" s="51">
        <v>1080</v>
      </c>
      <c r="R1038" s="51">
        <v>20</v>
      </c>
      <c r="S1038" s="51">
        <v>21</v>
      </c>
      <c r="T1038" s="65"/>
      <c r="U1038" s="65"/>
      <c r="V1038" s="65"/>
      <c r="W1038" s="51" t="s">
        <v>146</v>
      </c>
      <c r="X1038" s="66" t="s">
        <v>2156</v>
      </c>
    </row>
    <row r="1039" hidden="1" ht="27.75" customHeight="1" s="32" customFormat="1">
      <c r="A1039" s="37"/>
      <c r="B1039" s="31" t="s">
        <v>32</v>
      </c>
      <c r="C1039" s="59" t="s">
        <v>2157</v>
      </c>
      <c r="D1039" s="121" t="s">
        <v>42</v>
      </c>
      <c r="E1039" s="57">
        <v>46266</v>
      </c>
      <c r="F1039" s="38" t="str">
        <f>IF(C1039&lt;&gt;"",VLOOKUP($C1039,Carpetas!$C$5:$L$2060,2,FALSE),"")</f>
        <v>ECA017/26</v>
      </c>
      <c r="G1039" s="38" t="s">
        <v>43</v>
      </c>
      <c r="H1039" s="44">
        <f>IF(C1039&lt;&gt;"",VLOOKUP($C1039,Carpetas!$C$5:$L$2060,9,FALSE),"")</f>
        <v>1565785</v>
      </c>
      <c r="I1039" s="51" t="str">
        <f>IF(C1039&lt;&gt;"",VLOOKUP($C1039,Carpetas!$C$5:$L$2060,5,FALSE),"")</f>
        <v>Andino</v>
      </c>
      <c r="J1039" s="51" t="str">
        <f>IF(D1039&lt;&gt;"",VLOOKUP($C1039,Carpetas!$C$5:$L$2060,3,FALSE),"")</f>
        <v>Agroeden</v>
      </c>
      <c r="K1039" s="50">
        <v>46283</v>
      </c>
      <c r="L1039" s="39" t="str">
        <f>VLOOKUP($C1039,Carpetas!$C$5:$L$2060,4,FALSE)</f>
        <v>Fray Bentos</v>
      </c>
      <c r="M1039" s="55">
        <f>K1039+1</f>
        <v>46284</v>
      </c>
      <c r="N1039" s="53">
        <f t="shared" si="67"/>
        <v>18</v>
      </c>
      <c r="O1039" s="51">
        <v>1680</v>
      </c>
      <c r="P1039" s="51">
        <v>1</v>
      </c>
      <c r="Q1039" s="51">
        <v>1680</v>
      </c>
      <c r="R1039" s="51">
        <v>21</v>
      </c>
      <c r="S1039" s="51">
        <v>13</v>
      </c>
      <c r="T1039" s="65"/>
      <c r="U1039" s="65"/>
      <c r="V1039" s="65"/>
      <c r="W1039" s="51" t="s">
        <v>2158</v>
      </c>
      <c r="X1039" s="66" t="s">
        <v>2159</v>
      </c>
    </row>
    <row r="1040" hidden="1" ht="27.75" customHeight="1" s="32" customFormat="1">
      <c r="A1040" s="37"/>
      <c r="B1040" s="31" t="s">
        <v>32</v>
      </c>
      <c r="C1040" s="59" t="s">
        <v>2160</v>
      </c>
      <c r="D1040" s="121" t="s">
        <v>48</v>
      </c>
      <c r="E1040" s="57">
        <v>46279</v>
      </c>
      <c r="F1040" s="38" t="str">
        <f>IF(C1040&lt;&gt;"",VLOOKUP($C1040,Carpetas!$C$5:$L$2060,2,FALSE),"")</f>
        <v>CLP006-26</v>
      </c>
      <c r="G1040" s="38" t="s">
        <v>35</v>
      </c>
      <c r="H1040" s="44">
        <f>IF(C1040&lt;&gt;"",VLOOKUP($C1040,Carpetas!$C$5:$L$2060,9,FALSE),"")</f>
        <v>1569760</v>
      </c>
      <c r="I1040" s="51" t="str">
        <f>IF(C1040&lt;&gt;"",VLOOKUP($C1040,Carpetas!$C$5:$L$2060,5,FALSE),"")</f>
        <v>Nihuill</v>
      </c>
      <c r="J1040" s="51" t="str">
        <f>IF(D1040&lt;&gt;"",VLOOKUP($C1040,Carpetas!$C$5:$L$2060,3,FALSE),"")</f>
        <v>Comercial Superior</v>
      </c>
      <c r="K1040" s="50">
        <v>46283</v>
      </c>
      <c r="L1040" s="39" t="str">
        <f>VLOOKUP($C1040,Carpetas!$C$5:$L$2060,4,FALSE)</f>
        <v>Fray Bentos</v>
      </c>
      <c r="M1040" s="55">
        <f>K1040+1</f>
        <v>46284</v>
      </c>
      <c r="N1040" s="53">
        <f t="shared" si="67"/>
        <v>5</v>
      </c>
      <c r="O1040" s="51">
        <v>2112</v>
      </c>
      <c r="P1040" s="51">
        <v>1</v>
      </c>
      <c r="Q1040" s="51">
        <v>2112</v>
      </c>
      <c r="R1040" s="51">
        <v>24</v>
      </c>
      <c r="S1040" s="51">
        <v>10</v>
      </c>
      <c r="T1040" s="65"/>
      <c r="U1040" s="65"/>
      <c r="V1040" s="65" t="s">
        <v>2148</v>
      </c>
      <c r="W1040" s="51" t="s">
        <v>2161</v>
      </c>
      <c r="X1040" s="66" t="s">
        <v>2162</v>
      </c>
    </row>
    <row r="1041" hidden="1" ht="27.75" customHeight="1" s="32" customFormat="1">
      <c r="A1041" s="37"/>
      <c r="B1041" s="31" t="s">
        <v>32</v>
      </c>
      <c r="C1041" s="59" t="s">
        <v>2155</v>
      </c>
      <c r="D1041" s="121" t="s">
        <v>30</v>
      </c>
      <c r="E1041" s="57">
        <v>46266</v>
      </c>
      <c r="F1041" s="38" t="str">
        <f>IF(C1041&lt;&gt;"",VLOOKUP($C1041,Carpetas!$C$5:$L$2060,2,FALSE),"")</f>
        <v>ECI035/26</v>
      </c>
      <c r="G1041" s="38" t="s">
        <v>43</v>
      </c>
      <c r="H1041" s="44">
        <f>IF(C1041&lt;&gt;"",VLOOKUP($C1041,Carpetas!$C$5:$L$2060,9,FALSE),"")</f>
        <v>1567631</v>
      </c>
      <c r="I1041" s="51" t="str">
        <f>IF(C1041&lt;&gt;"",VLOOKUP($C1041,Carpetas!$C$5:$L$2060,5,FALSE),"")</f>
        <v>Andino</v>
      </c>
      <c r="J1041" s="51" t="str">
        <f>IF(D1041&lt;&gt;"",VLOOKUP($C1041,Carpetas!$C$5:$L$2060,3,FALSE),"")</f>
        <v>Interbanana</v>
      </c>
      <c r="K1041" s="50">
        <v>46284</v>
      </c>
      <c r="L1041" s="39" t="str">
        <f>VLOOKUP($C1041,Carpetas!$C$5:$L$2060,4,FALSE)</f>
        <v>Fray Bentos</v>
      </c>
      <c r="M1041" s="55">
        <v>46286</v>
      </c>
      <c r="N1041" s="53">
        <f t="shared" si="67"/>
        <v>20</v>
      </c>
      <c r="O1041" s="51">
        <v>1080</v>
      </c>
      <c r="P1041" s="51">
        <v>1</v>
      </c>
      <c r="Q1041" s="51">
        <v>1080</v>
      </c>
      <c r="R1041" s="51">
        <v>20</v>
      </c>
      <c r="S1041" s="51">
        <v>21</v>
      </c>
      <c r="T1041" s="65"/>
      <c r="U1041" s="65"/>
      <c r="V1041" s="65" t="s">
        <v>2163</v>
      </c>
      <c r="W1041" s="51" t="s">
        <v>101</v>
      </c>
      <c r="X1041" s="66" t="s">
        <v>2164</v>
      </c>
    </row>
    <row r="1042" hidden="1" ht="27.75" customHeight="1" s="32" customFormat="1">
      <c r="A1042" s="37"/>
      <c r="B1042" s="31" t="s">
        <v>32</v>
      </c>
      <c r="C1042" s="59" t="s">
        <v>2165</v>
      </c>
      <c r="D1042" s="121" t="s">
        <v>30</v>
      </c>
      <c r="E1042" s="57">
        <v>46273</v>
      </c>
      <c r="F1042" s="38" t="str">
        <f>IF(C1042&lt;&gt;"",VLOOKUP($C1042,Carpetas!$C$5:$L$2060,2,FALSE),"")</f>
        <v>ECB031/26</v>
      </c>
      <c r="G1042" s="38" t="s">
        <v>43</v>
      </c>
      <c r="H1042" s="44">
        <f>IF(C1042&lt;&gt;"",VLOOKUP($C1042,Carpetas!$C$5:$L$2060,9,FALSE),"")</f>
        <v>1568052</v>
      </c>
      <c r="I1042" s="51" t="str">
        <f>IF(C1042&lt;&gt;"",VLOOKUP($C1042,Carpetas!$C$5:$L$2060,5,FALSE),"")</f>
        <v>Andino</v>
      </c>
      <c r="J1042" s="51" t="str">
        <f>IF(D1042&lt;&gt;"",VLOOKUP($C1042,Carpetas!$C$5:$L$2060,3,FALSE),"")</f>
        <v>Nobora Trading Group</v>
      </c>
      <c r="K1042" s="50">
        <v>46289</v>
      </c>
      <c r="L1042" s="39" t="str">
        <f>VLOOKUP($C1042,Carpetas!$C$5:$L$2060,4,FALSE)</f>
        <v>Fray Bentos</v>
      </c>
      <c r="M1042" s="55">
        <f ref="M1042:M1063" t="shared" si="69">K1042+1</f>
        <v>46290</v>
      </c>
      <c r="N1042" s="53">
        <f t="shared" si="67"/>
        <v>17</v>
      </c>
      <c r="O1042" s="51">
        <v>1080</v>
      </c>
      <c r="P1042" s="51">
        <v>1</v>
      </c>
      <c r="Q1042" s="51">
        <v>1080</v>
      </c>
      <c r="R1042" s="51">
        <v>20</v>
      </c>
      <c r="S1042" s="51">
        <v>21</v>
      </c>
      <c r="T1042" s="65"/>
      <c r="U1042" s="65"/>
      <c r="V1042" s="65" t="s">
        <v>55</v>
      </c>
      <c r="W1042" s="51" t="s">
        <v>2166</v>
      </c>
      <c r="X1042" s="66" t="s">
        <v>2167</v>
      </c>
    </row>
    <row r="1043" hidden="1" ht="27.75" customHeight="1" s="32" customFormat="1">
      <c r="A1043" s="37"/>
      <c r="B1043" s="31" t="s">
        <v>32</v>
      </c>
      <c r="C1043" s="59" t="s">
        <v>2168</v>
      </c>
      <c r="D1043" s="121" t="s">
        <v>30</v>
      </c>
      <c r="E1043" s="57">
        <v>46283</v>
      </c>
      <c r="F1043" s="38" t="str">
        <f>IF(C1043&lt;&gt;"",VLOOKUP($C1043,Carpetas!$C$5:$L$2060,2,FALSE),"")</f>
        <v>BOB045-26</v>
      </c>
      <c r="G1043" s="38" t="s">
        <v>31</v>
      </c>
      <c r="H1043" s="44">
        <f>IF(C1043&lt;&gt;"",VLOOKUP($C1043,Carpetas!$C$5:$L$2060,9,FALSE),"")</f>
        <v>1570467</v>
      </c>
      <c r="I1043" s="51" t="str">
        <f>IF(C1043&lt;&gt;"",VLOOKUP($C1043,Carpetas!$C$5:$L$2060,5,FALSE),"")</f>
        <v>Surcentral</v>
      </c>
      <c r="J1043" s="51" t="str">
        <f>IF(D1043&lt;&gt;"",VLOOKUP($C1043,Carpetas!$C$5:$L$2060,3,FALSE),"")</f>
        <v>Banexfrut</v>
      </c>
      <c r="K1043" s="50">
        <v>46289</v>
      </c>
      <c r="L1043" s="39" t="str">
        <f>VLOOKUP($C1043,Carpetas!$C$5:$L$2060,4,FALSE)</f>
        <v>Salto</v>
      </c>
      <c r="M1043" s="55">
        <f t="shared" si="69"/>
        <v>46290</v>
      </c>
      <c r="N1043" s="53">
        <f t="shared" si="67"/>
        <v>7</v>
      </c>
      <c r="O1043" s="51">
        <v>1050</v>
      </c>
      <c r="P1043" s="51">
        <v>1</v>
      </c>
      <c r="Q1043" s="51">
        <v>1050</v>
      </c>
      <c r="R1043" s="51"/>
      <c r="S1043" s="51"/>
      <c r="T1043" s="65"/>
      <c r="U1043" s="65"/>
      <c r="V1043" s="65" t="s">
        <v>895</v>
      </c>
      <c r="W1043" s="51"/>
      <c r="X1043" s="66" t="s">
        <v>2169</v>
      </c>
    </row>
    <row r="1044" hidden="1" ht="27.75" customHeight="1" s="32" customFormat="1">
      <c r="A1044" s="37"/>
      <c r="B1044" s="31" t="s">
        <v>32</v>
      </c>
      <c r="C1044" s="59" t="s">
        <v>2170</v>
      </c>
      <c r="D1044" s="121" t="s">
        <v>30</v>
      </c>
      <c r="E1044" s="57">
        <v>46270</v>
      </c>
      <c r="F1044" s="38" t="str">
        <f>IF(C1044&lt;&gt;"",VLOOKUP($C1044,Carpetas!$C$5:$L$2060,2,FALSE),"")</f>
        <v>ECI036/26</v>
      </c>
      <c r="G1044" s="38" t="s">
        <v>43</v>
      </c>
      <c r="H1044" s="44">
        <f>IF(C1044&lt;&gt;"",VLOOKUP($C1044,Carpetas!$C$5:$L$2060,9,FALSE),"")</f>
        <v>1567631</v>
      </c>
      <c r="I1044" s="51" t="str">
        <f>IF(C1044&lt;&gt;"",VLOOKUP($C1044,Carpetas!$C$5:$L$2060,5,FALSE),"")</f>
        <v>Andino</v>
      </c>
      <c r="J1044" s="51" t="str">
        <f>IF(D1044&lt;&gt;"",VLOOKUP($C1044,Carpetas!$C$5:$L$2060,3,FALSE),"")</f>
        <v>Interbanana</v>
      </c>
      <c r="K1044" s="50">
        <v>46290</v>
      </c>
      <c r="L1044" s="39" t="str">
        <f>VLOOKUP($C1044,Carpetas!$C$5:$L$2060,4,FALSE)</f>
        <v>Fray Bentos</v>
      </c>
      <c r="M1044" s="55">
        <f t="shared" si="69"/>
        <v>46291</v>
      </c>
      <c r="N1044" s="53">
        <f t="shared" si="67"/>
        <v>21</v>
      </c>
      <c r="O1044" s="51">
        <v>2160</v>
      </c>
      <c r="P1044" s="51">
        <v>1</v>
      </c>
      <c r="Q1044" s="51">
        <v>2160</v>
      </c>
      <c r="R1044" s="51">
        <v>40</v>
      </c>
      <c r="S1044" s="51">
        <v>21</v>
      </c>
      <c r="T1044" s="65"/>
      <c r="U1044" s="65"/>
      <c r="V1044" s="65" t="s">
        <v>2163</v>
      </c>
      <c r="W1044" s="51" t="s">
        <v>2171</v>
      </c>
      <c r="X1044" s="66" t="s">
        <v>2172</v>
      </c>
    </row>
    <row r="1045" hidden="1" ht="27.75" customHeight="1" s="32" customFormat="1">
      <c r="A1045" s="37"/>
      <c r="B1045" s="31" t="s">
        <v>32</v>
      </c>
      <c r="C1045" s="59" t="s">
        <v>2165</v>
      </c>
      <c r="D1045" s="121" t="s">
        <v>30</v>
      </c>
      <c r="E1045" s="57">
        <v>46273</v>
      </c>
      <c r="F1045" s="38" t="str">
        <f>IF(C1045&lt;&gt;"",VLOOKUP($C1045,Carpetas!$C$5:$L$2060,2,FALSE),"")</f>
        <v>ECB031/26</v>
      </c>
      <c r="G1045" s="38" t="s">
        <v>43</v>
      </c>
      <c r="H1045" s="44">
        <f>IF(C1045&lt;&gt;"",VLOOKUP($C1045,Carpetas!$C$5:$L$2060,9,FALSE),"")</f>
        <v>1568052</v>
      </c>
      <c r="I1045" s="51" t="str">
        <f>IF(C1045&lt;&gt;"",VLOOKUP($C1045,Carpetas!$C$5:$L$2060,5,FALSE),"")</f>
        <v>Andino</v>
      </c>
      <c r="J1045" s="51" t="str">
        <f>IF(D1045&lt;&gt;"",VLOOKUP($C1045,Carpetas!$C$5:$L$2060,3,FALSE),"")</f>
        <v>Nobora Trading Group</v>
      </c>
      <c r="K1045" s="50">
        <v>46290</v>
      </c>
      <c r="L1045" s="39" t="str">
        <f>VLOOKUP($C1045,Carpetas!$C$5:$L$2060,4,FALSE)</f>
        <v>Fray Bentos</v>
      </c>
      <c r="M1045" s="55">
        <f t="shared" si="69"/>
        <v>46291</v>
      </c>
      <c r="N1045" s="53">
        <f t="shared" si="67"/>
        <v>18</v>
      </c>
      <c r="O1045" s="51">
        <v>4320</v>
      </c>
      <c r="P1045" s="51">
        <v>1</v>
      </c>
      <c r="Q1045" s="51">
        <v>4320</v>
      </c>
      <c r="R1045" s="51">
        <v>80</v>
      </c>
      <c r="S1045" s="51">
        <v>21</v>
      </c>
      <c r="T1045" s="65"/>
      <c r="U1045" s="65"/>
      <c r="V1045" s="65" t="s">
        <v>55</v>
      </c>
      <c r="W1045" s="51" t="s">
        <v>2173</v>
      </c>
      <c r="X1045" s="66" t="s">
        <v>2174</v>
      </c>
    </row>
    <row r="1046" hidden="1" ht="27.75" customHeight="1" s="32" customFormat="1">
      <c r="A1046" s="37"/>
      <c r="B1046" s="31" t="s">
        <v>32</v>
      </c>
      <c r="C1046" s="59" t="s">
        <v>2170</v>
      </c>
      <c r="D1046" s="121" t="s">
        <v>30</v>
      </c>
      <c r="E1046" s="57">
        <v>46270</v>
      </c>
      <c r="F1046" s="38" t="str">
        <f>IF(C1046&lt;&gt;"",VLOOKUP($C1046,Carpetas!$C$5:$L$2060,2,FALSE),"")</f>
        <v>ECI036/26</v>
      </c>
      <c r="G1046" s="38" t="s">
        <v>43</v>
      </c>
      <c r="H1046" s="44">
        <f>IF(C1046&lt;&gt;"",VLOOKUP($C1046,Carpetas!$C$5:$L$2060,9,FALSE),"")</f>
        <v>1567631</v>
      </c>
      <c r="I1046" s="51" t="str">
        <f>IF(C1046&lt;&gt;"",VLOOKUP($C1046,Carpetas!$C$5:$L$2060,5,FALSE),"")</f>
        <v>Andino</v>
      </c>
      <c r="J1046" s="51" t="str">
        <f>IF(D1046&lt;&gt;"",VLOOKUP($C1046,Carpetas!$C$5:$L$2060,3,FALSE),"")</f>
        <v>Interbanana</v>
      </c>
      <c r="K1046" s="50">
        <v>46294</v>
      </c>
      <c r="L1046" s="39" t="str">
        <f>VLOOKUP($C1046,Carpetas!$C$5:$L$2060,4,FALSE)</f>
        <v>Fray Bentos</v>
      </c>
      <c r="M1046" s="55">
        <f t="shared" si="69"/>
        <v>46295</v>
      </c>
      <c r="N1046" s="53">
        <f t="shared" si="67"/>
        <v>25</v>
      </c>
      <c r="O1046" s="51">
        <v>1080</v>
      </c>
      <c r="P1046" s="51">
        <v>1</v>
      </c>
      <c r="Q1046" s="51">
        <v>1080</v>
      </c>
      <c r="R1046" s="51">
        <v>20</v>
      </c>
      <c r="S1046" s="51">
        <v>21</v>
      </c>
      <c r="T1046" s="65"/>
      <c r="U1046" s="65"/>
      <c r="V1046" s="65" t="s">
        <v>2163</v>
      </c>
      <c r="W1046" s="51" t="s">
        <v>389</v>
      </c>
      <c r="X1046" s="66" t="s">
        <v>2175</v>
      </c>
    </row>
    <row r="1047" hidden="1" ht="27.75" customHeight="1" s="32" customFormat="1">
      <c r="A1047" s="37"/>
      <c r="B1047" s="31" t="s">
        <v>32</v>
      </c>
      <c r="C1047" s="59" t="s">
        <v>2176</v>
      </c>
      <c r="D1047" s="121" t="s">
        <v>42</v>
      </c>
      <c r="E1047" s="57">
        <v>46280</v>
      </c>
      <c r="F1047" s="38" t="str">
        <f>IF(C1047&lt;&gt;"",VLOOKUP($C1047,Carpetas!$C$5:$L$2060,2,FALSE),"")</f>
        <v>ECA018/26</v>
      </c>
      <c r="G1047" s="38" t="s">
        <v>43</v>
      </c>
      <c r="H1047" s="44">
        <f>IF(C1047&lt;&gt;"",VLOOKUP($C1047,Carpetas!$C$5:$L$2060,9,FALSE),"")</f>
        <v>1567599</v>
      </c>
      <c r="I1047" s="51" t="str">
        <f>IF(C1047&lt;&gt;"",VLOOKUP($C1047,Carpetas!$C$5:$L$2060,5,FALSE),"")</f>
        <v>Andino</v>
      </c>
      <c r="J1047" s="51" t="str">
        <f>IF(D1047&lt;&gt;"",VLOOKUP($C1047,Carpetas!$C$5:$L$2060,3,FALSE),"")</f>
        <v>Agroeden</v>
      </c>
      <c r="K1047" s="50">
        <v>46296</v>
      </c>
      <c r="L1047" s="39" t="str">
        <f>VLOOKUP($C1047,Carpetas!$C$5:$L$2060,4,FALSE)</f>
        <v>Fray Bentos</v>
      </c>
      <c r="M1047" s="55">
        <f t="shared" si="69"/>
        <v>46297</v>
      </c>
      <c r="N1047" s="53">
        <f t="shared" si="67"/>
        <v>17</v>
      </c>
      <c r="O1047" s="51">
        <v>1680</v>
      </c>
      <c r="P1047" s="51">
        <v>1</v>
      </c>
      <c r="Q1047" s="51">
        <v>1680</v>
      </c>
      <c r="R1047" s="51">
        <v>21</v>
      </c>
      <c r="S1047" s="51">
        <v>12</v>
      </c>
      <c r="T1047" s="65"/>
      <c r="U1047" s="65"/>
      <c r="V1047" s="65" t="s">
        <v>1203</v>
      </c>
      <c r="W1047" s="51" t="s">
        <v>2177</v>
      </c>
      <c r="X1047" s="66" t="s">
        <v>2178</v>
      </c>
    </row>
    <row r="1048" hidden="1" ht="27.75" customHeight="1" s="32" customFormat="1">
      <c r="A1048" s="37"/>
      <c r="B1048" s="31" t="s">
        <v>32</v>
      </c>
      <c r="C1048" s="59" t="s">
        <v>2179</v>
      </c>
      <c r="D1048" s="121" t="s">
        <v>30</v>
      </c>
      <c r="E1048" s="57">
        <v>46290</v>
      </c>
      <c r="F1048" s="38" t="str">
        <f>IF(C1048&lt;&gt;"",VLOOKUP($C1048,Carpetas!$C$5:$L$2060,2,FALSE),"")</f>
        <v>BOB046/26</v>
      </c>
      <c r="G1048" s="38" t="s">
        <v>31</v>
      </c>
      <c r="H1048" s="44">
        <f>IF(C1048&lt;&gt;"",VLOOKUP($C1048,Carpetas!$C$5:$L$2060,9,FALSE),"")</f>
        <v>1571082</v>
      </c>
      <c r="I1048" s="51" t="str">
        <f>IF(C1048&lt;&gt;"",VLOOKUP($C1048,Carpetas!$C$5:$L$2060,5,FALSE),"")</f>
        <v>Surcentral</v>
      </c>
      <c r="J1048" s="51" t="str">
        <f>IF(D1048&lt;&gt;"",VLOOKUP($C1048,Carpetas!$C$5:$L$2060,3,FALSE),"")</f>
        <v>Banexfrut</v>
      </c>
      <c r="K1048" s="50">
        <v>46296</v>
      </c>
      <c r="L1048" s="39" t="str">
        <f>VLOOKUP($C1048,Carpetas!$C$5:$L$2060,4,FALSE)</f>
        <v>Salto</v>
      </c>
      <c r="M1048" s="55">
        <f t="shared" si="69"/>
        <v>46297</v>
      </c>
      <c r="N1048" s="53">
        <f t="shared" si="67"/>
        <v>7</v>
      </c>
      <c r="O1048" s="51">
        <v>1050</v>
      </c>
      <c r="P1048" s="51">
        <v>1</v>
      </c>
      <c r="Q1048" s="51">
        <v>1050</v>
      </c>
      <c r="R1048" s="51" t="s">
        <v>850</v>
      </c>
      <c r="S1048" s="51"/>
      <c r="T1048" s="65"/>
      <c r="U1048" s="65"/>
      <c r="V1048" s="65"/>
      <c r="W1048" s="51"/>
      <c r="X1048" s="66" t="s">
        <v>2180</v>
      </c>
    </row>
    <row r="1049" hidden="1" ht="27.75" customHeight="1" s="32" customFormat="1">
      <c r="A1049" s="37"/>
      <c r="B1049" s="31" t="s">
        <v>32</v>
      </c>
      <c r="C1049" s="59" t="s">
        <v>2181</v>
      </c>
      <c r="D1049" s="121" t="s">
        <v>48</v>
      </c>
      <c r="E1049" s="57">
        <v>46297</v>
      </c>
      <c r="F1049" s="38" t="str">
        <f>IF(C1049&lt;&gt;"",VLOOKUP($C1049,Carpetas!$C$5:$L$2060,2,FALSE),"")</f>
        <v>CLP008-26</v>
      </c>
      <c r="G1049" s="38" t="s">
        <v>35</v>
      </c>
      <c r="H1049" s="44">
        <f>IF(C1049&lt;&gt;"",VLOOKUP($C1049,Carpetas!$C$5:$L$2060,9,FALSE),"")</f>
        <v>1571681</v>
      </c>
      <c r="I1049" s="51" t="str">
        <f>IF(C1049&lt;&gt;"",VLOOKUP($C1049,Carpetas!$C$5:$L$2060,5,FALSE),"")</f>
        <v>Cisternas</v>
      </c>
      <c r="J1049" s="51" t="str">
        <f>IF(D1049&lt;&gt;"",VLOOKUP($C1049,Carpetas!$C$5:$L$2060,3,FALSE),"")</f>
        <v>El Parque</v>
      </c>
      <c r="K1049" s="50">
        <f>E1049+5</f>
        <v>46302</v>
      </c>
      <c r="L1049" s="39" t="str">
        <f>VLOOKUP($C1049,Carpetas!$C$5:$L$2060,4,FALSE)</f>
        <v>Fray Bentos</v>
      </c>
      <c r="M1049" s="55">
        <f t="shared" si="69"/>
        <v>46303</v>
      </c>
      <c r="N1049" s="53">
        <f t="shared" si="67"/>
        <v>6</v>
      </c>
      <c r="O1049" s="51">
        <v>1936</v>
      </c>
      <c r="P1049" s="51">
        <v>1</v>
      </c>
      <c r="Q1049" s="51">
        <v>1936</v>
      </c>
      <c r="R1049" s="51">
        <v>22</v>
      </c>
      <c r="S1049" s="51">
        <v>11</v>
      </c>
      <c r="T1049" s="65"/>
      <c r="U1049" s="65"/>
      <c r="V1049" s="65"/>
      <c r="W1049" s="51" t="s">
        <v>1500</v>
      </c>
      <c r="X1049" s="66" t="s">
        <v>2182</v>
      </c>
    </row>
    <row r="1050" hidden="1" ht="27.75" customHeight="1" s="32" customFormat="1">
      <c r="A1050" s="37"/>
      <c r="B1050" s="31" t="s">
        <v>32</v>
      </c>
      <c r="C1050" s="59" t="s">
        <v>2183</v>
      </c>
      <c r="D1050" s="121" t="s">
        <v>48</v>
      </c>
      <c r="E1050" s="57">
        <v>46296</v>
      </c>
      <c r="F1050" s="38" t="str">
        <f>IF(C1050&lt;&gt;"",VLOOKUP($C1050,Carpetas!$C$5:$L$2060,2,FALSE),"")</f>
        <v>CLP007-26</v>
      </c>
      <c r="G1050" s="38" t="s">
        <v>35</v>
      </c>
      <c r="H1050" s="44">
        <f>IF(C1050&lt;&gt;"",VLOOKUP($C1050,Carpetas!$C$5:$L$2060,9,FALSE),"")</f>
        <v>1571825</v>
      </c>
      <c r="I1050" s="51" t="str">
        <f>IF(C1050&lt;&gt;"",VLOOKUP($C1050,Carpetas!$C$5:$L$2060,5,FALSE),"")</f>
        <v>Nihuill</v>
      </c>
      <c r="J1050" s="51" t="str">
        <f>IF(D1050&lt;&gt;"",VLOOKUP($C1050,Carpetas!$C$5:$L$2060,3,FALSE),"")</f>
        <v>Propal</v>
      </c>
      <c r="K1050" s="50">
        <f>E1050+5</f>
        <v>46301</v>
      </c>
      <c r="L1050" s="39" t="str">
        <f>VLOOKUP($C1050,Carpetas!$C$5:$L$2060,4,FALSE)</f>
        <v>Fray Bentos</v>
      </c>
      <c r="M1050" s="55">
        <f t="shared" si="69"/>
        <v>46302</v>
      </c>
      <c r="N1050" s="53">
        <f t="shared" si="67"/>
        <v>6</v>
      </c>
      <c r="O1050" s="51">
        <v>2112</v>
      </c>
      <c r="P1050" s="51">
        <v>1</v>
      </c>
      <c r="Q1050" s="51">
        <v>2112</v>
      </c>
      <c r="R1050" s="51">
        <v>24</v>
      </c>
      <c r="S1050" s="51">
        <v>11</v>
      </c>
      <c r="T1050" s="65"/>
      <c r="U1050" s="65"/>
      <c r="V1050" s="65"/>
      <c r="W1050" s="51" t="s">
        <v>2184</v>
      </c>
      <c r="X1050" s="66" t="s">
        <v>2185</v>
      </c>
    </row>
    <row r="1051" hidden="1" ht="27.75" customHeight="1" s="32" customFormat="1">
      <c r="A1051" s="37"/>
      <c r="B1051" s="31" t="s">
        <v>32</v>
      </c>
      <c r="C1051" s="59" t="s">
        <v>2186</v>
      </c>
      <c r="D1051" s="121" t="s">
        <v>30</v>
      </c>
      <c r="E1051" s="57">
        <v>46297</v>
      </c>
      <c r="F1051" s="38" t="str">
        <f>IF(C1051&lt;&gt;"",VLOOKUP($C1051,Carpetas!$C$5:$L$2060,2,FALSE),"")</f>
        <v>BOB047/26</v>
      </c>
      <c r="G1051" s="38" t="s">
        <v>31</v>
      </c>
      <c r="H1051" s="44">
        <f>IF(C1051&lt;&gt;"",VLOOKUP($C1051,Carpetas!$C$5:$L$2060,9,FALSE),"")</f>
        <v>1571751</v>
      </c>
      <c r="I1051" s="51" t="str">
        <f>IF(C1051&lt;&gt;"",VLOOKUP($C1051,Carpetas!$C$5:$L$2060,5,FALSE),"")</f>
        <v>Surcentral</v>
      </c>
      <c r="J1051" s="51" t="str">
        <f>IF(D1051&lt;&gt;"",VLOOKUP($C1051,Carpetas!$C$5:$L$2060,3,FALSE),"")</f>
        <v>Banexfrut</v>
      </c>
      <c r="K1051" s="50">
        <v>46302</v>
      </c>
      <c r="L1051" s="39" t="str">
        <f>VLOOKUP($C1051,Carpetas!$C$5:$L$2060,4,FALSE)</f>
        <v>Salto</v>
      </c>
      <c r="M1051" s="55">
        <f t="shared" si="69"/>
        <v>46303</v>
      </c>
      <c r="N1051" s="53">
        <f t="shared" si="67"/>
        <v>6</v>
      </c>
      <c r="O1051" s="51">
        <v>1050</v>
      </c>
      <c r="P1051" s="51">
        <v>5</v>
      </c>
      <c r="Q1051" s="51">
        <v>1049</v>
      </c>
      <c r="R1051" s="51" t="s">
        <v>1551</v>
      </c>
      <c r="S1051" s="51">
        <v>21</v>
      </c>
      <c r="T1051" s="65"/>
      <c r="U1051" s="65"/>
      <c r="V1051" s="65"/>
      <c r="W1051" s="51"/>
      <c r="X1051" s="66" t="s">
        <v>2187</v>
      </c>
    </row>
    <row r="1052" hidden="1" ht="27.75" customHeight="1" s="32" customFormat="1">
      <c r="A1052" s="37"/>
      <c r="B1052" s="31" t="s">
        <v>32</v>
      </c>
      <c r="C1052" s="59" t="s">
        <v>2188</v>
      </c>
      <c r="D1052" s="121" t="s">
        <v>30</v>
      </c>
      <c r="E1052" s="57">
        <v>46287</v>
      </c>
      <c r="F1052" s="38" t="str">
        <f>IF(C1052&lt;&gt;"",VLOOKUP($C1052,Carpetas!$C$5:$L$2060,2,FALSE),"")</f>
        <v>ECI037/26</v>
      </c>
      <c r="G1052" s="38" t="s">
        <v>43</v>
      </c>
      <c r="H1052" s="44">
        <f>IF(C1052&lt;&gt;"",VLOOKUP($C1052,Carpetas!$C$5:$L$2060,9,FALSE),"")</f>
        <v>1568287</v>
      </c>
      <c r="I1052" s="51" t="str">
        <f>IF(C1052&lt;&gt;"",VLOOKUP($C1052,Carpetas!$C$5:$L$2060,5,FALSE),"")</f>
        <v>Andino</v>
      </c>
      <c r="J1052" s="51" t="str">
        <f>IF(D1052&lt;&gt;"",VLOOKUP($C1052,Carpetas!$C$5:$L$2060,3,FALSE),"")</f>
        <v>Interbanana</v>
      </c>
      <c r="K1052" s="50">
        <v>46303</v>
      </c>
      <c r="L1052" s="39" t="str">
        <f>VLOOKUP($C1052,Carpetas!$C$5:$L$2060,4,FALSE)</f>
        <v>Fray Bentos</v>
      </c>
      <c r="M1052" s="55">
        <f t="shared" si="69"/>
        <v>46304</v>
      </c>
      <c r="N1052" s="53">
        <f t="shared" si="67"/>
        <v>17</v>
      </c>
      <c r="O1052" s="51">
        <v>2160</v>
      </c>
      <c r="P1052" s="51">
        <v>5</v>
      </c>
      <c r="Q1052" s="51">
        <v>2160</v>
      </c>
      <c r="R1052" s="51">
        <v>40</v>
      </c>
      <c r="S1052" s="51">
        <v>21</v>
      </c>
      <c r="T1052" s="65"/>
      <c r="U1052" s="65"/>
      <c r="V1052" s="65"/>
      <c r="W1052" s="51"/>
      <c r="X1052" s="66" t="s">
        <v>2189</v>
      </c>
    </row>
    <row r="1053" hidden="1" ht="27.75" customHeight="1" s="32" customFormat="1">
      <c r="A1053" s="37"/>
      <c r="B1053" s="31" t="s">
        <v>32</v>
      </c>
      <c r="C1053" s="59" t="s">
        <v>2190</v>
      </c>
      <c r="D1053" s="121" t="s">
        <v>30</v>
      </c>
      <c r="E1053" s="57">
        <v>46280</v>
      </c>
      <c r="F1053" s="38" t="str">
        <f>IF(C1053&lt;&gt;"",VLOOKUP($C1053,Carpetas!$C$5:$L$2060,2,FALSE),"")</f>
        <v>ECB032/26</v>
      </c>
      <c r="G1053" s="38" t="s">
        <v>43</v>
      </c>
      <c r="H1053" s="44">
        <f>IF(C1053&lt;&gt;"",VLOOKUP($C1053,Carpetas!$C$5:$L$2060,9,FALSE),"")</f>
        <v>1569035</v>
      </c>
      <c r="I1053" s="51" t="str">
        <f>IF(C1053&lt;&gt;"",VLOOKUP($C1053,Carpetas!$C$5:$L$2060,5,FALSE),"")</f>
        <v>Andino</v>
      </c>
      <c r="J1053" s="51" t="str">
        <f>IF(D1053&lt;&gt;"",VLOOKUP($C1053,Carpetas!$C$5:$L$2060,3,FALSE),"")</f>
        <v>Nobora Trading Group</v>
      </c>
      <c r="K1053" s="50">
        <v>46304</v>
      </c>
      <c r="L1053" s="39" t="str">
        <f>VLOOKUP($C1053,Carpetas!$C$5:$L$2060,4,FALSE)</f>
        <v>Fray Bentos</v>
      </c>
      <c r="M1053" s="55">
        <f t="shared" si="69"/>
        <v>46305</v>
      </c>
      <c r="N1053" s="53">
        <f t="shared" si="67"/>
        <v>25</v>
      </c>
      <c r="O1053" s="51">
        <v>2160</v>
      </c>
      <c r="P1053" s="51">
        <v>5</v>
      </c>
      <c r="Q1053" s="51">
        <v>3240</v>
      </c>
      <c r="R1053" s="51">
        <v>60</v>
      </c>
      <c r="S1053" s="51">
        <v>21</v>
      </c>
      <c r="T1053" s="65"/>
      <c r="U1053" s="65"/>
      <c r="V1053" s="65" t="s">
        <v>55</v>
      </c>
      <c r="W1053" s="51" t="s">
        <v>2191</v>
      </c>
      <c r="X1053" s="66" t="s">
        <v>2192</v>
      </c>
    </row>
    <row r="1054" hidden="1" ht="27.75" customHeight="1" s="32" customFormat="1">
      <c r="A1054" s="37"/>
      <c r="B1054" s="31" t="s">
        <v>32</v>
      </c>
      <c r="C1054" s="59" t="s">
        <v>2190</v>
      </c>
      <c r="D1054" s="121" t="s">
        <v>30</v>
      </c>
      <c r="E1054" s="57">
        <v>46280</v>
      </c>
      <c r="F1054" s="38" t="str">
        <f>IF(C1054&lt;&gt;"",VLOOKUP($C1054,Carpetas!$C$5:$L$2060,2,FALSE),"")</f>
        <v>ECB032/26</v>
      </c>
      <c r="G1054" s="38" t="s">
        <v>43</v>
      </c>
      <c r="H1054" s="44">
        <f>IF(C1054&lt;&gt;"",VLOOKUP($C1054,Carpetas!$C$5:$L$2060,9,FALSE),"")</f>
        <v>1569035</v>
      </c>
      <c r="I1054" s="51" t="str">
        <f>IF(C1054&lt;&gt;"",VLOOKUP($C1054,Carpetas!$C$5:$L$2060,5,FALSE),"")</f>
        <v>Andino</v>
      </c>
      <c r="J1054" s="51" t="str">
        <f>IF(D1054&lt;&gt;"",VLOOKUP($C1054,Carpetas!$C$5:$L$2060,3,FALSE),"")</f>
        <v>Nobora Trading Group</v>
      </c>
      <c r="K1054" s="50">
        <v>46305</v>
      </c>
      <c r="L1054" s="39" t="str">
        <f>VLOOKUP($C1054,Carpetas!$C$5:$L$2060,4,FALSE)</f>
        <v>Fray Bentos</v>
      </c>
      <c r="M1054" s="55">
        <v>46307</v>
      </c>
      <c r="N1054" s="53">
        <f>IF(M1054&lt;&gt;"",M1054-E1054,"-")</f>
        <v>27</v>
      </c>
      <c r="O1054" s="51">
        <v>1080</v>
      </c>
      <c r="P1054" s="51">
        <v>5</v>
      </c>
      <c r="Q1054" s="51">
        <v>3240</v>
      </c>
      <c r="R1054" s="51">
        <v>60</v>
      </c>
      <c r="S1054" s="51">
        <v>21</v>
      </c>
      <c r="T1054" s="65"/>
      <c r="U1054" s="65"/>
      <c r="V1054" s="65" t="s">
        <v>55</v>
      </c>
      <c r="W1054" s="51" t="s">
        <v>2191</v>
      </c>
      <c r="X1054" s="66" t="s">
        <v>2192</v>
      </c>
    </row>
    <row r="1055" hidden="1" ht="27.75" customHeight="1" s="32" customFormat="1">
      <c r="A1055" s="37"/>
      <c r="B1055" s="31" t="s">
        <v>32</v>
      </c>
      <c r="C1055" s="59" t="s">
        <v>2188</v>
      </c>
      <c r="D1055" s="121" t="s">
        <v>30</v>
      </c>
      <c r="E1055" s="57">
        <v>46287</v>
      </c>
      <c r="F1055" s="38" t="str">
        <f>IF(C1055&lt;&gt;"",VLOOKUP($C1055,Carpetas!$C$5:$L$2060,2,FALSE),"")</f>
        <v>ECI037/26</v>
      </c>
      <c r="G1055" s="38" t="s">
        <v>43</v>
      </c>
      <c r="H1055" s="44">
        <f>IF(C1055&lt;&gt;"",VLOOKUP($C1055,Carpetas!$C$5:$L$2060,9,FALSE),"")</f>
        <v>1568287</v>
      </c>
      <c r="I1055" s="51" t="str">
        <f>IF(C1055&lt;&gt;"",VLOOKUP($C1055,Carpetas!$C$5:$L$2060,5,FALSE),"")</f>
        <v>Andino</v>
      </c>
      <c r="J1055" s="51" t="str">
        <f>IF(D1055&lt;&gt;"",VLOOKUP($C1055,Carpetas!$C$5:$L$2060,3,FALSE),"")</f>
        <v>Interbanana</v>
      </c>
      <c r="K1055" s="50">
        <v>46304</v>
      </c>
      <c r="L1055" s="39" t="str">
        <f>VLOOKUP($C1055,Carpetas!$C$5:$L$2060,4,FALSE)</f>
        <v>Fray Bentos</v>
      </c>
      <c r="M1055" s="55">
        <f t="shared" si="69"/>
        <v>46305</v>
      </c>
      <c r="N1055" s="53">
        <f t="shared" si="67"/>
        <v>18</v>
      </c>
      <c r="O1055" s="51">
        <v>1080</v>
      </c>
      <c r="P1055" s="51">
        <v>5</v>
      </c>
      <c r="Q1055" s="51">
        <v>1080</v>
      </c>
      <c r="R1055" s="51">
        <v>20</v>
      </c>
      <c r="S1055" s="51">
        <v>21</v>
      </c>
      <c r="T1055" s="65"/>
      <c r="U1055" s="65"/>
      <c r="V1055" s="65" t="s">
        <v>1656</v>
      </c>
      <c r="W1055" s="51" t="s">
        <v>1575</v>
      </c>
      <c r="X1055" s="66" t="s">
        <v>2193</v>
      </c>
    </row>
    <row r="1056" ht="27.75" customHeight="1" s="32" customFormat="1">
      <c r="A1056" s="37"/>
      <c r="B1056" s="31" t="s">
        <v>2194</v>
      </c>
      <c r="C1056" s="59" t="s">
        <v>2190</v>
      </c>
      <c r="D1056" s="121" t="s">
        <v>30</v>
      </c>
      <c r="E1056" s="57">
        <v>46280</v>
      </c>
      <c r="F1056" s="38" t="str">
        <f>IF(C1056&lt;&gt;"",VLOOKUP($C1056,Carpetas!$C$5:$L$2060,2,FALSE),"")</f>
        <v>ECB032/26</v>
      </c>
      <c r="G1056" s="38" t="s">
        <v>43</v>
      </c>
      <c r="H1056" s="44">
        <f>IF(C1056&lt;&gt;"",VLOOKUP($C1056,Carpetas!$C$5:$L$2060,9,FALSE),"")</f>
        <v>1569035</v>
      </c>
      <c r="I1056" s="51" t="str">
        <f>IF(C1056&lt;&gt;"",VLOOKUP($C1056,Carpetas!$C$5:$L$2060,5,FALSE),"")</f>
        <v>Andino</v>
      </c>
      <c r="J1056" s="51" t="str">
        <f>IF(D1056&lt;&gt;"",VLOOKUP($C1056,Carpetas!$C$5:$L$2060,3,FALSE),"")</f>
        <v>Nobora Trading Group</v>
      </c>
      <c r="K1056" s="50">
        <v>46307</v>
      </c>
      <c r="L1056" s="39" t="str">
        <f>VLOOKUP($C1056,Carpetas!$C$5:$L$2060,4,FALSE)</f>
        <v>Fray Bentos</v>
      </c>
      <c r="M1056" s="55">
        <f>K1056+1+1</f>
        <v>46309</v>
      </c>
      <c r="N1056" s="53">
        <f t="shared" si="67"/>
        <v>29</v>
      </c>
      <c r="O1056" s="51">
        <v>2160</v>
      </c>
      <c r="P1056" s="51">
        <v>5</v>
      </c>
      <c r="Q1056" s="51"/>
      <c r="R1056" s="51"/>
      <c r="S1056" s="51"/>
      <c r="T1056" s="65"/>
      <c r="U1056" s="65"/>
      <c r="V1056" s="65"/>
      <c r="W1056" s="51"/>
      <c r="X1056" s="66"/>
    </row>
    <row r="1057" ht="27.75" customHeight="1" s="32" customFormat="1">
      <c r="A1057" s="37"/>
      <c r="B1057" s="31" t="s">
        <v>2195</v>
      </c>
      <c r="C1057" s="59" t="s">
        <v>2190</v>
      </c>
      <c r="D1057" s="121" t="s">
        <v>30</v>
      </c>
      <c r="E1057" s="57">
        <v>46280</v>
      </c>
      <c r="F1057" s="38" t="str">
        <f>IF(C1057&lt;&gt;"",VLOOKUP($C1057,Carpetas!$C$5:$L$2060,2,FALSE),"")</f>
        <v>ECB032/26</v>
      </c>
      <c r="G1057" s="38" t="s">
        <v>43</v>
      </c>
      <c r="H1057" s="44">
        <f>IF(C1057&lt;&gt;"",VLOOKUP($C1057,Carpetas!$C$5:$L$2060,9,FALSE),"")</f>
        <v>1569035</v>
      </c>
      <c r="I1057" s="51" t="str">
        <f>IF(C1057&lt;&gt;"",VLOOKUP($C1057,Carpetas!$C$5:$L$2060,5,FALSE),"")</f>
        <v>Andino</v>
      </c>
      <c r="J1057" s="51" t="str">
        <f>IF(D1057&lt;&gt;"",VLOOKUP($C1057,Carpetas!$C$5:$L$2060,3,FALSE),"")</f>
        <v>Nobora Trading Group</v>
      </c>
      <c r="K1057" s="50">
        <v>46307</v>
      </c>
      <c r="L1057" s="39" t="str">
        <f>VLOOKUP($C1057,Carpetas!$C$5:$L$2060,4,FALSE)</f>
        <v>Fray Bentos</v>
      </c>
      <c r="M1057" s="55">
        <f>K1057+1</f>
        <v>46308</v>
      </c>
      <c r="N1057" s="53">
        <f>IF(M1057&lt;&gt;"",M1057-E1057,"-")</f>
        <v>28</v>
      </c>
      <c r="O1057" s="51">
        <v>2160</v>
      </c>
      <c r="P1057" s="51">
        <v>5</v>
      </c>
      <c r="Q1057" s="51"/>
      <c r="R1057" s="51"/>
      <c r="S1057" s="51"/>
      <c r="T1057" s="65"/>
      <c r="U1057" s="65"/>
      <c r="V1057" s="65"/>
      <c r="W1057" s="51"/>
      <c r="X1057" s="66"/>
    </row>
    <row r="1058" ht="27.75" customHeight="1" s="32" customFormat="1">
      <c r="A1058" s="37"/>
      <c r="B1058" s="31" t="s">
        <v>2195</v>
      </c>
      <c r="C1058" s="59" t="s">
        <v>2196</v>
      </c>
      <c r="D1058" s="121" t="s">
        <v>30</v>
      </c>
      <c r="E1058" s="57">
        <v>46287</v>
      </c>
      <c r="F1058" s="38" t="str">
        <f>IF(C1058&lt;&gt;"",VLOOKUP($C1058,Carpetas!$C$5:$L$2060,2,FALSE),"")</f>
        <v>ECB033/26</v>
      </c>
      <c r="G1058" s="38" t="s">
        <v>43</v>
      </c>
      <c r="H1058" s="44">
        <f>IF(C1058&lt;&gt;"",VLOOKUP($C1058,Carpetas!$C$5:$L$2060,9,FALSE),"")</f>
        <v>1569980</v>
      </c>
      <c r="I1058" s="51" t="str">
        <f>IF(C1058&lt;&gt;"",VLOOKUP($C1058,Carpetas!$C$5:$L$2060,5,FALSE),"")</f>
        <v>Andino</v>
      </c>
      <c r="J1058" s="51" t="str">
        <f>IF(D1058&lt;&gt;"",VLOOKUP($C1058,Carpetas!$C$5:$L$2060,3,FALSE),"")</f>
        <v>Nobora Trading Group</v>
      </c>
      <c r="K1058" s="50">
        <v>46307</v>
      </c>
      <c r="L1058" s="39" t="str">
        <f>VLOOKUP($C1058,Carpetas!$C$5:$L$2060,4,FALSE)</f>
        <v>Fray Bentos</v>
      </c>
      <c r="M1058" s="55">
        <f ref="M1058:M1062" t="shared" si="73">K1058+1</f>
        <v>46308</v>
      </c>
      <c r="N1058" s="53">
        <f ref="N1058:N1062" t="shared" si="74">IF(M1058&lt;&gt;"",M1058-E1058,"-")</f>
        <v>21</v>
      </c>
      <c r="O1058" s="51">
        <v>5400</v>
      </c>
      <c r="P1058" s="51">
        <v>5</v>
      </c>
      <c r="Q1058" s="51"/>
      <c r="R1058" s="51"/>
      <c r="S1058" s="51"/>
      <c r="T1058" s="65"/>
      <c r="U1058" s="65"/>
      <c r="V1058" s="65"/>
      <c r="W1058" s="51"/>
      <c r="X1058" s="66"/>
    </row>
    <row r="1059" ht="27.75" customHeight="1" s="32" customFormat="1">
      <c r="A1059" s="37"/>
      <c r="B1059" s="31" t="s">
        <v>2197</v>
      </c>
      <c r="C1059" s="59" t="s">
        <v>29</v>
      </c>
      <c r="D1059" s="121" t="s">
        <v>30</v>
      </c>
      <c r="E1059" s="57">
        <v>46304</v>
      </c>
      <c r="F1059" s="38" t="str">
        <f>IF(C1059&lt;&gt;"",VLOOKUP($C1059,Carpetas!$C$5:$L$2060,2,FALSE),"")</f>
        <v>xx</v>
      </c>
      <c r="G1059" s="38" t="s">
        <v>31</v>
      </c>
      <c r="H1059" s="44" t="str">
        <f>IF(C1059&lt;&gt;"",VLOOKUP($C1059,Carpetas!$C$5:$L$2060,9,FALSE),"")</f>
        <v>xx</v>
      </c>
      <c r="I1059" s="51" t="str">
        <f>IF(C1059&lt;&gt;"",VLOOKUP($C1059,Carpetas!$C$5:$L$2060,5,FALSE),"")</f>
        <v>xx</v>
      </c>
      <c r="J1059" s="51" t="str">
        <f>IF(D1059&lt;&gt;"",VLOOKUP($C1059,Carpetas!$C$5:$L$2060,3,FALSE),"")</f>
        <v>xx</v>
      </c>
      <c r="K1059" s="50">
        <v>46311</v>
      </c>
      <c r="L1059" s="39" t="str">
        <f>VLOOKUP($C1059,Carpetas!$C$5:$L$2060,4,FALSE)</f>
        <v>xx</v>
      </c>
      <c r="M1059" s="55">
        <f t="shared" si="73"/>
        <v>46312</v>
      </c>
      <c r="N1059" s="53">
        <f t="shared" si="74"/>
        <v>8</v>
      </c>
      <c r="O1059" s="51">
        <v>1050</v>
      </c>
      <c r="P1059" s="51">
        <v>5</v>
      </c>
      <c r="Q1059" s="51"/>
      <c r="R1059" s="51"/>
      <c r="S1059" s="51"/>
      <c r="T1059" s="65"/>
      <c r="U1059" s="65"/>
      <c r="V1059" s="65"/>
      <c r="W1059" s="51"/>
      <c r="X1059" s="66"/>
    </row>
    <row r="1060" ht="27.75" customHeight="1" s="32" customFormat="1">
      <c r="A1060" s="37"/>
      <c r="B1060" s="31" t="s">
        <v>2198</v>
      </c>
      <c r="C1060" s="59" t="s">
        <v>2199</v>
      </c>
      <c r="D1060" s="121" t="s">
        <v>48</v>
      </c>
      <c r="E1060" s="57">
        <v>46304</v>
      </c>
      <c r="F1060" s="38" t="str">
        <f>IF(C1060&lt;&gt;"",VLOOKUP($C1060,Carpetas!$C$5:$L$2060,2,FALSE),"")</f>
        <v>MXP007/26</v>
      </c>
      <c r="G1060" s="38" t="s">
        <v>78</v>
      </c>
      <c r="H1060" s="44">
        <f>IF(C1060&lt;&gt;"",VLOOKUP($C1060,Carpetas!$C$5:$L$2060,9,FALSE),"")</f>
        <v>0</v>
      </c>
      <c r="I1060" s="51" t="str">
        <f>IF(C1060&lt;&gt;"",VLOOKUP($C1060,Carpetas!$C$5:$L$2060,5,FALSE),"")</f>
        <v>Andino</v>
      </c>
      <c r="J1060" s="51" t="str">
        <f>IF(D1060&lt;&gt;"",VLOOKUP($C1060,Carpetas!$C$5:$L$2060,3,FALSE),"")</f>
        <v>Mission</v>
      </c>
      <c r="K1060" s="50">
        <v>46310</v>
      </c>
      <c r="L1060" s="39" t="str">
        <f>VLOOKUP($C1060,Carpetas!$C$5:$L$2060,4,FALSE)</f>
        <v>Fray Bentos</v>
      </c>
      <c r="M1060" s="55">
        <f t="shared" si="73"/>
        <v>46311</v>
      </c>
      <c r="N1060" s="53">
        <f t="shared" si="74"/>
        <v>7</v>
      </c>
      <c r="O1060" s="51">
        <v>1936</v>
      </c>
      <c r="P1060" s="51">
        <v>5</v>
      </c>
      <c r="Q1060" s="51"/>
      <c r="R1060" s="51"/>
      <c r="S1060" s="51"/>
      <c r="T1060" s="65"/>
      <c r="U1060" s="65"/>
      <c r="V1060" s="65"/>
      <c r="W1060" s="51"/>
      <c r="X1060" s="66"/>
    </row>
    <row r="1061" ht="27.75" customHeight="1" s="32" customFormat="1">
      <c r="A1061" s="37"/>
      <c r="B1061" s="31" t="s">
        <v>2198</v>
      </c>
      <c r="C1061" s="59" t="s">
        <v>2200</v>
      </c>
      <c r="D1061" s="121" t="s">
        <v>42</v>
      </c>
      <c r="E1061" s="57">
        <v>46304</v>
      </c>
      <c r="F1061" s="38" t="str">
        <f>IF(C1061&lt;&gt;"",VLOOKUP($C1061,Carpetas!$C$5:$L$2060,2,FALSE),"")</f>
        <v>ECA019/26</v>
      </c>
      <c r="G1061" s="38" t="s">
        <v>43</v>
      </c>
      <c r="H1061" s="44">
        <f>IF(C1061&lt;&gt;"",VLOOKUP($C1061,Carpetas!$C$5:$L$2060,9,FALSE),"")</f>
        <v>1569034</v>
      </c>
      <c r="I1061" s="51" t="str">
        <f>IF(C1061&lt;&gt;"",VLOOKUP($C1061,Carpetas!$C$5:$L$2060,5,FALSE),"")</f>
        <v>Andino</v>
      </c>
      <c r="J1061" s="51" t="str">
        <f>IF(D1061&lt;&gt;"",VLOOKUP($C1061,Carpetas!$C$5:$L$2060,3,FALSE),"")</f>
        <v>Agroeden</v>
      </c>
      <c r="K1061" s="50">
        <v>46311</v>
      </c>
      <c r="L1061" s="39" t="str">
        <f>VLOOKUP($C1061,Carpetas!$C$5:$L$2060,4,FALSE)</f>
        <v>Fray Bentos</v>
      </c>
      <c r="M1061" s="55">
        <f t="shared" si="73"/>
        <v>46312</v>
      </c>
      <c r="N1061" s="53">
        <f t="shared" si="74"/>
        <v>8</v>
      </c>
      <c r="O1061" s="51">
        <v>1680</v>
      </c>
      <c r="P1061" s="51">
        <v>5</v>
      </c>
      <c r="Q1061" s="51"/>
      <c r="R1061" s="51"/>
      <c r="S1061" s="51"/>
      <c r="T1061" s="65"/>
      <c r="U1061" s="65"/>
      <c r="V1061" s="65"/>
      <c r="W1061" s="51"/>
      <c r="X1061" s="66"/>
    </row>
    <row r="1062" ht="27.75" customHeight="1" s="32" customFormat="1">
      <c r="A1062" s="37"/>
      <c r="B1062" s="31" t="s">
        <v>2198</v>
      </c>
      <c r="C1062" s="59" t="s">
        <v>2201</v>
      </c>
      <c r="D1062" s="121" t="s">
        <v>30</v>
      </c>
      <c r="E1062" s="57">
        <v>46304</v>
      </c>
      <c r="F1062" s="38" t="str">
        <f>IF(C1062&lt;&gt;"",VLOOKUP($C1062,Carpetas!$C$5:$L$2060,2,FALSE),"")</f>
        <v>ECB034/26</v>
      </c>
      <c r="G1062" s="38" t="s">
        <v>43</v>
      </c>
      <c r="H1062" s="44">
        <f>IF(C1062&lt;&gt;"",VLOOKUP($C1062,Carpetas!$C$5:$L$2060,9,FALSE),"")</f>
        <v>1570754</v>
      </c>
      <c r="I1062" s="51" t="str">
        <f>IF(C1062&lt;&gt;"",VLOOKUP($C1062,Carpetas!$C$5:$L$2060,5,FALSE),"")</f>
        <v>Andino</v>
      </c>
      <c r="J1062" s="51" t="str">
        <f>IF(D1062&lt;&gt;"",VLOOKUP($C1062,Carpetas!$C$5:$L$2060,3,FALSE),"")</f>
        <v>Nobora Trading Group</v>
      </c>
      <c r="K1062" s="50">
        <v>46312</v>
      </c>
      <c r="L1062" s="39" t="str">
        <f>VLOOKUP($C1062,Carpetas!$C$5:$L$2060,4,FALSE)</f>
        <v>Fray Bentos</v>
      </c>
      <c r="M1062" s="55">
        <f t="shared" si="73"/>
        <v>46313</v>
      </c>
      <c r="N1062" s="53">
        <f t="shared" si="74"/>
        <v>9</v>
      </c>
      <c r="O1062" s="51">
        <v>5400</v>
      </c>
      <c r="P1062" s="51">
        <v>5</v>
      </c>
      <c r="Q1062" s="51"/>
      <c r="R1062" s="51"/>
      <c r="S1062" s="51"/>
      <c r="T1062" s="65"/>
      <c r="U1062" s="65"/>
      <c r="V1062" s="65"/>
      <c r="W1062" s="51"/>
      <c r="X1062" s="66"/>
    </row>
    <row r="1063" ht="27.75" customHeight="1" s="32" customFormat="1">
      <c r="A1063" s="37"/>
      <c r="B1063" s="31" t="s">
        <v>2198</v>
      </c>
      <c r="C1063" s="59" t="s">
        <v>2202</v>
      </c>
      <c r="D1063" s="121" t="s">
        <v>30</v>
      </c>
      <c r="E1063" s="57">
        <v>46304</v>
      </c>
      <c r="F1063" s="38" t="str">
        <f>IF(C1063&lt;&gt;"",VLOOKUP($C1063,Carpetas!$C$5:$L$2060,2,FALSE),"")</f>
        <v>ECI038/26</v>
      </c>
      <c r="G1063" s="38" t="s">
        <v>43</v>
      </c>
      <c r="H1063" s="44">
        <f>IF(C1063&lt;&gt;"",VLOOKUP($C1063,Carpetas!$C$5:$L$2060,9,FALSE),"")</f>
        <v>1571069</v>
      </c>
      <c r="I1063" s="51" t="str">
        <f>IF(C1063&lt;&gt;"",VLOOKUP($C1063,Carpetas!$C$5:$L$2060,5,FALSE),"")</f>
        <v>Andino</v>
      </c>
      <c r="J1063" s="51" t="str">
        <f>IF(D1063&lt;&gt;"",VLOOKUP($C1063,Carpetas!$C$5:$L$2060,3,FALSE),"")</f>
        <v>Interbanana</v>
      </c>
      <c r="K1063" s="50">
        <v>46312</v>
      </c>
      <c r="L1063" s="39" t="str">
        <f>VLOOKUP($C1063,Carpetas!$C$5:$L$2060,4,FALSE)</f>
        <v>Fray Bentos</v>
      </c>
      <c r="M1063" s="55">
        <f t="shared" si="69"/>
        <v>46313</v>
      </c>
      <c r="N1063" s="53">
        <f t="shared" si="67"/>
        <v>9</v>
      </c>
      <c r="O1063" s="51">
        <v>2160</v>
      </c>
      <c r="P1063" s="51">
        <v>5</v>
      </c>
      <c r="Q1063" s="51"/>
      <c r="R1063" s="51"/>
      <c r="S1063" s="51"/>
      <c r="T1063" s="65"/>
      <c r="U1063" s="65"/>
      <c r="V1063" s="65"/>
      <c r="W1063" s="51"/>
      <c r="X1063" s="66"/>
    </row>
    <row r="1064" hidden="1">
      <c r="A1064" s="0" t="s">
        <v>2203</v>
      </c>
      <c r="D1064" s="115"/>
      <c r="E1064" s="115"/>
    </row>
    <row r="1065" hidden="1" ht="18.75" customHeight="1">
      <c r="A1065" s="70" t="s">
        <v>2204</v>
      </c>
      <c r="B1065" s="69"/>
      <c r="C1065" s="29"/>
      <c r="D1065" s="115"/>
      <c r="E1065" s="115"/>
      <c r="F1065" s="29"/>
      <c r="K1065" s="42"/>
      <c r="M1065" s="42"/>
      <c r="N1065" s="42"/>
      <c r="T1065" s="43"/>
    </row>
    <row r="1066" hidden="1">
      <c r="F1066" s="29"/>
      <c r="W1066" s="0" t="s">
        <v>0</v>
      </c>
    </row>
    <row r="1067" hidden="1">
      <c r="E1067" s="115"/>
      <c r="T1067" s="20" t="s">
        <v>1571</v>
      </c>
    </row>
    <row r="1068" hidden="1">
      <c r="L1068" s="35" t="s">
        <v>1571</v>
      </c>
      <c r="T1068" s="20" t="s">
        <v>1571</v>
      </c>
    </row>
    <row r="1069" ht="3.75" customHeight="1"/>
    <row r="1070" ht="3.75" customHeight="1">
      <c r="V1070" s="0">
        <v>5</v>
      </c>
    </row>
    <row r="1071" ht="27.75" customHeight="1" s="32" customFormat="1"/>
    <row r="1072">
      <c r="L1072" s="35" t="s">
        <v>0</v>
      </c>
      <c r="M1072" s="68" t="s">
        <v>0</v>
      </c>
      <c r="N1072" s="0" t="s">
        <v>0</v>
      </c>
      <c r="O1072" s="0" t="s">
        <v>1571</v>
      </c>
    </row>
    <row r="1074">
      <c r="H1074" s="0" t="s">
        <v>0</v>
      </c>
    </row>
    <row r="1075">
      <c r="H1075" s="0" t="s">
        <v>2205</v>
      </c>
    </row>
    <row r="1076">
      <c r="C1076" s="0" t="s">
        <v>0</v>
      </c>
    </row>
    <row r="1078">
      <c r="M1078" s="67" t="s">
        <v>2206</v>
      </c>
    </row>
    <row r="1079" ht="15" customHeight="1">
      <c r="M1079" s="67" t="s">
        <v>1571</v>
      </c>
    </row>
    <row r="1341">
      <c r="B1341" s="0" t="s">
        <v>2207</v>
      </c>
    </row>
  </sheetData>
  <autoFilter ref="A5:Y1068" xr:uid="{00000000-0001-0000-0000-000000000000}">
    <filterColumn colId="1">
      <filters>
        <filter val="Cargado"/>
      </filters>
    </filterColumn>
    <filterColumn colId="12">
      <customFilters>
        <customFilter operator="notEqual" val=" "/>
      </customFilters>
    </filterColumn>
    <sortState xmlns:xlrd2="http://schemas.microsoft.com/office/spreadsheetml/2017/richdata2" ref="A6:Y1068">
      <sortCondition ref="M5:M1068"/>
    </sortState>
  </autoFilter>
  <customSheetViews>
    <customSheetView guid="{D9891DF2-FCF4-466B-B104-7EC1DBE259D9}" showGridLines="0" fitToPage="1" showAutoFilter="1">
      <pane xSplit="10" ySplit="4" topLeftCell="K5" activePane="bottomRight" state="frozen"/>
      <selection pane="bottomRight" activeCell="F19" sqref="F19"/>
      <pageMargins left="0" right="0" top="0" bottom="0" header="0" footer="0"/>
      <pageSetup paperSize="9" scale="21" orientation="portrait" horizontalDpi="300" verticalDpi="300"/>
      <autoFilter ref="B4:T33" xr:uid="{B11B25FD-34B5-4AC5-A04D-E08F48A6DC5E}">
        <sortState xmlns:xlrd2="http://schemas.microsoft.com/office/spreadsheetml/2017/richdata2" ref="B5:T33">
          <sortCondition ref="M4:M33"/>
        </sortState>
      </autoFilter>
    </customSheetView>
    <customSheetView guid="{C4662390-F79F-40B4-A67B-9DE0AA9A646E}" showGridLines="0" fitToPage="1" showAutoFilter="1">
      <pane xSplit="10" ySplit="4" topLeftCell="K5" activePane="bottomRight" state="frozen"/>
      <selection pane="bottomRight" activeCell="F19" sqref="F19"/>
      <pageMargins left="0" right="0" top="0" bottom="0" header="0" footer="0"/>
      <pageSetup paperSize="9" scale="21" orientation="portrait" horizontalDpi="300" verticalDpi="300" r:id="rId2"/>
      <autoFilter ref="B4:T33" xr:uid="{EB0D81A2-6163-4DAC-986F-3FB91CACDBA5}">
        <sortState xmlns:xlrd2="http://schemas.microsoft.com/office/spreadsheetml/2017/richdata2" ref="B5:T33">
          <sortCondition ref="M4:M33"/>
        </sortState>
      </autoFilter>
    </customSheetView>
  </customSheetViews>
  <mergeCells>
    <mergeCell ref="O4:S4"/>
  </mergeCells>
  <conditionalFormatting sqref="A197">
    <cfRule type="expression" dxfId="148" priority="35708">
      <formula>$B197="TCP"</formula>
    </cfRule>
    <cfRule type="expression" dxfId="147" priority="35709">
      <formula>$B197="Inesar"</formula>
    </cfRule>
    <cfRule type="expression" dxfId="146" priority="35710">
      <formula>$B197="U-Log"</formula>
    </cfRule>
    <cfRule type="expression" dxfId="145" priority="35711">
      <formula>$B197="Liberado"</formula>
    </cfRule>
    <cfRule type="expression" dxfId="143" priority="35712">
      <formula>$B197="Chile"</formula>
    </cfRule>
    <cfRule type="expression" dxfId="143" priority="35713">
      <formula>$B197="Mar"</formula>
    </cfRule>
    <cfRule type="expression" dxfId="138" priority="35714">
      <formula>$B197="Tierra"</formula>
    </cfRule>
    <cfRule type="expression" dxfId="139" priority="35715">
      <formula>$B197="Puerto"</formula>
    </cfRule>
    <cfRule type="expression" dxfId="70" priority="35716">
      <formula>$B197="Descargado"</formula>
    </cfRule>
    <cfRule type="expression" dxfId="139" priority="35717">
      <formula>$B197="Frontera"</formula>
    </cfRule>
    <cfRule type="expression" dxfId="138" priority="35718">
      <formula>$B197="Cargado"</formula>
    </cfRule>
    <cfRule type="expression" dxfId="72" priority="35719">
      <formula>$B197="Cancelado"</formula>
    </cfRule>
    <cfRule type="expression" dxfId="0" priority="35720">
      <formula>$B197="Confirmado"</formula>
    </cfRule>
    <cfRule type="expression" dxfId="135" priority="35721">
      <formula>$B197="Solicitado"</formula>
    </cfRule>
    <cfRule type="expression" dxfId="134" priority="35722">
      <formula>$B197="Arribado"</formula>
    </cfRule>
  </conditionalFormatting>
  <conditionalFormatting sqref="A199:A200">
    <cfRule type="expression" dxfId="148" priority="334">
      <formula>$B199="TCP"</formula>
    </cfRule>
    <cfRule type="expression" dxfId="147" priority="335">
      <formula>$B199="Inesar"</formula>
    </cfRule>
    <cfRule type="expression" dxfId="146" priority="336">
      <formula>$B199="U-Log"</formula>
    </cfRule>
    <cfRule type="expression" dxfId="145" priority="337">
      <formula>$B199="Liberado"</formula>
    </cfRule>
    <cfRule type="expression" dxfId="143" priority="338">
      <formula>$B199="Chile"</formula>
    </cfRule>
    <cfRule type="expression" dxfId="143" priority="339">
      <formula>$B199="Mar"</formula>
    </cfRule>
    <cfRule type="expression" dxfId="138" priority="340">
      <formula>$B199="Tierra"</formula>
    </cfRule>
    <cfRule type="expression" dxfId="139" priority="341">
      <formula>$B199="Puerto"</formula>
    </cfRule>
    <cfRule type="expression" dxfId="70" priority="342">
      <formula>$B199="Descargado"</formula>
    </cfRule>
    <cfRule type="expression" dxfId="139" priority="343">
      <formula>$B199="Frontera"</formula>
    </cfRule>
    <cfRule type="expression" dxfId="138" priority="344">
      <formula>$B199="Cargado"</formula>
    </cfRule>
    <cfRule type="expression" dxfId="72" priority="345">
      <formula>$B199="Cancelado"</formula>
    </cfRule>
    <cfRule type="expression" dxfId="0" priority="346">
      <formula>$B199="Confirmado"</formula>
    </cfRule>
    <cfRule type="expression" dxfId="135" priority="347">
      <formula>$B199="Solicitado"</formula>
    </cfRule>
    <cfRule type="expression" dxfId="134" priority="348">
      <formula>$B199="Arribado"</formula>
    </cfRule>
  </conditionalFormatting>
  <conditionalFormatting sqref="A199:A207">
    <cfRule type="expression" dxfId="148" priority="394">
      <formula>$B199="TCP"</formula>
    </cfRule>
    <cfRule type="expression" dxfId="147" priority="395">
      <formula>$B199="Inesar"</formula>
    </cfRule>
    <cfRule type="expression" dxfId="146" priority="396">
      <formula>$B199="U-Log"</formula>
    </cfRule>
    <cfRule type="expression" dxfId="145" priority="397">
      <formula>$B199="Liberado"</formula>
    </cfRule>
    <cfRule type="expression" dxfId="143" priority="398">
      <formula>$B199="Chile"</formula>
    </cfRule>
    <cfRule type="expression" dxfId="143" priority="399">
      <formula>$B199="Mar"</formula>
    </cfRule>
    <cfRule type="expression" dxfId="138" priority="400">
      <formula>$B199="Tierra"</formula>
    </cfRule>
    <cfRule type="expression" dxfId="139" priority="401">
      <formula>$B199="Puerto"</formula>
    </cfRule>
    <cfRule type="expression" dxfId="70" priority="402">
      <formula>$B199="Descargado"</formula>
    </cfRule>
    <cfRule type="expression" dxfId="139" priority="403">
      <formula>$B199="Frontera"</formula>
    </cfRule>
    <cfRule type="expression" dxfId="138" priority="404">
      <formula>$B199="Cargado"</formula>
    </cfRule>
    <cfRule type="expression" dxfId="72" priority="405">
      <formula>$B199="Cancelado"</formula>
    </cfRule>
    <cfRule type="expression" dxfId="0" priority="406">
      <formula>$B199="Confirmado"</formula>
    </cfRule>
    <cfRule type="expression" dxfId="135" priority="407">
      <formula>$B199="Solicitado"</formula>
    </cfRule>
    <cfRule type="expression" dxfId="134" priority="408">
      <formula>$B199="Arribado"</formula>
    </cfRule>
  </conditionalFormatting>
  <conditionalFormatting sqref="A197:F197">
    <cfRule type="expression" dxfId="148" priority="35513">
      <formula>$B197="TCP"</formula>
    </cfRule>
    <cfRule type="expression" dxfId="147" priority="35514">
      <formula>$B197="Inesar"</formula>
    </cfRule>
    <cfRule type="expression" dxfId="146" priority="35515">
      <formula>$B197="U-Log"</formula>
    </cfRule>
    <cfRule type="expression" dxfId="145" priority="35516">
      <formula>$B197="Liberado"</formula>
    </cfRule>
    <cfRule type="expression" dxfId="143" priority="35517">
      <formula>$B197="Chile"</formula>
    </cfRule>
    <cfRule type="expression" dxfId="143" priority="35518">
      <formula>$B197="Mar"</formula>
    </cfRule>
    <cfRule type="expression" dxfId="138" priority="35519">
      <formula>$B197="Tierra"</formula>
    </cfRule>
    <cfRule type="expression" dxfId="139" priority="35520">
      <formula>$B197="Puerto"</formula>
    </cfRule>
    <cfRule type="expression" dxfId="70" priority="35521">
      <formula>$B197="Descargado"</formula>
    </cfRule>
    <cfRule type="expression" dxfId="139" priority="35522">
      <formula>$B197="Frontera"</formula>
    </cfRule>
    <cfRule type="expression" dxfId="138" priority="35523">
      <formula>$B197="Cargado"</formula>
    </cfRule>
    <cfRule type="expression" dxfId="72" priority="35524">
      <formula>$B197="Cancelado"</formula>
    </cfRule>
    <cfRule type="expression" dxfId="0" priority="35525">
      <formula>$B197="Confirmado"</formula>
    </cfRule>
    <cfRule type="expression" dxfId="135" priority="35526">
      <formula>$B197="Solicitado"</formula>
    </cfRule>
    <cfRule type="expression" dxfId="134" priority="35527">
      <formula>$B197="Arribado"</formula>
    </cfRule>
  </conditionalFormatting>
  <conditionalFormatting sqref="A6:X185">
    <cfRule type="expression" dxfId="148" priority="456">
      <formula>$B6="TCP"</formula>
    </cfRule>
    <cfRule type="expression" dxfId="147" priority="457">
      <formula>$B6="Inesar"</formula>
    </cfRule>
    <cfRule type="expression" dxfId="146" priority="458">
      <formula>$B6="U-Log"</formula>
    </cfRule>
    <cfRule type="expression" dxfId="145" priority="459">
      <formula>$B6="Liberado"</formula>
    </cfRule>
    <cfRule type="expression" dxfId="143" priority="460">
      <formula>$B6="Chile"</formula>
    </cfRule>
    <cfRule type="expression" dxfId="143" priority="461">
      <formula>$B6="Mar"</formula>
    </cfRule>
    <cfRule type="expression" dxfId="138" priority="462">
      <formula>$B6="Tierra"</formula>
    </cfRule>
    <cfRule type="expression" dxfId="139" priority="463">
      <formula>$B6="Puerto"</formula>
    </cfRule>
    <cfRule type="expression" dxfId="70" priority="464">
      <formula>$B6="Descargado"</formula>
    </cfRule>
    <cfRule type="expression" dxfId="139" priority="465">
      <formula>$B6="Frontera"</formula>
    </cfRule>
    <cfRule type="expression" dxfId="138" priority="466">
      <formula>$B6="Cargado"</formula>
    </cfRule>
    <cfRule type="expression" dxfId="72" priority="467">
      <formula>$B6="Cancelado"</formula>
    </cfRule>
    <cfRule type="expression" dxfId="0" priority="468">
      <formula>$B6="Confirmado"</formula>
    </cfRule>
    <cfRule type="expression" dxfId="135" priority="469">
      <formula>$B6="Solicitado"</formula>
    </cfRule>
    <cfRule type="expression" dxfId="134" priority="470">
      <formula>$B6="Arribado"</formula>
    </cfRule>
  </conditionalFormatting>
  <conditionalFormatting sqref="A208:X606">
    <cfRule type="expression" dxfId="148" priority="18">
      <formula>$B208="TCP"</formula>
    </cfRule>
    <cfRule type="expression" dxfId="147" priority="19">
      <formula>$B208="Inesar"</formula>
    </cfRule>
    <cfRule type="expression" dxfId="146" priority="20">
      <formula>$B208="U-Log"</formula>
    </cfRule>
    <cfRule type="expression" dxfId="145" priority="21">
      <formula>$B208="Liberado"</formula>
    </cfRule>
    <cfRule type="expression" dxfId="143" priority="22">
      <formula>$B208="Chile"</formula>
    </cfRule>
    <cfRule type="expression" dxfId="143" priority="23">
      <formula>$B208="Mar"</formula>
    </cfRule>
    <cfRule type="expression" dxfId="138" priority="24">
      <formula>$B208="Tierra"</formula>
    </cfRule>
    <cfRule type="expression" dxfId="139" priority="25">
      <formula>$B208="Puerto"</formula>
    </cfRule>
    <cfRule type="expression" dxfId="70" priority="26">
      <formula>$B208="Descargado"</formula>
    </cfRule>
    <cfRule type="expression" dxfId="139" priority="27">
      <formula>$B208="Frontera"</formula>
    </cfRule>
    <cfRule type="expression" dxfId="138" priority="28">
      <formula>$B208="Cargado"</formula>
    </cfRule>
    <cfRule type="expression" dxfId="72" priority="29">
      <formula>$B208="Cancelado"</formula>
    </cfRule>
    <cfRule type="expression" dxfId="0" priority="30">
      <formula>$B208="Confirmado"</formula>
    </cfRule>
    <cfRule type="expression" dxfId="135" priority="31">
      <formula>$B208="Solicitado"</formula>
    </cfRule>
    <cfRule type="expression" dxfId="134" priority="32">
      <formula>$B208="Arribado"</formula>
    </cfRule>
  </conditionalFormatting>
  <conditionalFormatting sqref="A608:X1063">
    <cfRule type="expression" dxfId="148" priority="1">
      <formula>$B608="TCP"</formula>
    </cfRule>
    <cfRule type="expression" dxfId="147" priority="2">
      <formula>$B608="Inesar"</formula>
    </cfRule>
    <cfRule type="expression" dxfId="146" priority="3">
      <formula>$B608="U-Log"</formula>
    </cfRule>
    <cfRule type="expression" dxfId="145" priority="4">
      <formula>$B608="Liberado"</formula>
    </cfRule>
    <cfRule type="expression" dxfId="143" priority="5">
      <formula>$B608="Chile"</formula>
    </cfRule>
    <cfRule type="expression" dxfId="143" priority="6">
      <formula>$B608="Mar"</formula>
    </cfRule>
    <cfRule type="expression" dxfId="138" priority="7">
      <formula>$B608="Tierra"</formula>
    </cfRule>
    <cfRule type="expression" dxfId="139" priority="8">
      <formula>$B608="Puerto"</formula>
    </cfRule>
    <cfRule type="expression" dxfId="70" priority="9">
      <formula>$B608="Descargado"</formula>
    </cfRule>
    <cfRule type="expression" dxfId="139" priority="10">
      <formula>$B608="Frontera"</formula>
    </cfRule>
    <cfRule type="expression" dxfId="138" priority="11">
      <formula>$B608="Cargado"</formula>
    </cfRule>
    <cfRule type="expression" dxfId="72" priority="12">
      <formula>$B608="Cancelado"</formula>
    </cfRule>
    <cfRule type="expression" dxfId="0" priority="13">
      <formula>$B608="Confirmado"</formula>
    </cfRule>
    <cfRule type="expression" dxfId="135" priority="14">
      <formula>$B608="Solicitado"</formula>
    </cfRule>
    <cfRule type="expression" dxfId="134" priority="15">
      <formula>$B608="Arribado"</formula>
    </cfRule>
  </conditionalFormatting>
  <conditionalFormatting sqref="B186:B196">
    <cfRule type="expression" dxfId="148" priority="35303">
      <formula>$B186="TCP"</formula>
    </cfRule>
    <cfRule type="expression" dxfId="147" priority="35304">
      <formula>$B186="Inesar"</formula>
    </cfRule>
    <cfRule type="expression" dxfId="146" priority="35305">
      <formula>$B186="U-Log"</formula>
    </cfRule>
    <cfRule type="expression" dxfId="145" priority="35306">
      <formula>$B186="Liberado"</formula>
    </cfRule>
    <cfRule type="expression" dxfId="143" priority="35307">
      <formula>$B186="Chile"</formula>
    </cfRule>
    <cfRule type="expression" dxfId="143" priority="35308">
      <formula>$B186="Mar"</formula>
    </cfRule>
    <cfRule type="expression" dxfId="138" priority="35309">
      <formula>$B186="Tierra"</formula>
    </cfRule>
    <cfRule type="expression" dxfId="139" priority="35310">
      <formula>$B186="Puerto"</formula>
    </cfRule>
    <cfRule type="expression" dxfId="70" priority="35311">
      <formula>$B186="Descargado"</formula>
    </cfRule>
    <cfRule type="expression" dxfId="139" priority="35312">
      <formula>$B186="Frontera"</formula>
    </cfRule>
    <cfRule type="expression" dxfId="138" priority="35313">
      <formula>$B186="Cargado"</formula>
    </cfRule>
    <cfRule type="expression" dxfId="72" priority="35314">
      <formula>$B186="Cancelado"</formula>
    </cfRule>
    <cfRule type="expression" dxfId="0" priority="35315">
      <formula>$B186="Confirmado"</formula>
    </cfRule>
    <cfRule type="expression" dxfId="135" priority="35316">
      <formula>$B186="Solicitado"</formula>
    </cfRule>
    <cfRule type="expression" dxfId="134" priority="35317">
      <formula>$B186="Arribado"</formula>
    </cfRule>
  </conditionalFormatting>
  <conditionalFormatting sqref="B197:B207">
    <cfRule type="expression" dxfId="148" priority="45714">
      <formula>$B197="TCP"</formula>
    </cfRule>
    <cfRule type="expression" dxfId="147" priority="45715">
      <formula>$B197="Inesar"</formula>
    </cfRule>
    <cfRule type="expression" dxfId="146" priority="45716">
      <formula>$B197="U-Log"</formula>
    </cfRule>
    <cfRule type="expression" dxfId="145" priority="45717">
      <formula>$B197="Liberado"</formula>
    </cfRule>
    <cfRule type="expression" dxfId="143" priority="45718">
      <formula>$B197="Chile"</formula>
    </cfRule>
    <cfRule type="expression" dxfId="143" priority="45719">
      <formula>$B197="Mar"</formula>
    </cfRule>
    <cfRule type="expression" dxfId="138" priority="45720">
      <formula>$B197="Tierra"</formula>
    </cfRule>
    <cfRule type="expression" dxfId="139" priority="45721">
      <formula>$B197="Puerto"</formula>
    </cfRule>
    <cfRule type="expression" dxfId="70" priority="45722">
      <formula>$B197="Descargado"</formula>
    </cfRule>
    <cfRule type="expression" dxfId="139" priority="45723">
      <formula>$B197="Frontera"</formula>
    </cfRule>
    <cfRule type="expression" dxfId="138" priority="45724">
      <formula>$B197="Cargado"</formula>
    </cfRule>
    <cfRule type="expression" dxfId="72" priority="45725">
      <formula>$B197="Cancelado"</formula>
    </cfRule>
    <cfRule type="expression" dxfId="0" priority="45726">
      <formula>$B197="Confirmado"</formula>
    </cfRule>
    <cfRule type="expression" dxfId="135" priority="45727">
      <formula>$B197="Solicitado"</formula>
    </cfRule>
    <cfRule type="expression" dxfId="134" priority="45728">
      <formula>$B197="Arribado"</formula>
    </cfRule>
  </conditionalFormatting>
  <conditionalFormatting sqref="C5 A186:A198 M195:X195 D195:D198 H195:J198 L195:L200 G197 T197:W197 C201:X207 A607:W607">
    <cfRule type="expression" dxfId="147" priority="378733">
      <formula>$B5="Inesar"</formula>
    </cfRule>
    <cfRule type="expression" dxfId="146" priority="378734">
      <formula>$B5="U-Log"</formula>
    </cfRule>
    <cfRule type="expression" dxfId="145" priority="378761">
      <formula>$B5="Liberado"</formula>
    </cfRule>
    <cfRule type="expression" dxfId="143" priority="378762">
      <formula>$B5="Chile"</formula>
    </cfRule>
    <cfRule type="expression" dxfId="143" priority="378763">
      <formula>$B5="Mar"</formula>
    </cfRule>
    <cfRule type="expression" dxfId="138" priority="378764">
      <formula>$B5="Tierra"</formula>
    </cfRule>
    <cfRule type="expression" dxfId="139" priority="378765">
      <formula>$B5="Puerto"</formula>
    </cfRule>
    <cfRule type="expression" dxfId="70" priority="379773">
      <formula>$B5="Descargado"</formula>
    </cfRule>
    <cfRule type="expression" dxfId="139" priority="379774">
      <formula>$B5="Frontera"</formula>
    </cfRule>
    <cfRule type="expression" dxfId="138" priority="379775">
      <formula>$B5="Cargado"</formula>
    </cfRule>
    <cfRule type="expression" dxfId="72" priority="379776">
      <formula>$B5="Cancelado"</formula>
    </cfRule>
    <cfRule type="expression" dxfId="0" priority="379777">
      <formula>$B5="Confirmado"</formula>
    </cfRule>
    <cfRule type="expression" dxfId="135" priority="379778">
      <formula>$B5="Solicitado"</formula>
    </cfRule>
    <cfRule type="expression" dxfId="134" priority="379779">
      <formula>$B5="Arribado"</formula>
    </cfRule>
  </conditionalFormatting>
  <conditionalFormatting sqref="C195:C197">
    <cfRule type="expression" dxfId="148" priority="35228">
      <formula>$B195="TCP"</formula>
    </cfRule>
    <cfRule type="expression" dxfId="147" priority="35229">
      <formula>$B195="Inesar"</formula>
    </cfRule>
    <cfRule type="expression" dxfId="146" priority="35230">
      <formula>$B195="U-Log"</formula>
    </cfRule>
    <cfRule type="expression" dxfId="145" priority="35231">
      <formula>$B195="Liberado"</formula>
    </cfRule>
    <cfRule type="expression" dxfId="143" priority="35232">
      <formula>$B195="Chile"</formula>
    </cfRule>
    <cfRule type="expression" dxfId="143" priority="35233">
      <formula>$B195="Mar"</formula>
    </cfRule>
    <cfRule type="expression" dxfId="138" priority="35234">
      <formula>$B195="Tierra"</formula>
    </cfRule>
    <cfRule type="expression" dxfId="139" priority="35235">
      <formula>$B195="Puerto"</formula>
    </cfRule>
    <cfRule type="expression" dxfId="70" priority="35236">
      <formula>$B195="Descargado"</formula>
    </cfRule>
    <cfRule type="expression" dxfId="139" priority="35237">
      <formula>$B195="Frontera"</formula>
    </cfRule>
    <cfRule type="expression" dxfId="138" priority="35238">
      <formula>$B195="Cargado"</formula>
    </cfRule>
    <cfRule type="expression" dxfId="72" priority="35239">
      <formula>$B195="Cancelado"</formula>
    </cfRule>
    <cfRule type="expression" dxfId="0" priority="35240">
      <formula>$B195="Confirmado"</formula>
    </cfRule>
    <cfRule type="expression" dxfId="135" priority="35241">
      <formula>$B195="Solicitado"</formula>
    </cfRule>
    <cfRule type="expression" dxfId="134" priority="35242">
      <formula>$B195="Arribado"</formula>
    </cfRule>
  </conditionalFormatting>
  <conditionalFormatting sqref="C196">
    <cfRule type="expression" dxfId="148" priority="35213">
      <formula>$B196="TCP"</formula>
    </cfRule>
    <cfRule type="expression" dxfId="147" priority="35214">
      <formula>$B196="Inesar"</formula>
    </cfRule>
    <cfRule type="expression" dxfId="146" priority="35215">
      <formula>$B196="U-Log"</formula>
    </cfRule>
    <cfRule type="expression" dxfId="145" priority="35216">
      <formula>$B196="Liberado"</formula>
    </cfRule>
    <cfRule type="expression" dxfId="143" priority="35217">
      <formula>$B196="Chile"</formula>
    </cfRule>
    <cfRule type="expression" dxfId="143" priority="35218">
      <formula>$B196="Mar"</formula>
    </cfRule>
    <cfRule type="expression" dxfId="138" priority="35219">
      <formula>$B196="Tierra"</formula>
    </cfRule>
    <cfRule type="expression" dxfId="139" priority="35220">
      <formula>$B196="Puerto"</formula>
    </cfRule>
    <cfRule type="expression" dxfId="70" priority="35221">
      <formula>$B196="Descargado"</formula>
    </cfRule>
    <cfRule type="expression" dxfId="139" priority="35222">
      <formula>$B196="Frontera"</formula>
    </cfRule>
    <cfRule type="expression" dxfId="138" priority="35223">
      <formula>$B196="Cargado"</formula>
    </cfRule>
    <cfRule type="expression" dxfId="72" priority="35224">
      <formula>$B196="Cancelado"</formula>
    </cfRule>
    <cfRule type="expression" dxfId="0" priority="35225">
      <formula>$B196="Confirmado"</formula>
    </cfRule>
    <cfRule type="expression" dxfId="135" priority="35226">
      <formula>$B196="Solicitado"</formula>
    </cfRule>
    <cfRule type="expression" dxfId="134" priority="35227">
      <formula>$B196="Arribado"</formula>
    </cfRule>
  </conditionalFormatting>
  <conditionalFormatting sqref="C197:C198">
    <cfRule type="expression" dxfId="148" priority="45609">
      <formula>$B197="TCP"</formula>
    </cfRule>
    <cfRule type="expression" dxfId="147" priority="45610">
      <formula>$B197="Inesar"</formula>
    </cfRule>
    <cfRule type="expression" dxfId="146" priority="45611">
      <formula>$B197="U-Log"</formula>
    </cfRule>
    <cfRule type="expression" dxfId="145" priority="45612">
      <formula>$B197="Liberado"</formula>
    </cfRule>
    <cfRule type="expression" dxfId="143" priority="45613">
      <formula>$B197="Chile"</formula>
    </cfRule>
    <cfRule type="expression" dxfId="143" priority="45614">
      <formula>$B197="Mar"</formula>
    </cfRule>
    <cfRule type="expression" dxfId="138" priority="45615">
      <formula>$B197="Tierra"</formula>
    </cfRule>
    <cfRule type="expression" dxfId="139" priority="45616">
      <formula>$B197="Puerto"</formula>
    </cfRule>
    <cfRule type="expression" dxfId="70" priority="45617">
      <formula>$B197="Descargado"</formula>
    </cfRule>
    <cfRule type="expression" dxfId="139" priority="45618">
      <formula>$B197="Frontera"</formula>
    </cfRule>
    <cfRule type="expression" dxfId="138" priority="45619">
      <formula>$B197="Cargado"</formula>
    </cfRule>
    <cfRule type="expression" dxfId="72" priority="45620">
      <formula>$B197="Cancelado"</formula>
    </cfRule>
    <cfRule type="expression" dxfId="0" priority="45621">
      <formula>$B197="Confirmado"</formula>
    </cfRule>
    <cfRule type="expression" dxfId="135" priority="45622">
      <formula>$B197="Solicitado"</formula>
    </cfRule>
    <cfRule type="expression" dxfId="134" priority="45623">
      <formula>$B197="Arribado"</formula>
    </cfRule>
    <cfRule type="expression" dxfId="148" priority="45624">
      <formula>$B197="TCP"</formula>
    </cfRule>
    <cfRule type="expression" dxfId="147" priority="45625">
      <formula>$B197="Inesar"</formula>
    </cfRule>
    <cfRule type="expression" dxfId="146" priority="45626">
      <formula>$B197="U-Log"</formula>
    </cfRule>
    <cfRule type="expression" dxfId="145" priority="45627">
      <formula>$B197="Liberado"</formula>
    </cfRule>
    <cfRule type="expression" dxfId="143" priority="45628">
      <formula>$B197="Chile"</formula>
    </cfRule>
    <cfRule type="expression" dxfId="143" priority="45629">
      <formula>$B197="Mar"</formula>
    </cfRule>
    <cfRule type="expression" dxfId="138" priority="45630">
      <formula>$B197="Tierra"</formula>
    </cfRule>
    <cfRule type="expression" dxfId="139" priority="45631">
      <formula>$B197="Puerto"</formula>
    </cfRule>
    <cfRule type="expression" dxfId="70" priority="45632">
      <formula>$B197="Descargado"</formula>
    </cfRule>
    <cfRule type="expression" dxfId="139" priority="45633">
      <formula>$B197="Frontera"</formula>
    </cfRule>
    <cfRule type="expression" dxfId="138" priority="45634">
      <formula>$B197="Cargado"</formula>
    </cfRule>
    <cfRule type="expression" dxfId="72" priority="45635">
      <formula>$B197="Cancelado"</formula>
    </cfRule>
    <cfRule type="expression" dxfId="0" priority="45636">
      <formula>$B197="Confirmado"</formula>
    </cfRule>
    <cfRule type="expression" dxfId="135" priority="45637">
      <formula>$B197="Solicitado"</formula>
    </cfRule>
    <cfRule type="expression" dxfId="134" priority="45638">
      <formula>$B197="Arribado"</formula>
    </cfRule>
  </conditionalFormatting>
  <conditionalFormatting sqref="C199:C200">
    <cfRule type="expression" dxfId="148" priority="184">
      <formula>$B199="TCP"</formula>
    </cfRule>
    <cfRule type="expression" dxfId="147" priority="185">
      <formula>$B199="Inesar"</formula>
    </cfRule>
    <cfRule type="expression" dxfId="146" priority="186">
      <formula>$B199="U-Log"</formula>
    </cfRule>
    <cfRule type="expression" dxfId="145" priority="187">
      <formula>$B199="Liberado"</formula>
    </cfRule>
    <cfRule type="expression" dxfId="143" priority="188">
      <formula>$B199="Chile"</formula>
    </cfRule>
    <cfRule type="expression" dxfId="143" priority="189">
      <formula>$B199="Mar"</formula>
    </cfRule>
    <cfRule type="expression" dxfId="138" priority="190">
      <formula>$B199="Tierra"</formula>
    </cfRule>
    <cfRule type="expression" dxfId="139" priority="191">
      <formula>$B199="Puerto"</formula>
    </cfRule>
    <cfRule type="expression" dxfId="70" priority="192">
      <formula>$B199="Descargado"</formula>
    </cfRule>
    <cfRule type="expression" dxfId="139" priority="193">
      <formula>$B199="Frontera"</formula>
    </cfRule>
    <cfRule type="expression" dxfId="138" priority="194">
      <formula>$B199="Cargado"</formula>
    </cfRule>
    <cfRule type="expression" dxfId="72" priority="195">
      <formula>$B199="Cancelado"</formula>
    </cfRule>
    <cfRule type="expression" dxfId="0" priority="196">
      <formula>$B199="Confirmado"</formula>
    </cfRule>
    <cfRule type="expression" dxfId="135" priority="197">
      <formula>$B199="Solicitado"</formula>
    </cfRule>
    <cfRule type="expression" dxfId="134" priority="198">
      <formula>$B199="Arribado"</formula>
    </cfRule>
  </conditionalFormatting>
  <conditionalFormatting sqref="C199:D200">
    <cfRule type="expression" dxfId="148" priority="199">
      <formula>$B199="TCP"</formula>
    </cfRule>
    <cfRule type="expression" dxfId="147" priority="200">
      <formula>$B199="Inesar"</formula>
    </cfRule>
    <cfRule type="expression" dxfId="146" priority="201">
      <formula>$B199="U-Log"</formula>
    </cfRule>
    <cfRule type="expression" dxfId="145" priority="202">
      <formula>$B199="Liberado"</formula>
    </cfRule>
    <cfRule type="expression" dxfId="143" priority="203">
      <formula>$B199="Chile"</formula>
    </cfRule>
    <cfRule type="expression" dxfId="143" priority="204">
      <formula>$B199="Mar"</formula>
    </cfRule>
    <cfRule type="expression" dxfId="138" priority="205">
      <formula>$B199="Tierra"</formula>
    </cfRule>
    <cfRule type="expression" dxfId="139" priority="206">
      <formula>$B199="Puerto"</formula>
    </cfRule>
    <cfRule type="expression" dxfId="70" priority="207">
      <formula>$B199="Descargado"</formula>
    </cfRule>
    <cfRule type="expression" dxfId="139" priority="208">
      <formula>$B199="Frontera"</formula>
    </cfRule>
    <cfRule type="expression" dxfId="138" priority="209">
      <formula>$B199="Cargado"</formula>
    </cfRule>
    <cfRule type="expression" dxfId="72" priority="210">
      <formula>$B199="Cancelado"</formula>
    </cfRule>
    <cfRule type="expression" dxfId="0" priority="211">
      <formula>$B199="Confirmado"</formula>
    </cfRule>
    <cfRule type="expression" dxfId="135" priority="212">
      <formula>$B199="Solicitado"</formula>
    </cfRule>
    <cfRule type="expression" dxfId="134" priority="213">
      <formula>$B199="Arribado"</formula>
    </cfRule>
  </conditionalFormatting>
  <conditionalFormatting sqref="C186:X194">
    <cfRule type="expression" dxfId="148" priority="488">
      <formula>$B186="TCP"</formula>
    </cfRule>
    <cfRule type="expression" dxfId="147" priority="489">
      <formula>$B186="Inesar"</formula>
    </cfRule>
    <cfRule type="expression" dxfId="146" priority="490">
      <formula>$B186="U-Log"</formula>
    </cfRule>
    <cfRule type="expression" dxfId="145" priority="491">
      <formula>$B186="Liberado"</formula>
    </cfRule>
    <cfRule type="expression" dxfId="143" priority="492">
      <formula>$B186="Chile"</formula>
    </cfRule>
    <cfRule type="expression" dxfId="143" priority="493">
      <formula>$B186="Mar"</formula>
    </cfRule>
    <cfRule type="expression" dxfId="138" priority="494">
      <formula>$B186="Tierra"</formula>
    </cfRule>
    <cfRule type="expression" dxfId="139" priority="495">
      <formula>$B186="Puerto"</formula>
    </cfRule>
    <cfRule type="expression" dxfId="70" priority="496">
      <formula>$B186="Descargado"</formula>
    </cfRule>
    <cfRule type="expression" dxfId="139" priority="497">
      <formula>$B186="Frontera"</formula>
    </cfRule>
    <cfRule type="expression" dxfId="138" priority="498">
      <formula>$B186="Cargado"</formula>
    </cfRule>
    <cfRule type="expression" dxfId="72" priority="499">
      <formula>$B186="Cancelado"</formula>
    </cfRule>
    <cfRule type="expression" dxfId="0" priority="500">
      <formula>$B186="Confirmado"</formula>
    </cfRule>
    <cfRule type="expression" dxfId="135" priority="501">
      <formula>$B186="Solicitado"</formula>
    </cfRule>
    <cfRule type="expression" dxfId="134" priority="502">
      <formula>$B186="Arribado"</formula>
    </cfRule>
  </conditionalFormatting>
  <conditionalFormatting sqref="D197">
    <cfRule type="expression" dxfId="148" priority="35723">
      <formula>$B197="TCP"</formula>
    </cfRule>
    <cfRule type="expression" dxfId="147" priority="35724">
      <formula>$B197="Inesar"</formula>
    </cfRule>
    <cfRule type="expression" dxfId="146" priority="35725">
      <formula>$B197="U-Log"</formula>
    </cfRule>
    <cfRule type="expression" dxfId="145" priority="35726">
      <formula>$B197="Liberado"</formula>
    </cfRule>
    <cfRule type="expression" dxfId="143" priority="35727">
      <formula>$B197="Chile"</formula>
    </cfRule>
    <cfRule type="expression" dxfId="143" priority="35728">
      <formula>$B197="Mar"</formula>
    </cfRule>
    <cfRule type="expression" dxfId="138" priority="35729">
      <formula>$B197="Tierra"</formula>
    </cfRule>
    <cfRule type="expression" dxfId="139" priority="35730">
      <formula>$B197="Puerto"</formula>
    </cfRule>
    <cfRule type="expression" dxfId="70" priority="35731">
      <formula>$B197="Descargado"</formula>
    </cfRule>
    <cfRule type="expression" dxfId="139" priority="35732">
      <formula>$B197="Frontera"</formula>
    </cfRule>
    <cfRule type="expression" dxfId="138" priority="35733">
      <formula>$B197="Cargado"</formula>
    </cfRule>
    <cfRule type="expression" dxfId="72" priority="35734">
      <formula>$B197="Cancelado"</formula>
    </cfRule>
    <cfRule type="expression" dxfId="0" priority="35735">
      <formula>$B197="Confirmado"</formula>
    </cfRule>
    <cfRule type="expression" dxfId="135" priority="35736">
      <formula>$B197="Solicitado"</formula>
    </cfRule>
    <cfRule type="expression" dxfId="134" priority="35737">
      <formula>$B197="Arribado"</formula>
    </cfRule>
  </conditionalFormatting>
  <conditionalFormatting sqref="D199:D200">
    <cfRule type="expression" dxfId="148" priority="409">
      <formula>$B199="TCP"</formula>
    </cfRule>
    <cfRule type="expression" dxfId="147" priority="410">
      <formula>$B199="Inesar"</formula>
    </cfRule>
    <cfRule type="expression" dxfId="146" priority="411">
      <formula>$B199="U-Log"</formula>
    </cfRule>
    <cfRule type="expression" dxfId="145" priority="412">
      <formula>$B199="Liberado"</formula>
    </cfRule>
    <cfRule type="expression" dxfId="143" priority="413">
      <formula>$B199="Chile"</formula>
    </cfRule>
    <cfRule type="expression" dxfId="143" priority="414">
      <formula>$B199="Mar"</formula>
    </cfRule>
    <cfRule type="expression" dxfId="138" priority="415">
      <formula>$B199="Tierra"</formula>
    </cfRule>
    <cfRule type="expression" dxfId="139" priority="416">
      <formula>$B199="Puerto"</formula>
    </cfRule>
    <cfRule type="expression" dxfId="70" priority="417">
      <formula>$B199="Descargado"</formula>
    </cfRule>
    <cfRule type="expression" dxfId="139" priority="418">
      <formula>$B199="Frontera"</formula>
    </cfRule>
    <cfRule type="expression" dxfId="138" priority="419">
      <formula>$B199="Cargado"</formula>
    </cfRule>
    <cfRule type="expression" dxfId="72" priority="420">
      <formula>$B199="Cancelado"</formula>
    </cfRule>
    <cfRule type="expression" dxfId="0" priority="421">
      <formula>$B199="Confirmado"</formula>
    </cfRule>
    <cfRule type="expression" dxfId="135" priority="422">
      <formula>$B199="Solicitado"</formula>
    </cfRule>
    <cfRule type="expression" dxfId="134" priority="423">
      <formula>$B199="Arribado"</formula>
    </cfRule>
  </conditionalFormatting>
  <conditionalFormatting sqref="E196">
    <cfRule type="expression" dxfId="72" priority="35194">
      <formula>$B196="Cancelado"</formula>
    </cfRule>
    <cfRule type="expression" dxfId="0" priority="35195">
      <formula>$B196="Confirmado"</formula>
    </cfRule>
    <cfRule type="expression" dxfId="135" priority="35196">
      <formula>$B196="Solicitado"</formula>
    </cfRule>
    <cfRule type="expression" dxfId="134" priority="35197">
      <formula>$B196="Arribado"</formula>
    </cfRule>
  </conditionalFormatting>
  <conditionalFormatting sqref="E196:E197">
    <cfRule type="expression" dxfId="148" priority="35198">
      <formula>$B196="TCP"</formula>
    </cfRule>
    <cfRule type="expression" dxfId="147" priority="35199">
      <formula>$B196="Inesar"</formula>
    </cfRule>
    <cfRule type="expression" dxfId="146" priority="35200">
      <formula>$B196="U-Log"</formula>
    </cfRule>
    <cfRule type="expression" dxfId="145" priority="35201">
      <formula>$B196="Liberado"</formula>
    </cfRule>
    <cfRule type="expression" dxfId="143" priority="35202">
      <formula>$B196="Chile"</formula>
    </cfRule>
    <cfRule type="expression" dxfId="143" priority="35203">
      <formula>$B196="Mar"</formula>
    </cfRule>
    <cfRule type="expression" dxfId="138" priority="35204">
      <formula>$B196="Tierra"</formula>
    </cfRule>
    <cfRule type="expression" dxfId="139" priority="35205">
      <formula>$B196="Puerto"</formula>
    </cfRule>
    <cfRule type="expression" dxfId="70" priority="35206">
      <formula>$B196="Descargado"</formula>
    </cfRule>
    <cfRule type="expression" dxfId="139" priority="35207">
      <formula>$B196="Frontera"</formula>
    </cfRule>
    <cfRule type="expression" dxfId="138" priority="35208">
      <formula>$B196="Cargado"</formula>
    </cfRule>
  </conditionalFormatting>
  <conditionalFormatting sqref="E197">
    <cfRule type="expression" dxfId="72" priority="35509">
      <formula>$B197="Cancelado"</formula>
    </cfRule>
    <cfRule type="expression" dxfId="0" priority="35510">
      <formula>$B197="Confirmado"</formula>
    </cfRule>
    <cfRule type="expression" dxfId="135" priority="35511">
      <formula>$B197="Solicitado"</formula>
    </cfRule>
    <cfRule type="expression" dxfId="134" priority="35512">
      <formula>$B197="Arribado"</formula>
    </cfRule>
  </conditionalFormatting>
  <conditionalFormatting sqref="E197:E198">
    <cfRule type="expression" dxfId="148" priority="45579">
      <formula>$B197="TCP"</formula>
    </cfRule>
    <cfRule type="expression" dxfId="147" priority="45580">
      <formula>$B197="Inesar"</formula>
    </cfRule>
    <cfRule type="expression" dxfId="146" priority="45581">
      <formula>$B197="U-Log"</formula>
    </cfRule>
    <cfRule type="expression" dxfId="145" priority="45582">
      <formula>$B197="Liberado"</formula>
    </cfRule>
    <cfRule type="expression" dxfId="143" priority="45583">
      <formula>$B197="Chile"</formula>
    </cfRule>
    <cfRule type="expression" dxfId="143" priority="45584">
      <formula>$B197="Mar"</formula>
    </cfRule>
    <cfRule type="expression" dxfId="138" priority="45585">
      <formula>$B197="Tierra"</formula>
    </cfRule>
    <cfRule type="expression" dxfId="139" priority="45586">
      <formula>$B197="Puerto"</formula>
    </cfRule>
    <cfRule type="expression" dxfId="70" priority="45587">
      <formula>$B197="Descargado"</formula>
    </cfRule>
    <cfRule type="expression" dxfId="139" priority="45588">
      <formula>$B197="Frontera"</formula>
    </cfRule>
    <cfRule type="expression" dxfId="138" priority="45589">
      <formula>$B197="Cargado"</formula>
    </cfRule>
    <cfRule type="expression" dxfId="72" priority="45590">
      <formula>$B197="Cancelado"</formula>
    </cfRule>
    <cfRule type="expression" dxfId="0" priority="45591">
      <formula>$B197="Confirmado"</formula>
    </cfRule>
    <cfRule type="expression" dxfId="135" priority="45592">
      <formula>$B197="Solicitado"</formula>
    </cfRule>
    <cfRule type="expression" dxfId="134" priority="45593">
      <formula>$B197="Arribado"</formula>
    </cfRule>
  </conditionalFormatting>
  <conditionalFormatting sqref="E199:E200">
    <cfRule type="expression" dxfId="148" priority="154">
      <formula>$B199="TCP"</formula>
    </cfRule>
    <cfRule type="expression" dxfId="147" priority="155">
      <formula>$B199="Inesar"</formula>
    </cfRule>
    <cfRule type="expression" dxfId="146" priority="156">
      <formula>$B199="U-Log"</formula>
    </cfRule>
    <cfRule type="expression" dxfId="145" priority="157">
      <formula>$B199="Liberado"</formula>
    </cfRule>
    <cfRule type="expression" dxfId="143" priority="158">
      <formula>$B199="Chile"</formula>
    </cfRule>
    <cfRule type="expression" dxfId="143" priority="159">
      <formula>$B199="Mar"</formula>
    </cfRule>
    <cfRule type="expression" dxfId="138" priority="160">
      <formula>$B199="Tierra"</formula>
    </cfRule>
    <cfRule type="expression" dxfId="139" priority="161">
      <formula>$B199="Puerto"</formula>
    </cfRule>
    <cfRule type="expression" dxfId="70" priority="162">
      <formula>$B199="Descargado"</formula>
    </cfRule>
    <cfRule type="expression" dxfId="139" priority="163">
      <formula>$B199="Frontera"</formula>
    </cfRule>
    <cfRule type="expression" dxfId="138" priority="164">
      <formula>$B199="Cargado"</formula>
    </cfRule>
    <cfRule type="expression" dxfId="72" priority="165">
      <formula>$B199="Cancelado"</formula>
    </cfRule>
    <cfRule type="expression" dxfId="0" priority="166">
      <formula>$B199="Confirmado"</formula>
    </cfRule>
    <cfRule type="expression" dxfId="135" priority="167">
      <formula>$B199="Solicitado"</formula>
    </cfRule>
    <cfRule type="expression" dxfId="134" priority="168">
      <formula>$B199="Arribado"</formula>
    </cfRule>
  </conditionalFormatting>
  <conditionalFormatting sqref="E199:F200">
    <cfRule type="expression" dxfId="148" priority="169">
      <formula>$B199="TCP"</formula>
    </cfRule>
    <cfRule type="expression" dxfId="147" priority="170">
      <formula>$B199="Inesar"</formula>
    </cfRule>
    <cfRule type="expression" dxfId="146" priority="171">
      <formula>$B199="U-Log"</formula>
    </cfRule>
    <cfRule type="expression" dxfId="145" priority="172">
      <formula>$B199="Liberado"</formula>
    </cfRule>
    <cfRule type="expression" dxfId="143" priority="173">
      <formula>$B199="Chile"</formula>
    </cfRule>
    <cfRule type="expression" dxfId="143" priority="174">
      <formula>$B199="Mar"</formula>
    </cfRule>
    <cfRule type="expression" dxfId="138" priority="175">
      <formula>$B199="Tierra"</formula>
    </cfRule>
    <cfRule type="expression" dxfId="139" priority="176">
      <formula>$B199="Puerto"</formula>
    </cfRule>
    <cfRule type="expression" dxfId="70" priority="177">
      <formula>$B199="Descargado"</formula>
    </cfRule>
    <cfRule type="expression" dxfId="139" priority="178">
      <formula>$B199="Frontera"</formula>
    </cfRule>
    <cfRule type="expression" dxfId="138" priority="179">
      <formula>$B199="Cargado"</formula>
    </cfRule>
    <cfRule type="expression" dxfId="72" priority="180">
      <formula>$B199="Cancelado"</formula>
    </cfRule>
    <cfRule type="expression" dxfId="0" priority="181">
      <formula>$B199="Confirmado"</formula>
    </cfRule>
    <cfRule type="expression" dxfId="135" priority="182">
      <formula>$B199="Solicitado"</formula>
    </cfRule>
    <cfRule type="expression" dxfId="134" priority="183">
      <formula>$B199="Arribado"</formula>
    </cfRule>
  </conditionalFormatting>
  <conditionalFormatting sqref="E195:G196">
    <cfRule type="expression" dxfId="148" priority="35183">
      <formula>$B195="TCP"</formula>
    </cfRule>
    <cfRule type="expression" dxfId="147" priority="35184">
      <formula>$B195="Inesar"</formula>
    </cfRule>
    <cfRule type="expression" dxfId="146" priority="35185">
      <formula>$B195="U-Log"</formula>
    </cfRule>
    <cfRule type="expression" dxfId="145" priority="35186">
      <formula>$B195="Liberado"</formula>
    </cfRule>
    <cfRule type="expression" dxfId="143" priority="35187">
      <formula>$B195="Chile"</formula>
    </cfRule>
    <cfRule type="expression" dxfId="143" priority="35188">
      <formula>$B195="Mar"</formula>
    </cfRule>
    <cfRule type="expression" dxfId="138" priority="35189">
      <formula>$B195="Tierra"</formula>
    </cfRule>
    <cfRule type="expression" dxfId="139" priority="35190">
      <formula>$B195="Puerto"</formula>
    </cfRule>
    <cfRule type="expression" dxfId="70" priority="35191">
      <formula>$B195="Descargado"</formula>
    </cfRule>
    <cfRule type="expression" dxfId="139" priority="35192">
      <formula>$B195="Frontera"</formula>
    </cfRule>
    <cfRule type="expression" dxfId="138" priority="35193">
      <formula>$B195="Cargado"</formula>
    </cfRule>
    <cfRule type="expression" dxfId="72" priority="35209">
      <formula>$B195="Cancelado"</formula>
    </cfRule>
    <cfRule type="expression" dxfId="0" priority="35210">
      <formula>$B195="Confirmado"</formula>
    </cfRule>
    <cfRule type="expression" dxfId="135" priority="35211">
      <formula>$B195="Solicitado"</formula>
    </cfRule>
    <cfRule type="expression" dxfId="134" priority="35212">
      <formula>$B195="Arribado"</formula>
    </cfRule>
  </conditionalFormatting>
  <conditionalFormatting sqref="E197:G198">
    <cfRule type="expression" dxfId="148" priority="45594">
      <formula>$B197="TCP"</formula>
    </cfRule>
    <cfRule type="expression" dxfId="147" priority="45595">
      <formula>$B197="Inesar"</formula>
    </cfRule>
    <cfRule type="expression" dxfId="146" priority="45596">
      <formula>$B197="U-Log"</formula>
    </cfRule>
    <cfRule type="expression" dxfId="145" priority="45597">
      <formula>$B197="Liberado"</formula>
    </cfRule>
    <cfRule type="expression" dxfId="143" priority="45598">
      <formula>$B197="Chile"</formula>
    </cfRule>
    <cfRule type="expression" dxfId="143" priority="45599">
      <formula>$B197="Mar"</formula>
    </cfRule>
    <cfRule type="expression" dxfId="138" priority="45600">
      <formula>$B197="Tierra"</formula>
    </cfRule>
    <cfRule type="expression" dxfId="139" priority="45601">
      <formula>$B197="Puerto"</formula>
    </cfRule>
    <cfRule type="expression" dxfId="70" priority="45602">
      <formula>$B197="Descargado"</formula>
    </cfRule>
    <cfRule type="expression" dxfId="139" priority="45603">
      <formula>$B197="Frontera"</formula>
    </cfRule>
    <cfRule type="expression" dxfId="138" priority="45604">
      <formula>$B197="Cargado"</formula>
    </cfRule>
    <cfRule type="expression" dxfId="72" priority="45605">
      <formula>$B197="Cancelado"</formula>
    </cfRule>
    <cfRule type="expression" dxfId="0" priority="45606">
      <formula>$B197="Confirmado"</formula>
    </cfRule>
    <cfRule type="expression" dxfId="135" priority="45607">
      <formula>$B197="Solicitado"</formula>
    </cfRule>
    <cfRule type="expression" dxfId="134" priority="45608">
      <formula>$B197="Arribado"</formula>
    </cfRule>
  </conditionalFormatting>
  <conditionalFormatting sqref="F197">
    <cfRule type="expression" dxfId="148" priority="35738">
      <formula>$B197="TCP"</formula>
    </cfRule>
    <cfRule type="expression" dxfId="147" priority="35739">
      <formula>$B197="Inesar"</formula>
    </cfRule>
    <cfRule type="expression" dxfId="146" priority="35740">
      <formula>$B197="U-Log"</formula>
    </cfRule>
    <cfRule type="expression" dxfId="145" priority="35741">
      <formula>$B197="Liberado"</formula>
    </cfRule>
    <cfRule type="expression" dxfId="143" priority="35742">
      <formula>$B197="Chile"</formula>
    </cfRule>
    <cfRule type="expression" dxfId="143" priority="35743">
      <formula>$B197="Mar"</formula>
    </cfRule>
    <cfRule type="expression" dxfId="138" priority="35744">
      <formula>$B197="Tierra"</formula>
    </cfRule>
    <cfRule type="expression" dxfId="139" priority="35745">
      <formula>$B197="Puerto"</formula>
    </cfRule>
    <cfRule type="expression" dxfId="70" priority="35746">
      <formula>$B197="Descargado"</formula>
    </cfRule>
    <cfRule type="expression" dxfId="139" priority="35747">
      <formula>$B197="Frontera"</formula>
    </cfRule>
    <cfRule type="expression" dxfId="138" priority="35748">
      <formula>$B197="Cargado"</formula>
    </cfRule>
    <cfRule type="expression" dxfId="72" priority="35749">
      <formula>$B197="Cancelado"</formula>
    </cfRule>
    <cfRule type="expression" dxfId="0" priority="35750">
      <formula>$B197="Confirmado"</formula>
    </cfRule>
    <cfRule type="expression" dxfId="135" priority="35751">
      <formula>$B197="Solicitado"</formula>
    </cfRule>
    <cfRule type="expression" dxfId="134" priority="35752">
      <formula>$B197="Arribado"</formula>
    </cfRule>
  </conditionalFormatting>
  <conditionalFormatting sqref="F196:G196">
    <cfRule type="expression" dxfId="148" priority="35408">
      <formula>$B196="TCP"</formula>
    </cfRule>
    <cfRule type="expression" dxfId="147" priority="35409">
      <formula>$B196="Inesar"</formula>
    </cfRule>
    <cfRule type="expression" dxfId="146" priority="35410">
      <formula>$B196="U-Log"</formula>
    </cfRule>
    <cfRule type="expression" dxfId="145" priority="35411">
      <formula>$B196="Liberado"</formula>
    </cfRule>
    <cfRule type="expression" dxfId="143" priority="35412">
      <formula>$B196="Chile"</formula>
    </cfRule>
    <cfRule type="expression" dxfId="143" priority="35413">
      <formula>$B196="Mar"</formula>
    </cfRule>
    <cfRule type="expression" dxfId="138" priority="35414">
      <formula>$B196="Tierra"</formula>
    </cfRule>
    <cfRule type="expression" dxfId="139" priority="35415">
      <formula>$B196="Puerto"</formula>
    </cfRule>
    <cfRule type="expression" dxfId="70" priority="35416">
      <formula>$B196="Descargado"</formula>
    </cfRule>
    <cfRule type="expression" dxfId="139" priority="35417">
      <formula>$B196="Frontera"</formula>
    </cfRule>
    <cfRule type="expression" dxfId="138" priority="35418">
      <formula>$B196="Cargado"</formula>
    </cfRule>
    <cfRule type="expression" dxfId="72" priority="35419">
      <formula>$B196="Cancelado"</formula>
    </cfRule>
    <cfRule type="expression" dxfId="0" priority="35420">
      <formula>$B196="Confirmado"</formula>
    </cfRule>
    <cfRule type="expression" dxfId="135" priority="35421">
      <formula>$B196="Solicitado"</formula>
    </cfRule>
    <cfRule type="expression" dxfId="134" priority="35422">
      <formula>$B196="Arribado"</formula>
    </cfRule>
  </conditionalFormatting>
  <conditionalFormatting sqref="F197:G198">
    <cfRule type="expression" dxfId="148" priority="45834">
      <formula>$B197="TCP"</formula>
    </cfRule>
    <cfRule type="expression" dxfId="147" priority="45835">
      <formula>$B197="Inesar"</formula>
    </cfRule>
    <cfRule type="expression" dxfId="146" priority="45836">
      <formula>$B197="U-Log"</formula>
    </cfRule>
    <cfRule type="expression" dxfId="145" priority="45837">
      <formula>$B197="Liberado"</formula>
    </cfRule>
    <cfRule type="expression" dxfId="143" priority="45838">
      <formula>$B197="Chile"</formula>
    </cfRule>
    <cfRule type="expression" dxfId="143" priority="45839">
      <formula>$B197="Mar"</formula>
    </cfRule>
    <cfRule type="expression" dxfId="138" priority="45840">
      <formula>$B197="Tierra"</formula>
    </cfRule>
    <cfRule type="expression" dxfId="139" priority="45841">
      <formula>$B197="Puerto"</formula>
    </cfRule>
    <cfRule type="expression" dxfId="70" priority="45842">
      <formula>$B197="Descargado"</formula>
    </cfRule>
    <cfRule type="expression" dxfId="139" priority="45843">
      <formula>$B197="Frontera"</formula>
    </cfRule>
    <cfRule type="expression" dxfId="138" priority="45844">
      <formula>$B197="Cargado"</formula>
    </cfRule>
    <cfRule type="expression" dxfId="72" priority="45845">
      <formula>$B197="Cancelado"</formula>
    </cfRule>
    <cfRule type="expression" dxfId="0" priority="45846">
      <formula>$B197="Confirmado"</formula>
    </cfRule>
    <cfRule type="expression" dxfId="135" priority="45847">
      <formula>$B197="Solicitado"</formula>
    </cfRule>
    <cfRule type="expression" dxfId="134" priority="45848">
      <formula>$B197="Arribado"</formula>
    </cfRule>
  </conditionalFormatting>
  <conditionalFormatting sqref="F199:K200">
    <cfRule type="expression" dxfId="148" priority="304">
      <formula>$B199="TCP"</formula>
    </cfRule>
    <cfRule type="expression" dxfId="147" priority="305">
      <formula>$B199="Inesar"</formula>
    </cfRule>
    <cfRule type="expression" dxfId="146" priority="306">
      <formula>$B199="U-Log"</formula>
    </cfRule>
    <cfRule type="expression" dxfId="145" priority="307">
      <formula>$B199="Liberado"</formula>
    </cfRule>
    <cfRule type="expression" dxfId="143" priority="308">
      <formula>$B199="Chile"</formula>
    </cfRule>
    <cfRule type="expression" dxfId="143" priority="309">
      <formula>$B199="Mar"</formula>
    </cfRule>
    <cfRule type="expression" dxfId="138" priority="310">
      <formula>$B199="Tierra"</formula>
    </cfRule>
    <cfRule type="expression" dxfId="139" priority="311">
      <formula>$B199="Puerto"</formula>
    </cfRule>
    <cfRule type="expression" dxfId="70" priority="312">
      <formula>$B199="Descargado"</formula>
    </cfRule>
    <cfRule type="expression" dxfId="139" priority="313">
      <formula>$B199="Frontera"</formula>
    </cfRule>
    <cfRule type="expression" dxfId="138" priority="314">
      <formula>$B199="Cargado"</formula>
    </cfRule>
    <cfRule type="expression" dxfId="72" priority="315">
      <formula>$B199="Cancelado"</formula>
    </cfRule>
    <cfRule type="expression" dxfId="0" priority="316">
      <formula>$B199="Confirmado"</formula>
    </cfRule>
    <cfRule type="expression" dxfId="135" priority="317">
      <formula>$B199="Solicitado"</formula>
    </cfRule>
    <cfRule type="expression" dxfId="134" priority="318">
      <formula>$B199="Arribado"</formula>
    </cfRule>
  </conditionalFormatting>
  <conditionalFormatting sqref="G197 T197:W197 D195:D198 A186:A198 C5 M195:X195 H195:J198 L195:L200 C201:X207 A607:W607">
    <cfRule type="expression" dxfId="148" priority="378732">
      <formula>$B5="TCP"</formula>
    </cfRule>
  </conditionalFormatting>
  <conditionalFormatting sqref="K195:K197">
    <cfRule type="expression" dxfId="148" priority="35138">
      <formula>$B195="TCP"</formula>
    </cfRule>
    <cfRule type="expression" dxfId="147" priority="35139">
      <formula>$B195="Inesar"</formula>
    </cfRule>
    <cfRule type="expression" dxfId="146" priority="35140">
      <formula>$B195="U-Log"</formula>
    </cfRule>
    <cfRule type="expression" dxfId="145" priority="35141">
      <formula>$B195="Liberado"</formula>
    </cfRule>
    <cfRule type="expression" dxfId="143" priority="35142">
      <formula>$B195="Chile"</formula>
    </cfRule>
    <cfRule type="expression" dxfId="143" priority="35143">
      <formula>$B195="Mar"</formula>
    </cfRule>
    <cfRule type="expression" dxfId="138" priority="35144">
      <formula>$B195="Tierra"</formula>
    </cfRule>
    <cfRule type="expression" dxfId="139" priority="35145">
      <formula>$B195="Puerto"</formula>
    </cfRule>
    <cfRule type="expression" dxfId="70" priority="35146">
      <formula>$B195="Descargado"</formula>
    </cfRule>
    <cfRule type="expression" dxfId="139" priority="35147">
      <formula>$B195="Frontera"</formula>
    </cfRule>
    <cfRule type="expression" dxfId="138" priority="35148">
      <formula>$B195="Cargado"</formula>
    </cfRule>
    <cfRule type="expression" dxfId="72" priority="35149">
      <formula>$B195="Cancelado"</formula>
    </cfRule>
    <cfRule type="expression" dxfId="0" priority="35150">
      <formula>$B195="Confirmado"</formula>
    </cfRule>
    <cfRule type="expression" dxfId="135" priority="35151">
      <formula>$B195="Solicitado"</formula>
    </cfRule>
    <cfRule type="expression" dxfId="134" priority="35152">
      <formula>$B195="Arribado"</formula>
    </cfRule>
  </conditionalFormatting>
  <conditionalFormatting sqref="K196">
    <cfRule type="expression" dxfId="148" priority="35123">
      <formula>$B196="TCP"</formula>
    </cfRule>
    <cfRule type="expression" dxfId="147" priority="35124">
      <formula>$B196="Inesar"</formula>
    </cfRule>
    <cfRule type="expression" dxfId="146" priority="35125">
      <formula>$B196="U-Log"</formula>
    </cfRule>
    <cfRule type="expression" dxfId="145" priority="35126">
      <formula>$B196="Liberado"</formula>
    </cfRule>
    <cfRule type="expression" dxfId="143" priority="35127">
      <formula>$B196="Chile"</formula>
    </cfRule>
    <cfRule type="expression" dxfId="143" priority="35128">
      <formula>$B196="Mar"</formula>
    </cfRule>
    <cfRule type="expression" dxfId="138" priority="35129">
      <formula>$B196="Tierra"</formula>
    </cfRule>
    <cfRule type="expression" dxfId="139" priority="35130">
      <formula>$B196="Puerto"</formula>
    </cfRule>
    <cfRule type="expression" dxfId="70" priority="35131">
      <formula>$B196="Descargado"</formula>
    </cfRule>
    <cfRule type="expression" dxfId="139" priority="35132">
      <formula>$B196="Frontera"</formula>
    </cfRule>
    <cfRule type="expression" dxfId="138" priority="35133">
      <formula>$B196="Cargado"</formula>
    </cfRule>
    <cfRule type="expression" dxfId="72" priority="35134">
      <formula>$B196="Cancelado"</formula>
    </cfRule>
    <cfRule type="expression" dxfId="0" priority="35135">
      <formula>$B196="Confirmado"</formula>
    </cfRule>
    <cfRule type="expression" dxfId="135" priority="35136">
      <formula>$B196="Solicitado"</formula>
    </cfRule>
    <cfRule type="expression" dxfId="134" priority="35137">
      <formula>$B196="Arribado"</formula>
    </cfRule>
  </conditionalFormatting>
  <conditionalFormatting sqref="K197">
    <cfRule type="expression" dxfId="148" priority="35453">
      <formula>$B197="TCP"</formula>
    </cfRule>
    <cfRule type="expression" dxfId="147" priority="35454">
      <formula>$B197="Inesar"</formula>
    </cfRule>
    <cfRule type="expression" dxfId="146" priority="35455">
      <formula>$B197="U-Log"</formula>
    </cfRule>
    <cfRule type="expression" dxfId="145" priority="35456">
      <formula>$B197="Liberado"</formula>
    </cfRule>
    <cfRule type="expression" dxfId="143" priority="35457">
      <formula>$B197="Chile"</formula>
    </cfRule>
    <cfRule type="expression" dxfId="143" priority="35458">
      <formula>$B197="Mar"</formula>
    </cfRule>
    <cfRule type="expression" dxfId="138" priority="35459">
      <formula>$B197="Tierra"</formula>
    </cfRule>
    <cfRule type="expression" dxfId="139" priority="35460">
      <formula>$B197="Puerto"</formula>
    </cfRule>
    <cfRule type="expression" dxfId="70" priority="35461">
      <formula>$B197="Descargado"</formula>
    </cfRule>
    <cfRule type="expression" dxfId="139" priority="35462">
      <formula>$B197="Frontera"</formula>
    </cfRule>
    <cfRule type="expression" dxfId="138" priority="35463">
      <formula>$B197="Cargado"</formula>
    </cfRule>
    <cfRule type="expression" dxfId="72" priority="35464">
      <formula>$B197="Cancelado"</formula>
    </cfRule>
    <cfRule type="expression" dxfId="0" priority="35465">
      <formula>$B197="Confirmado"</formula>
    </cfRule>
    <cfRule type="expression" dxfId="135" priority="35466">
      <formula>$B197="Solicitado"</formula>
    </cfRule>
    <cfRule type="expression" dxfId="134" priority="35467">
      <formula>$B197="Arribado"</formula>
    </cfRule>
  </conditionalFormatting>
  <conditionalFormatting sqref="K197:K198">
    <cfRule type="expression" dxfId="148" priority="37044">
      <formula>$B197="TCP"</formula>
    </cfRule>
    <cfRule type="expression" dxfId="147" priority="37045">
      <formula>$B197="Inesar"</formula>
    </cfRule>
    <cfRule type="expression" dxfId="146" priority="37046">
      <formula>$B197="U-Log"</formula>
    </cfRule>
    <cfRule type="expression" dxfId="145" priority="37047">
      <formula>$B197="Liberado"</formula>
    </cfRule>
    <cfRule type="expression" dxfId="143" priority="37048">
      <formula>$B197="Chile"</formula>
    </cfRule>
    <cfRule type="expression" dxfId="143" priority="37049">
      <formula>$B197="Mar"</formula>
    </cfRule>
    <cfRule type="expression" dxfId="138" priority="37050">
      <formula>$B197="Tierra"</formula>
    </cfRule>
    <cfRule type="expression" dxfId="139" priority="37051">
      <formula>$B197="Puerto"</formula>
    </cfRule>
    <cfRule type="expression" dxfId="70" priority="37052">
      <formula>$B197="Descargado"</formula>
    </cfRule>
    <cfRule type="expression" dxfId="139" priority="37053">
      <formula>$B197="Frontera"</formula>
    </cfRule>
    <cfRule type="expression" dxfId="138" priority="37054">
      <formula>$B197="Cargado"</formula>
    </cfRule>
    <cfRule type="expression" dxfId="72" priority="37055">
      <formula>$B197="Cancelado"</formula>
    </cfRule>
    <cfRule type="expression" dxfId="0" priority="37056">
      <formula>$B197="Confirmado"</formula>
    </cfRule>
    <cfRule type="expression" dxfId="135" priority="37057">
      <formula>$B197="Solicitado"</formula>
    </cfRule>
    <cfRule type="expression" dxfId="134" priority="37058">
      <formula>$B197="Arribado"</formula>
    </cfRule>
    <cfRule type="expression" dxfId="148" priority="37059">
      <formula>$B197="TCP"</formula>
    </cfRule>
    <cfRule type="expression" dxfId="147" priority="37060">
      <formula>$B197="Inesar"</formula>
    </cfRule>
    <cfRule type="expression" dxfId="146" priority="37061">
      <formula>$B197="U-Log"</formula>
    </cfRule>
    <cfRule type="expression" dxfId="145" priority="37062">
      <formula>$B197="Liberado"</formula>
    </cfRule>
    <cfRule type="expression" dxfId="143" priority="37063">
      <formula>$B197="Chile"</formula>
    </cfRule>
    <cfRule type="expression" dxfId="143" priority="37064">
      <formula>$B197="Mar"</formula>
    </cfRule>
    <cfRule type="expression" dxfId="138" priority="37065">
      <formula>$B197="Tierra"</formula>
    </cfRule>
    <cfRule type="expression" dxfId="139" priority="37066">
      <formula>$B197="Puerto"</formula>
    </cfRule>
    <cfRule type="expression" dxfId="70" priority="37067">
      <formula>$B197="Descargado"</formula>
    </cfRule>
    <cfRule type="expression" dxfId="139" priority="37068">
      <formula>$B197="Frontera"</formula>
    </cfRule>
    <cfRule type="expression" dxfId="138" priority="37069">
      <formula>$B197="Cargado"</formula>
    </cfRule>
    <cfRule type="expression" dxfId="72" priority="37070">
      <formula>$B197="Cancelado"</formula>
    </cfRule>
    <cfRule type="expression" dxfId="0" priority="37071">
      <formula>$B197="Confirmado"</formula>
    </cfRule>
    <cfRule type="expression" dxfId="135" priority="37072">
      <formula>$B197="Solicitado"</formula>
    </cfRule>
    <cfRule type="expression" dxfId="134" priority="37073">
      <formula>$B197="Arribado"</formula>
    </cfRule>
  </conditionalFormatting>
  <conditionalFormatting sqref="K199:K200">
    <cfRule type="expression" dxfId="148" priority="274">
      <formula>$B199="TCP"</formula>
    </cfRule>
    <cfRule type="expression" dxfId="147" priority="275">
      <formula>$B199="Inesar"</formula>
    </cfRule>
    <cfRule type="expression" dxfId="146" priority="276">
      <formula>$B199="U-Log"</formula>
    </cfRule>
    <cfRule type="expression" dxfId="145" priority="277">
      <formula>$B199="Liberado"</formula>
    </cfRule>
    <cfRule type="expression" dxfId="143" priority="278">
      <formula>$B199="Chile"</formula>
    </cfRule>
    <cfRule type="expression" dxfId="143" priority="279">
      <formula>$B199="Mar"</formula>
    </cfRule>
    <cfRule type="expression" dxfId="138" priority="280">
      <formula>$B199="Tierra"</formula>
    </cfRule>
    <cfRule type="expression" dxfId="139" priority="281">
      <formula>$B199="Puerto"</formula>
    </cfRule>
    <cfRule type="expression" dxfId="70" priority="282">
      <formula>$B199="Descargado"</formula>
    </cfRule>
    <cfRule type="expression" dxfId="139" priority="283">
      <formula>$B199="Frontera"</formula>
    </cfRule>
    <cfRule type="expression" dxfId="138" priority="284">
      <formula>$B199="Cargado"</formula>
    </cfRule>
    <cfRule type="expression" dxfId="72" priority="285">
      <formula>$B199="Cancelado"</formula>
    </cfRule>
    <cfRule type="expression" dxfId="0" priority="286">
      <formula>$B199="Confirmado"</formula>
    </cfRule>
    <cfRule type="expression" dxfId="135" priority="287">
      <formula>$B199="Solicitado"</formula>
    </cfRule>
    <cfRule type="expression" dxfId="134" priority="288">
      <formula>$B199="Arribado"</formula>
    </cfRule>
  </conditionalFormatting>
  <conditionalFormatting sqref="M196">
    <cfRule type="expression" dxfId="0" priority="35165">
      <formula>$B196="Confirmado"</formula>
    </cfRule>
    <cfRule type="expression" dxfId="135" priority="35166">
      <formula>$B196="Solicitado"</formula>
    </cfRule>
    <cfRule type="expression" dxfId="134" priority="35167">
      <formula>$B196="Arribado"</formula>
    </cfRule>
  </conditionalFormatting>
  <conditionalFormatting sqref="M196:M197">
    <cfRule type="expression" dxfId="148" priority="35168">
      <formula>$B196="TCP"</formula>
    </cfRule>
    <cfRule type="expression" dxfId="147" priority="35169">
      <formula>$B196="Inesar"</formula>
    </cfRule>
    <cfRule type="expression" dxfId="146" priority="35170">
      <formula>$B196="U-Log"</formula>
    </cfRule>
    <cfRule type="expression" dxfId="145" priority="35171">
      <formula>$B196="Liberado"</formula>
    </cfRule>
    <cfRule type="expression" dxfId="143" priority="35172">
      <formula>$B196="Chile"</formula>
    </cfRule>
    <cfRule type="expression" dxfId="143" priority="35173">
      <formula>$B196="Mar"</formula>
    </cfRule>
    <cfRule type="expression" dxfId="138" priority="35174">
      <formula>$B196="Tierra"</formula>
    </cfRule>
    <cfRule type="expression" dxfId="139" priority="35175">
      <formula>$B196="Puerto"</formula>
    </cfRule>
    <cfRule type="expression" dxfId="70" priority="35176">
      <formula>$B196="Descargado"</formula>
    </cfRule>
    <cfRule type="expression" dxfId="139" priority="35177">
      <formula>$B196="Frontera"</formula>
    </cfRule>
    <cfRule type="expression" dxfId="138" priority="35178">
      <formula>$B196="Cargado"</formula>
    </cfRule>
    <cfRule type="expression" dxfId="72" priority="35179">
      <formula>$B196="Cancelado"</formula>
    </cfRule>
  </conditionalFormatting>
  <conditionalFormatting sqref="M197">
    <cfRule type="expression" dxfId="0" priority="35480">
      <formula>$B197="Confirmado"</formula>
    </cfRule>
    <cfRule type="expression" dxfId="135" priority="35481">
      <formula>$B197="Solicitado"</formula>
    </cfRule>
    <cfRule type="expression" dxfId="134" priority="35482">
      <formula>$B197="Arribado"</formula>
    </cfRule>
  </conditionalFormatting>
  <conditionalFormatting sqref="M197:M198">
    <cfRule type="expression" dxfId="148" priority="45549">
      <formula>$B197="TCP"</formula>
    </cfRule>
    <cfRule type="expression" dxfId="147" priority="45550">
      <formula>$B197="Inesar"</formula>
    </cfRule>
    <cfRule type="expression" dxfId="146" priority="45551">
      <formula>$B197="U-Log"</formula>
    </cfRule>
    <cfRule type="expression" dxfId="145" priority="45552">
      <formula>$B197="Liberado"</formula>
    </cfRule>
    <cfRule type="expression" dxfId="143" priority="45553">
      <formula>$B197="Chile"</formula>
    </cfRule>
    <cfRule type="expression" dxfId="143" priority="45554">
      <formula>$B197="Mar"</formula>
    </cfRule>
    <cfRule type="expression" dxfId="138" priority="45555">
      <formula>$B197="Tierra"</formula>
    </cfRule>
    <cfRule type="expression" dxfId="139" priority="45556">
      <formula>$B197="Puerto"</formula>
    </cfRule>
    <cfRule type="expression" dxfId="70" priority="45557">
      <formula>$B197="Descargado"</formula>
    </cfRule>
    <cfRule type="expression" dxfId="139" priority="45558">
      <formula>$B197="Frontera"</formula>
    </cfRule>
    <cfRule type="expression" dxfId="138" priority="45559">
      <formula>$B197="Cargado"</formula>
    </cfRule>
    <cfRule type="expression" dxfId="72" priority="45560">
      <formula>$B197="Cancelado"</formula>
    </cfRule>
    <cfRule type="expression" dxfId="0" priority="45561">
      <formula>$B197="Confirmado"</formula>
    </cfRule>
    <cfRule type="expression" dxfId="135" priority="45562">
      <formula>$B197="Solicitado"</formula>
    </cfRule>
    <cfRule type="expression" dxfId="134" priority="45563">
      <formula>$B197="Arribado"</formula>
    </cfRule>
  </conditionalFormatting>
  <conditionalFormatting sqref="M199:M200">
    <cfRule type="expression" dxfId="148" priority="124">
      <formula>$B199="TCP"</formula>
    </cfRule>
    <cfRule type="expression" dxfId="147" priority="125">
      <formula>$B199="Inesar"</formula>
    </cfRule>
    <cfRule type="expression" dxfId="146" priority="126">
      <formula>$B199="U-Log"</formula>
    </cfRule>
    <cfRule type="expression" dxfId="145" priority="127">
      <formula>$B199="Liberado"</formula>
    </cfRule>
    <cfRule type="expression" dxfId="143" priority="128">
      <formula>$B199="Chile"</formula>
    </cfRule>
    <cfRule type="expression" dxfId="143" priority="129">
      <formula>$B199="Mar"</formula>
    </cfRule>
    <cfRule type="expression" dxfId="138" priority="130">
      <formula>$B199="Tierra"</formula>
    </cfRule>
    <cfRule type="expression" dxfId="139" priority="131">
      <formula>$B199="Puerto"</formula>
    </cfRule>
    <cfRule type="expression" dxfId="70" priority="132">
      <formula>$B199="Descargado"</formula>
    </cfRule>
    <cfRule type="expression" dxfId="139" priority="133">
      <formula>$B199="Frontera"</formula>
    </cfRule>
    <cfRule type="expression" dxfId="138" priority="134">
      <formula>$B199="Cargado"</formula>
    </cfRule>
    <cfRule type="expression" dxfId="72" priority="135">
      <formula>$B199="Cancelado"</formula>
    </cfRule>
    <cfRule type="expression" dxfId="0" priority="136">
      <formula>$B199="Confirmado"</formula>
    </cfRule>
    <cfRule type="expression" dxfId="135" priority="137">
      <formula>$B199="Solicitado"</formula>
    </cfRule>
    <cfRule type="expression" dxfId="134" priority="138">
      <formula>$B199="Arribado"</formula>
    </cfRule>
  </conditionalFormatting>
  <conditionalFormatting sqref="M1065">
    <cfRule type="expression" dxfId="148" priority="368187">
      <formula>$B1065="TCP"</formula>
    </cfRule>
    <cfRule type="expression" dxfId="147" priority="368188">
      <formula>$B1065="Inesar"</formula>
    </cfRule>
    <cfRule type="expression" dxfId="146" priority="368189">
      <formula>$B1065="U-Log"</formula>
    </cfRule>
    <cfRule type="expression" dxfId="145" priority="368190">
      <formula>$B1065="Liberado"</formula>
    </cfRule>
    <cfRule type="expression" dxfId="143" priority="368191">
      <formula>$B1065="Chile"</formula>
    </cfRule>
    <cfRule type="expression" dxfId="143" priority="368192">
      <formula>$B1065="Mar"</formula>
    </cfRule>
    <cfRule type="expression" dxfId="138" priority="368193">
      <formula>$B1065="Tierra"</formula>
    </cfRule>
    <cfRule type="expression" dxfId="139" priority="368194">
      <formula>$B1065="Puerto"</formula>
    </cfRule>
    <cfRule type="expression" dxfId="70" priority="368195">
      <formula>$B1065="Descargado"</formula>
    </cfRule>
    <cfRule type="expression" dxfId="139" priority="368196">
      <formula>$B1065="Frontera"</formula>
    </cfRule>
    <cfRule type="expression" dxfId="138" priority="368197">
      <formula>$B1065="Cargado"</formula>
    </cfRule>
    <cfRule type="expression" dxfId="72" priority="368198">
      <formula>$B1065="Cancelado"</formula>
    </cfRule>
    <cfRule type="expression" dxfId="0" priority="368199">
      <formula>$B1065="Confirmado"</formula>
    </cfRule>
    <cfRule type="expression" dxfId="135" priority="368200">
      <formula>$B1065="Solicitado"</formula>
    </cfRule>
    <cfRule type="expression" dxfId="134" priority="368201">
      <formula>$B1065="Arribado"</formula>
    </cfRule>
  </conditionalFormatting>
  <conditionalFormatting sqref="M196:N196">
    <cfRule type="expression" dxfId="148" priority="35153">
      <formula>$B196="TCP"</formula>
    </cfRule>
    <cfRule type="expression" dxfId="147" priority="35154">
      <formula>$B196="Inesar"</formula>
    </cfRule>
    <cfRule type="expression" dxfId="146" priority="35155">
      <formula>$B196="U-Log"</formula>
    </cfRule>
    <cfRule type="expression" dxfId="145" priority="35156">
      <formula>$B196="Liberado"</formula>
    </cfRule>
    <cfRule type="expression" dxfId="143" priority="35157">
      <formula>$B196="Chile"</formula>
    </cfRule>
    <cfRule type="expression" dxfId="143" priority="35158">
      <formula>$B196="Mar"</formula>
    </cfRule>
    <cfRule type="expression" dxfId="138" priority="35159">
      <formula>$B196="Tierra"</formula>
    </cfRule>
    <cfRule type="expression" dxfId="139" priority="35160">
      <formula>$B196="Puerto"</formula>
    </cfRule>
    <cfRule type="expression" dxfId="70" priority="35161">
      <formula>$B196="Descargado"</formula>
    </cfRule>
    <cfRule type="expression" dxfId="139" priority="35162">
      <formula>$B196="Frontera"</formula>
    </cfRule>
    <cfRule type="expression" dxfId="138" priority="35163">
      <formula>$B196="Cargado"</formula>
    </cfRule>
    <cfRule type="expression" dxfId="72" priority="35164">
      <formula>$B196="Cancelado"</formula>
    </cfRule>
    <cfRule type="expression" dxfId="0" priority="35180">
      <formula>$B196="Confirmado"</formula>
    </cfRule>
    <cfRule type="expression" dxfId="135" priority="35181">
      <formula>$B196="Solicitado"</formula>
    </cfRule>
    <cfRule type="expression" dxfId="134" priority="35182">
      <formula>$B196="Arribado"</formula>
    </cfRule>
  </conditionalFormatting>
  <conditionalFormatting sqref="M197:N197">
    <cfRule type="expression" dxfId="148" priority="35483">
      <formula>$B197="TCP"</formula>
    </cfRule>
    <cfRule type="expression" dxfId="147" priority="35484">
      <formula>$B197="Inesar"</formula>
    </cfRule>
    <cfRule type="expression" dxfId="146" priority="35485">
      <formula>$B197="U-Log"</formula>
    </cfRule>
    <cfRule type="expression" dxfId="145" priority="35486">
      <formula>$B197="Liberado"</formula>
    </cfRule>
    <cfRule type="expression" dxfId="143" priority="35487">
      <formula>$B197="Chile"</formula>
    </cfRule>
    <cfRule type="expression" dxfId="143" priority="35488">
      <formula>$B197="Mar"</formula>
    </cfRule>
    <cfRule type="expression" dxfId="138" priority="35489">
      <formula>$B197="Tierra"</formula>
    </cfRule>
    <cfRule type="expression" dxfId="139" priority="35490">
      <formula>$B197="Puerto"</formula>
    </cfRule>
    <cfRule type="expression" dxfId="70" priority="35491">
      <formula>$B197="Descargado"</formula>
    </cfRule>
    <cfRule type="expression" dxfId="139" priority="35492">
      <formula>$B197="Frontera"</formula>
    </cfRule>
    <cfRule type="expression" dxfId="138" priority="35493">
      <formula>$B197="Cargado"</formula>
    </cfRule>
    <cfRule type="expression" dxfId="72" priority="35494">
      <formula>$B197="Cancelado"</formula>
    </cfRule>
    <cfRule type="expression" dxfId="0" priority="35495">
      <formula>$B197="Confirmado"</formula>
    </cfRule>
    <cfRule type="expression" dxfId="135" priority="35496">
      <formula>$B197="Solicitado"</formula>
    </cfRule>
    <cfRule type="expression" dxfId="134" priority="35497">
      <formula>$B197="Arribado"</formula>
    </cfRule>
  </conditionalFormatting>
  <conditionalFormatting sqref="M197:N198">
    <cfRule type="expression" dxfId="148" priority="45564">
      <formula>$B197="TCP"</formula>
    </cfRule>
    <cfRule type="expression" dxfId="147" priority="45565">
      <formula>$B197="Inesar"</formula>
    </cfRule>
    <cfRule type="expression" dxfId="146" priority="45566">
      <formula>$B197="U-Log"</formula>
    </cfRule>
    <cfRule type="expression" dxfId="145" priority="45567">
      <formula>$B197="Liberado"</formula>
    </cfRule>
    <cfRule type="expression" dxfId="143" priority="45568">
      <formula>$B197="Chile"</formula>
    </cfRule>
    <cfRule type="expression" dxfId="143" priority="45569">
      <formula>$B197="Mar"</formula>
    </cfRule>
    <cfRule type="expression" dxfId="138" priority="45570">
      <formula>$B197="Tierra"</formula>
    </cfRule>
    <cfRule type="expression" dxfId="139" priority="45571">
      <formula>$B197="Puerto"</formula>
    </cfRule>
    <cfRule type="expression" dxfId="70" priority="45572">
      <formula>$B197="Descargado"</formula>
    </cfRule>
    <cfRule type="expression" dxfId="139" priority="45573">
      <formula>$B197="Frontera"</formula>
    </cfRule>
    <cfRule type="expression" dxfId="138" priority="45574">
      <formula>$B197="Cargado"</formula>
    </cfRule>
    <cfRule type="expression" dxfId="72" priority="45575">
      <formula>$B197="Cancelado"</formula>
    </cfRule>
    <cfRule type="expression" dxfId="0" priority="45576">
      <formula>$B197="Confirmado"</formula>
    </cfRule>
    <cfRule type="expression" dxfId="135" priority="45577">
      <formula>$B197="Solicitado"</formula>
    </cfRule>
    <cfRule type="expression" dxfId="134" priority="45578">
      <formula>$B197="Arribado"</formula>
    </cfRule>
  </conditionalFormatting>
  <conditionalFormatting sqref="M199:N200">
    <cfRule type="expression" dxfId="148" priority="139">
      <formula>$B199="TCP"</formula>
    </cfRule>
    <cfRule type="expression" dxfId="147" priority="140">
      <formula>$B199="Inesar"</formula>
    </cfRule>
    <cfRule type="expression" dxfId="146" priority="141">
      <formula>$B199="U-Log"</formula>
    </cfRule>
    <cfRule type="expression" dxfId="145" priority="142">
      <formula>$B199="Liberado"</formula>
    </cfRule>
    <cfRule type="expression" dxfId="143" priority="143">
      <formula>$B199="Chile"</formula>
    </cfRule>
    <cfRule type="expression" dxfId="143" priority="144">
      <formula>$B199="Mar"</formula>
    </cfRule>
    <cfRule type="expression" dxfId="138" priority="145">
      <formula>$B199="Tierra"</formula>
    </cfRule>
    <cfRule type="expression" dxfId="139" priority="146">
      <formula>$B199="Puerto"</formula>
    </cfRule>
    <cfRule type="expression" dxfId="70" priority="147">
      <formula>$B199="Descargado"</formula>
    </cfRule>
    <cfRule type="expression" dxfId="139" priority="148">
      <formula>$B199="Frontera"</formula>
    </cfRule>
    <cfRule type="expression" dxfId="138" priority="149">
      <formula>$B199="Cargado"</formula>
    </cfRule>
    <cfRule type="expression" dxfId="72" priority="150">
      <formula>$B199="Cancelado"</formula>
    </cfRule>
    <cfRule type="expression" dxfId="0" priority="151">
      <formula>$B199="Confirmado"</formula>
    </cfRule>
    <cfRule type="expression" dxfId="135" priority="152">
      <formula>$B199="Solicitado"</formula>
    </cfRule>
    <cfRule type="expression" dxfId="134" priority="153">
      <formula>$B199="Arribado"</formula>
    </cfRule>
  </conditionalFormatting>
  <conditionalFormatting sqref="N197:S197">
    <cfRule type="expression" dxfId="148" priority="35603">
      <formula>$B197="TCP"</formula>
    </cfRule>
    <cfRule type="expression" dxfId="147" priority="35604">
      <formula>$B197="Inesar"</formula>
    </cfRule>
    <cfRule type="expression" dxfId="146" priority="35605">
      <formula>$B197="U-Log"</formula>
    </cfRule>
    <cfRule type="expression" dxfId="145" priority="35606">
      <formula>$B197="Liberado"</formula>
    </cfRule>
    <cfRule type="expression" dxfId="143" priority="35607">
      <formula>$B197="Chile"</formula>
    </cfRule>
    <cfRule type="expression" dxfId="143" priority="35608">
      <formula>$B197="Mar"</formula>
    </cfRule>
    <cfRule type="expression" dxfId="138" priority="35609">
      <formula>$B197="Tierra"</formula>
    </cfRule>
    <cfRule type="expression" dxfId="139" priority="35610">
      <formula>$B197="Puerto"</formula>
    </cfRule>
    <cfRule type="expression" dxfId="70" priority="35611">
      <formula>$B197="Descargado"</formula>
    </cfRule>
    <cfRule type="expression" dxfId="139" priority="35612">
      <formula>$B197="Frontera"</formula>
    </cfRule>
    <cfRule type="expression" dxfId="138" priority="35613">
      <formula>$B197="Cargado"</formula>
    </cfRule>
    <cfRule type="expression" dxfId="72" priority="35614">
      <formula>$B197="Cancelado"</formula>
    </cfRule>
    <cfRule type="expression" dxfId="0" priority="35615">
      <formula>$B197="Confirmado"</formula>
    </cfRule>
    <cfRule type="expression" dxfId="135" priority="35616">
      <formula>$B197="Solicitado"</formula>
    </cfRule>
    <cfRule type="expression" dxfId="134" priority="35617">
      <formula>$B197="Arribado"</formula>
    </cfRule>
  </conditionalFormatting>
  <conditionalFormatting sqref="N197:S198">
    <cfRule type="expression" dxfId="148" priority="45684">
      <formula>$B197="TCP"</formula>
    </cfRule>
    <cfRule type="expression" dxfId="147" priority="45685">
      <formula>$B197="Inesar"</formula>
    </cfRule>
    <cfRule type="expression" dxfId="146" priority="45686">
      <formula>$B197="U-Log"</formula>
    </cfRule>
    <cfRule type="expression" dxfId="145" priority="45687">
      <formula>$B197="Liberado"</formula>
    </cfRule>
    <cfRule type="expression" dxfId="143" priority="45688">
      <formula>$B197="Chile"</formula>
    </cfRule>
    <cfRule type="expression" dxfId="143" priority="45689">
      <formula>$B197="Mar"</formula>
    </cfRule>
    <cfRule type="expression" dxfId="138" priority="45690">
      <formula>$B197="Tierra"</formula>
    </cfRule>
    <cfRule type="expression" dxfId="139" priority="45691">
      <formula>$B197="Puerto"</formula>
    </cfRule>
    <cfRule type="expression" dxfId="70" priority="45692">
      <formula>$B197="Descargado"</formula>
    </cfRule>
    <cfRule type="expression" dxfId="139" priority="45693">
      <formula>$B197="Frontera"</formula>
    </cfRule>
    <cfRule type="expression" dxfId="138" priority="45694">
      <formula>$B197="Cargado"</formula>
    </cfRule>
    <cfRule type="expression" dxfId="72" priority="45695">
      <formula>$B197="Cancelado"</formula>
    </cfRule>
    <cfRule type="expression" dxfId="0" priority="45696">
      <formula>$B197="Confirmado"</formula>
    </cfRule>
    <cfRule type="expression" dxfId="135" priority="45697">
      <formula>$B197="Solicitado"</formula>
    </cfRule>
    <cfRule type="expression" dxfId="134" priority="45698">
      <formula>$B197="Arribado"</formula>
    </cfRule>
  </conditionalFormatting>
  <conditionalFormatting sqref="N199:S200">
    <cfRule type="expression" dxfId="148" priority="259">
      <formula>$B199="TCP"</formula>
    </cfRule>
    <cfRule type="expression" dxfId="147" priority="260">
      <formula>$B199="Inesar"</formula>
    </cfRule>
    <cfRule type="expression" dxfId="146" priority="261">
      <formula>$B199="U-Log"</formula>
    </cfRule>
    <cfRule type="expression" dxfId="145" priority="262">
      <formula>$B199="Liberado"</formula>
    </cfRule>
    <cfRule type="expression" dxfId="143" priority="263">
      <formula>$B199="Chile"</formula>
    </cfRule>
    <cfRule type="expression" dxfId="143" priority="264">
      <formula>$B199="Mar"</formula>
    </cfRule>
    <cfRule type="expression" dxfId="138" priority="265">
      <formula>$B199="Tierra"</formula>
    </cfRule>
    <cfRule type="expression" dxfId="139" priority="266">
      <formula>$B199="Puerto"</formula>
    </cfRule>
    <cfRule type="expression" dxfId="70" priority="267">
      <formula>$B199="Descargado"</formula>
    </cfRule>
    <cfRule type="expression" dxfId="139" priority="268">
      <formula>$B199="Frontera"</formula>
    </cfRule>
    <cfRule type="expression" dxfId="138" priority="269">
      <formula>$B199="Cargado"</formula>
    </cfRule>
    <cfRule type="expression" dxfId="72" priority="270">
      <formula>$B199="Cancelado"</formula>
    </cfRule>
    <cfRule type="expression" dxfId="0" priority="271">
      <formula>$B199="Confirmado"</formula>
    </cfRule>
    <cfRule type="expression" dxfId="135" priority="272">
      <formula>$B199="Solicitado"</formula>
    </cfRule>
    <cfRule type="expression" dxfId="134" priority="273">
      <formula>$B199="Arribado"</formula>
    </cfRule>
  </conditionalFormatting>
  <conditionalFormatting sqref="N196:X196">
    <cfRule type="expression" dxfId="148" priority="35243">
      <formula>$B196="TCP"</formula>
    </cfRule>
    <cfRule type="expression" dxfId="147" priority="35244">
      <formula>$B196="Inesar"</formula>
    </cfRule>
    <cfRule type="expression" dxfId="146" priority="35245">
      <formula>$B196="U-Log"</formula>
    </cfRule>
    <cfRule type="expression" dxfId="145" priority="35246">
      <formula>$B196="Liberado"</formula>
    </cfRule>
    <cfRule type="expression" dxfId="143" priority="35247">
      <formula>$B196="Chile"</formula>
    </cfRule>
    <cfRule type="expression" dxfId="143" priority="35248">
      <formula>$B196="Mar"</formula>
    </cfRule>
    <cfRule type="expression" dxfId="138" priority="35249">
      <formula>$B196="Tierra"</formula>
    </cfRule>
    <cfRule type="expression" dxfId="139" priority="35250">
      <formula>$B196="Puerto"</formula>
    </cfRule>
    <cfRule type="expression" dxfId="70" priority="35251">
      <formula>$B196="Descargado"</formula>
    </cfRule>
    <cfRule type="expression" dxfId="139" priority="35252">
      <formula>$B196="Frontera"</formula>
    </cfRule>
    <cfRule type="expression" dxfId="138" priority="35253">
      <formula>$B196="Cargado"</formula>
    </cfRule>
    <cfRule type="expression" dxfId="72" priority="35254">
      <formula>$B196="Cancelado"</formula>
    </cfRule>
    <cfRule type="expression" dxfId="0" priority="35255">
      <formula>$B196="Confirmado"</formula>
    </cfRule>
    <cfRule type="expression" dxfId="135" priority="35256">
      <formula>$B196="Solicitado"</formula>
    </cfRule>
    <cfRule type="expression" dxfId="134" priority="35257">
      <formula>$B196="Arribado"</formula>
    </cfRule>
  </conditionalFormatting>
  <conditionalFormatting sqref="O197:S197">
    <cfRule type="expression" dxfId="148" priority="35693">
      <formula>$B197="TCP"</formula>
    </cfRule>
    <cfRule type="expression" dxfId="147" priority="35694">
      <formula>$B197="Inesar"</formula>
    </cfRule>
    <cfRule type="expression" dxfId="146" priority="35695">
      <formula>$B197="U-Log"</formula>
    </cfRule>
    <cfRule type="expression" dxfId="145" priority="35696">
      <formula>$B197="Liberado"</formula>
    </cfRule>
    <cfRule type="expression" dxfId="143" priority="35697">
      <formula>$B197="Chile"</formula>
    </cfRule>
    <cfRule type="expression" dxfId="143" priority="35698">
      <formula>$B197="Mar"</formula>
    </cfRule>
    <cfRule type="expression" dxfId="138" priority="35699">
      <formula>$B197="Tierra"</formula>
    </cfRule>
    <cfRule type="expression" dxfId="139" priority="35700">
      <formula>$B197="Puerto"</formula>
    </cfRule>
    <cfRule type="expression" dxfId="70" priority="35701">
      <formula>$B197="Descargado"</formula>
    </cfRule>
    <cfRule type="expression" dxfId="139" priority="35702">
      <formula>$B197="Frontera"</formula>
    </cfRule>
    <cfRule type="expression" dxfId="138" priority="35703">
      <formula>$B197="Cargado"</formula>
    </cfRule>
    <cfRule type="expression" dxfId="72" priority="35704">
      <formula>$B197="Cancelado"</formula>
    </cfRule>
    <cfRule type="expression" dxfId="0" priority="35705">
      <formula>$B197="Confirmado"</formula>
    </cfRule>
    <cfRule type="expression" dxfId="135" priority="35706">
      <formula>$B197="Solicitado"</formula>
    </cfRule>
    <cfRule type="expression" dxfId="134" priority="35707">
      <formula>$B197="Arribado"</formula>
    </cfRule>
  </conditionalFormatting>
  <conditionalFormatting sqref="O199:S200">
    <cfRule type="expression" dxfId="148" priority="379">
      <formula>$B199="TCP"</formula>
    </cfRule>
    <cfRule type="expression" dxfId="147" priority="380">
      <formula>$B199="Inesar"</formula>
    </cfRule>
    <cfRule type="expression" dxfId="146" priority="381">
      <formula>$B199="U-Log"</formula>
    </cfRule>
    <cfRule type="expression" dxfId="145" priority="382">
      <formula>$B199="Liberado"</formula>
    </cfRule>
    <cfRule type="expression" dxfId="143" priority="383">
      <formula>$B199="Chile"</formula>
    </cfRule>
    <cfRule type="expression" dxfId="143" priority="384">
      <formula>$B199="Mar"</formula>
    </cfRule>
    <cfRule type="expression" dxfId="138" priority="385">
      <formula>$B199="Tierra"</formula>
    </cfRule>
    <cfRule type="expression" dxfId="139" priority="386">
      <formula>$B199="Puerto"</formula>
    </cfRule>
    <cfRule type="expression" dxfId="70" priority="387">
      <formula>$B199="Descargado"</formula>
    </cfRule>
    <cfRule type="expression" dxfId="139" priority="388">
      <formula>$B199="Frontera"</formula>
    </cfRule>
    <cfRule type="expression" dxfId="138" priority="389">
      <formula>$B199="Cargado"</formula>
    </cfRule>
    <cfRule type="expression" dxfId="72" priority="390">
      <formula>$B199="Cancelado"</formula>
    </cfRule>
    <cfRule type="expression" dxfId="0" priority="391">
      <formula>$B199="Confirmado"</formula>
    </cfRule>
    <cfRule type="expression" dxfId="135" priority="392">
      <formula>$B199="Solicitado"</formula>
    </cfRule>
    <cfRule type="expression" dxfId="134" priority="393">
      <formula>$B199="Arribado"</formula>
    </cfRule>
  </conditionalFormatting>
  <conditionalFormatting sqref="O1065:S1065">
    <cfRule type="expression" dxfId="148" priority="373182">
      <formula>$B1065="TCP"</formula>
    </cfRule>
    <cfRule type="expression" dxfId="147" priority="373183">
      <formula>$B1065="Inesar"</formula>
    </cfRule>
    <cfRule type="expression" dxfId="146" priority="373184">
      <formula>$B1065="U-Log"</formula>
    </cfRule>
    <cfRule type="expression" dxfId="145" priority="373185">
      <formula>$B1065="Liberado"</formula>
    </cfRule>
    <cfRule type="expression" dxfId="143" priority="373186">
      <formula>$B1065="Chile"</formula>
    </cfRule>
    <cfRule type="expression" dxfId="143" priority="373187">
      <formula>$B1065="Mar"</formula>
    </cfRule>
    <cfRule type="expression" dxfId="138" priority="373188">
      <formula>$B1065="Tierra"</formula>
    </cfRule>
    <cfRule type="expression" dxfId="139" priority="373189">
      <formula>$B1065="Puerto"</formula>
    </cfRule>
    <cfRule type="expression" dxfId="70" priority="373190">
      <formula>$B1065="Descargado"</formula>
    </cfRule>
    <cfRule type="expression" dxfId="139" priority="373191">
      <formula>$B1065="Frontera"</formula>
    </cfRule>
    <cfRule type="expression" dxfId="138" priority="373192">
      <formula>$B1065="Cargado"</formula>
    </cfRule>
    <cfRule type="expression" dxfId="72" priority="373193">
      <formula>$B1065="Cancelado"</formula>
    </cfRule>
    <cfRule type="expression" dxfId="0" priority="373194">
      <formula>$B1065="Confirmado"</formula>
    </cfRule>
    <cfRule type="expression" dxfId="135" priority="373195">
      <formula>$B1065="Solicitado"</formula>
    </cfRule>
    <cfRule type="expression" dxfId="134" priority="373196">
      <formula>$B1065="Arribado"</formula>
    </cfRule>
  </conditionalFormatting>
  <conditionalFormatting sqref="O196:W196">
    <cfRule type="expression" dxfId="148" priority="35378">
      <formula>$B196="TCP"</formula>
    </cfRule>
    <cfRule type="expression" dxfId="147" priority="35379">
      <formula>$B196="Inesar"</formula>
    </cfRule>
    <cfRule type="expression" dxfId="146" priority="35380">
      <formula>$B196="U-Log"</formula>
    </cfRule>
    <cfRule type="expression" dxfId="145" priority="35381">
      <formula>$B196="Liberado"</formula>
    </cfRule>
    <cfRule type="expression" dxfId="143" priority="35382">
      <formula>$B196="Chile"</formula>
    </cfRule>
    <cfRule type="expression" dxfId="143" priority="35383">
      <formula>$B196="Mar"</formula>
    </cfRule>
    <cfRule type="expression" dxfId="138" priority="35384">
      <formula>$B196="Tierra"</formula>
    </cfRule>
    <cfRule type="expression" dxfId="139" priority="35385">
      <formula>$B196="Puerto"</formula>
    </cfRule>
    <cfRule type="expression" dxfId="70" priority="35386">
      <formula>$B196="Descargado"</formula>
    </cfRule>
    <cfRule type="expression" dxfId="139" priority="35387">
      <formula>$B196="Frontera"</formula>
    </cfRule>
    <cfRule type="expression" dxfId="138" priority="35388">
      <formula>$B196="Cargado"</formula>
    </cfRule>
    <cfRule type="expression" dxfId="72" priority="35389">
      <formula>$B196="Cancelado"</formula>
    </cfRule>
    <cfRule type="expression" dxfId="0" priority="35390">
      <formula>$B196="Confirmado"</formula>
    </cfRule>
    <cfRule type="expression" dxfId="135" priority="35391">
      <formula>$B196="Solicitado"</formula>
    </cfRule>
    <cfRule type="expression" dxfId="134" priority="35392">
      <formula>$B196="Arribado"</formula>
    </cfRule>
  </conditionalFormatting>
  <conditionalFormatting sqref="O197:W198">
    <cfRule type="expression" dxfId="148" priority="45759">
      <formula>$B197="TCP"</formula>
    </cfRule>
    <cfRule type="expression" dxfId="147" priority="45760">
      <formula>$B197="Inesar"</formula>
    </cfRule>
    <cfRule type="expression" dxfId="146" priority="45761">
      <formula>$B197="U-Log"</formula>
    </cfRule>
    <cfRule type="expression" dxfId="145" priority="45762">
      <formula>$B197="Liberado"</formula>
    </cfRule>
    <cfRule type="expression" dxfId="143" priority="45763">
      <formula>$B197="Chile"</formula>
    </cfRule>
    <cfRule type="expression" dxfId="143" priority="45764">
      <formula>$B197="Mar"</formula>
    </cfRule>
    <cfRule type="expression" dxfId="138" priority="45765">
      <formula>$B197="Tierra"</formula>
    </cfRule>
    <cfRule type="expression" dxfId="139" priority="45766">
      <formula>$B197="Puerto"</formula>
    </cfRule>
    <cfRule type="expression" dxfId="70" priority="45767">
      <formula>$B197="Descargado"</formula>
    </cfRule>
    <cfRule type="expression" dxfId="139" priority="45768">
      <formula>$B197="Frontera"</formula>
    </cfRule>
    <cfRule type="expression" dxfId="138" priority="45769">
      <formula>$B197="Cargado"</formula>
    </cfRule>
    <cfRule type="expression" dxfId="72" priority="45770">
      <formula>$B197="Cancelado"</formula>
    </cfRule>
    <cfRule type="expression" dxfId="0" priority="45771">
      <formula>$B197="Confirmado"</formula>
    </cfRule>
    <cfRule type="expression" dxfId="135" priority="45772">
      <formula>$B197="Solicitado"</formula>
    </cfRule>
    <cfRule type="expression" dxfId="134" priority="45773">
      <formula>$B197="Arribado"</formula>
    </cfRule>
  </conditionalFormatting>
  <conditionalFormatting sqref="T197:W200">
    <cfRule type="expression" dxfId="148" priority="45819">
      <formula>$B197="TCP"</formula>
    </cfRule>
    <cfRule type="expression" dxfId="147" priority="45820">
      <formula>$B197="Inesar"</formula>
    </cfRule>
    <cfRule type="expression" dxfId="146" priority="45821">
      <formula>$B197="U-Log"</formula>
    </cfRule>
    <cfRule type="expression" dxfId="145" priority="45822">
      <formula>$B197="Liberado"</formula>
    </cfRule>
    <cfRule type="expression" dxfId="143" priority="45823">
      <formula>$B197="Chile"</formula>
    </cfRule>
    <cfRule type="expression" dxfId="143" priority="45824">
      <formula>$B197="Mar"</formula>
    </cfRule>
    <cfRule type="expression" dxfId="138" priority="45825">
      <formula>$B197="Tierra"</formula>
    </cfRule>
    <cfRule type="expression" dxfId="139" priority="45826">
      <formula>$B197="Puerto"</formula>
    </cfRule>
    <cfRule type="expression" dxfId="70" priority="45827">
      <formula>$B197="Descargado"</formula>
    </cfRule>
    <cfRule type="expression" dxfId="139" priority="45828">
      <formula>$B197="Frontera"</formula>
    </cfRule>
    <cfRule type="expression" dxfId="138" priority="45829">
      <formula>$B197="Cargado"</formula>
    </cfRule>
    <cfRule type="expression" dxfId="72" priority="45830">
      <formula>$B197="Cancelado"</formula>
    </cfRule>
    <cfRule type="expression" dxfId="0" priority="45831">
      <formula>$B197="Confirmado"</formula>
    </cfRule>
    <cfRule type="expression" dxfId="135" priority="45832">
      <formula>$B197="Solicitado"</formula>
    </cfRule>
    <cfRule type="expression" dxfId="134" priority="45833">
      <formula>$B197="Arribado"</formula>
    </cfRule>
  </conditionalFormatting>
  <conditionalFormatting sqref="X196:X197">
    <cfRule type="expression" dxfId="148" priority="35273">
      <formula>$B196="TCP"</formula>
    </cfRule>
    <cfRule type="expression" dxfId="147" priority="35274">
      <formula>$B196="Inesar"</formula>
    </cfRule>
    <cfRule type="expression" dxfId="146" priority="35275">
      <formula>$B196="U-Log"</formula>
    </cfRule>
    <cfRule type="expression" dxfId="145" priority="35276">
      <formula>$B196="Liberado"</formula>
    </cfRule>
    <cfRule type="expression" dxfId="143" priority="35277">
      <formula>$B196="Chile"</formula>
    </cfRule>
    <cfRule type="expression" dxfId="143" priority="35278">
      <formula>$B196="Mar"</formula>
    </cfRule>
    <cfRule type="expression" dxfId="138" priority="35279">
      <formula>$B196="Tierra"</formula>
    </cfRule>
    <cfRule type="expression" dxfId="139" priority="35280">
      <formula>$B196="Puerto"</formula>
    </cfRule>
    <cfRule type="expression" dxfId="70" priority="35281">
      <formula>$B196="Descargado"</formula>
    </cfRule>
    <cfRule type="expression" dxfId="139" priority="35282">
      <formula>$B196="Frontera"</formula>
    </cfRule>
    <cfRule type="expression" dxfId="138" priority="35283">
      <formula>$B196="Cargado"</formula>
    </cfRule>
    <cfRule type="expression" dxfId="72" priority="35284">
      <formula>$B196="Cancelado"</formula>
    </cfRule>
    <cfRule type="expression" dxfId="0" priority="35285">
      <formula>$B196="Confirmado"</formula>
    </cfRule>
    <cfRule type="expression" dxfId="135" priority="35286">
      <formula>$B196="Solicitado"</formula>
    </cfRule>
    <cfRule type="expression" dxfId="134" priority="35287">
      <formula>$B196="Arribado"</formula>
    </cfRule>
  </conditionalFormatting>
  <conditionalFormatting sqref="X197">
    <cfRule type="expression" dxfId="148" priority="35588">
      <formula>$B197="TCP"</formula>
    </cfRule>
    <cfRule type="expression" dxfId="147" priority="35589">
      <formula>$B197="Inesar"</formula>
    </cfRule>
    <cfRule type="expression" dxfId="146" priority="35590">
      <formula>$B197="U-Log"</formula>
    </cfRule>
    <cfRule type="expression" dxfId="145" priority="35591">
      <formula>$B197="Liberado"</formula>
    </cfRule>
    <cfRule type="expression" dxfId="143" priority="35592">
      <formula>$B197="Chile"</formula>
    </cfRule>
    <cfRule type="expression" dxfId="143" priority="35593">
      <formula>$B197="Mar"</formula>
    </cfRule>
    <cfRule type="expression" dxfId="138" priority="35594">
      <formula>$B197="Tierra"</formula>
    </cfRule>
    <cfRule type="expression" dxfId="139" priority="35595">
      <formula>$B197="Puerto"</formula>
    </cfRule>
    <cfRule type="expression" dxfId="70" priority="35596">
      <formula>$B197="Descargado"</formula>
    </cfRule>
    <cfRule type="expression" dxfId="139" priority="35597">
      <formula>$B197="Frontera"</formula>
    </cfRule>
    <cfRule type="expression" dxfId="138" priority="35598">
      <formula>$B197="Cargado"</formula>
    </cfRule>
    <cfRule type="expression" dxfId="72" priority="35599">
      <formula>$B197="Cancelado"</formula>
    </cfRule>
    <cfRule type="expression" dxfId="0" priority="35600">
      <formula>$B197="Confirmado"</formula>
    </cfRule>
    <cfRule type="expression" dxfId="135" priority="35601">
      <formula>$B197="Solicitado"</formula>
    </cfRule>
    <cfRule type="expression" dxfId="134" priority="35602">
      <formula>$B197="Arribado"</formula>
    </cfRule>
  </conditionalFormatting>
  <conditionalFormatting sqref="X197:X198">
    <cfRule type="expression" dxfId="148" priority="45639">
      <formula>$B197="TCP"</formula>
    </cfRule>
    <cfRule type="expression" dxfId="147" priority="45640">
      <formula>$B197="Inesar"</formula>
    </cfRule>
    <cfRule type="expression" dxfId="146" priority="45641">
      <formula>$B197="U-Log"</formula>
    </cfRule>
    <cfRule type="expression" dxfId="145" priority="45642">
      <formula>$B197="Liberado"</formula>
    </cfRule>
    <cfRule type="expression" dxfId="143" priority="45643">
      <formula>$B197="Chile"</formula>
    </cfRule>
    <cfRule type="expression" dxfId="143" priority="45644">
      <formula>$B197="Mar"</formula>
    </cfRule>
    <cfRule type="expression" dxfId="138" priority="45645">
      <formula>$B197="Tierra"</formula>
    </cfRule>
    <cfRule type="expression" dxfId="139" priority="45646">
      <formula>$B197="Puerto"</formula>
    </cfRule>
    <cfRule type="expression" dxfId="70" priority="45647">
      <formula>$B197="Descargado"</formula>
    </cfRule>
    <cfRule type="expression" dxfId="139" priority="45648">
      <formula>$B197="Frontera"</formula>
    </cfRule>
    <cfRule type="expression" dxfId="138" priority="45649">
      <formula>$B197="Cargado"</formula>
    </cfRule>
    <cfRule type="expression" dxfId="72" priority="45650">
      <formula>$B197="Cancelado"</formula>
    </cfRule>
    <cfRule type="expression" dxfId="0" priority="45651">
      <formula>$B197="Confirmado"</formula>
    </cfRule>
    <cfRule type="expression" dxfId="135" priority="45652">
      <formula>$B197="Solicitado"</formula>
    </cfRule>
    <cfRule type="expression" dxfId="134" priority="45653">
      <formula>$B197="Arribado"</formula>
    </cfRule>
    <cfRule type="expression" dxfId="148" priority="45669">
      <formula>$B197="TCP"</formula>
    </cfRule>
    <cfRule type="expression" dxfId="147" priority="45670">
      <formula>$B197="Inesar"</formula>
    </cfRule>
    <cfRule type="expression" dxfId="146" priority="45671">
      <formula>$B197="U-Log"</formula>
    </cfRule>
    <cfRule type="expression" dxfId="145" priority="45672">
      <formula>$B197="Liberado"</formula>
    </cfRule>
    <cfRule type="expression" dxfId="143" priority="45673">
      <formula>$B197="Chile"</formula>
    </cfRule>
    <cfRule type="expression" dxfId="143" priority="45674">
      <formula>$B197="Mar"</formula>
    </cfRule>
    <cfRule type="expression" dxfId="138" priority="45675">
      <formula>$B197="Tierra"</formula>
    </cfRule>
    <cfRule type="expression" dxfId="139" priority="45676">
      <formula>$B197="Puerto"</formula>
    </cfRule>
    <cfRule type="expression" dxfId="70" priority="45677">
      <formula>$B197="Descargado"</formula>
    </cfRule>
    <cfRule type="expression" dxfId="139" priority="45678">
      <formula>$B197="Frontera"</formula>
    </cfRule>
    <cfRule type="expression" dxfId="138" priority="45679">
      <formula>$B197="Cargado"</formula>
    </cfRule>
    <cfRule type="expression" dxfId="72" priority="45680">
      <formula>$B197="Cancelado"</formula>
    </cfRule>
    <cfRule type="expression" dxfId="0" priority="45681">
      <formula>$B197="Confirmado"</formula>
    </cfRule>
    <cfRule type="expression" dxfId="135" priority="45682">
      <formula>$B197="Solicitado"</formula>
    </cfRule>
    <cfRule type="expression" dxfId="134" priority="45683">
      <formula>$B197="Arribado"</formula>
    </cfRule>
  </conditionalFormatting>
  <conditionalFormatting sqref="X199:X200">
    <cfRule type="expression" dxfId="148" priority="214">
      <formula>$B199="TCP"</formula>
    </cfRule>
    <cfRule type="expression" dxfId="147" priority="215">
      <formula>$B199="Inesar"</formula>
    </cfRule>
    <cfRule type="expression" dxfId="146" priority="216">
      <formula>$B199="U-Log"</formula>
    </cfRule>
    <cfRule type="expression" dxfId="145" priority="217">
      <formula>$B199="Liberado"</formula>
    </cfRule>
    <cfRule type="expression" dxfId="143" priority="218">
      <formula>$B199="Chile"</formula>
    </cfRule>
    <cfRule type="expression" dxfId="143" priority="219">
      <formula>$B199="Mar"</formula>
    </cfRule>
    <cfRule type="expression" dxfId="138" priority="220">
      <formula>$B199="Tierra"</formula>
    </cfRule>
    <cfRule type="expression" dxfId="139" priority="221">
      <formula>$B199="Puerto"</formula>
    </cfRule>
    <cfRule type="expression" dxfId="70" priority="222">
      <formula>$B199="Descargado"</formula>
    </cfRule>
    <cfRule type="expression" dxfId="139" priority="223">
      <formula>$B199="Frontera"</formula>
    </cfRule>
    <cfRule type="expression" dxfId="138" priority="224">
      <formula>$B199="Cargado"</formula>
    </cfRule>
    <cfRule type="expression" dxfId="72" priority="225">
      <formula>$B199="Cancelado"</formula>
    </cfRule>
    <cfRule type="expression" dxfId="0" priority="226">
      <formula>$B199="Confirmado"</formula>
    </cfRule>
    <cfRule type="expression" dxfId="135" priority="227">
      <formula>$B199="Solicitado"</formula>
    </cfRule>
    <cfRule type="expression" dxfId="134" priority="228">
      <formula>$B199="Arribado"</formula>
    </cfRule>
    <cfRule type="expression" dxfId="148" priority="244">
      <formula>$B199="TCP"</formula>
    </cfRule>
    <cfRule type="expression" dxfId="147" priority="245">
      <formula>$B199="Inesar"</formula>
    </cfRule>
    <cfRule type="expression" dxfId="146" priority="246">
      <formula>$B199="U-Log"</formula>
    </cfRule>
    <cfRule type="expression" dxfId="145" priority="247">
      <formula>$B199="Liberado"</formula>
    </cfRule>
    <cfRule type="expression" dxfId="143" priority="248">
      <formula>$B199="Chile"</formula>
    </cfRule>
    <cfRule type="expression" dxfId="143" priority="249">
      <formula>$B199="Mar"</formula>
    </cfRule>
    <cfRule type="expression" dxfId="138" priority="250">
      <formula>$B199="Tierra"</formula>
    </cfRule>
    <cfRule type="expression" dxfId="139" priority="251">
      <formula>$B199="Puerto"</formula>
    </cfRule>
    <cfRule type="expression" dxfId="70" priority="252">
      <formula>$B199="Descargado"</formula>
    </cfRule>
    <cfRule type="expression" dxfId="139" priority="253">
      <formula>$B199="Frontera"</formula>
    </cfRule>
    <cfRule type="expression" dxfId="138" priority="254">
      <formula>$B199="Cargado"</formula>
    </cfRule>
    <cfRule type="expression" dxfId="72" priority="255">
      <formula>$B199="Cancelado"</formula>
    </cfRule>
    <cfRule type="expression" dxfId="0" priority="256">
      <formula>$B199="Confirmado"</formula>
    </cfRule>
    <cfRule type="expression" dxfId="135" priority="257">
      <formula>$B199="Solicitado"</formula>
    </cfRule>
    <cfRule type="expression" dxfId="134" priority="258">
      <formula>$B199="Arribado"</formula>
    </cfRule>
  </conditionalFormatting>
  <dataValidations count="2">
    <dataValidation type="list" allowBlank="1" showInputMessage="1" showErrorMessage="1" sqref="B114 B6:B109" xr:uid="{00000000-0002-0000-0000-000000000000}">
      <formula1>Status</formula1>
    </dataValidation>
    <dataValidation type="list" allowBlank="1" showInputMessage="1" showErrorMessage="1" sqref="D114 D6:D109" xr:uid="{00000000-0002-0000-0000-000001000000}">
      <formula1>Productos</formula1>
    </dataValidation>
  </dataValidations>
  <pageMargins left="0.35433070866141736" right="0.35433070866141736" top="9.0500000000000007" bottom="0.32" header="0.31496062992125984" footer="0.31496062992125984"/>
  <pageSetup paperSize="9" scale="17" orientation="portrait" horizontalDpi="300" verticalDpi="300" r:id="rId3"/>
  <headerFooter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F3074A-5B8A-467A-B93C-0629E6EB55C7}">
          <x14:formula1>
            <xm:f>Rangos!$B$5:$B$28</xm:f>
          </x14:formula1>
          <xm:sqref>B115:B1063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N2254"/>
  <sheetViews>
    <sheetView showGridLines="0" workbookViewId="0">
      <pane ySplit="4" topLeftCell="A1877" activePane="bottomLeft" state="frozen"/>
      <selection pane="bottomLeft" activeCell="C2061" sqref="C2061"/>
    </sheetView>
  </sheetViews>
  <sheetFormatPr defaultColWidth="11.42578125" defaultRowHeight="15"/>
  <cols>
    <col min="1" max="1" width="5.140625" customWidth="1"/>
    <col min="2" max="2" width="10.5703125" customWidth="1" style="61"/>
    <col min="3" max="3" width="15.5703125" customWidth="1"/>
    <col min="4" max="4" width="12.42578125" customWidth="1"/>
    <col min="5" max="5" bestFit="1" width="20.7109375" customWidth="1"/>
    <col min="6" max="6" bestFit="1" width="16.85546875" customWidth="1"/>
    <col min="7" max="7" width="20.5703125" customWidth="1"/>
    <col min="8" max="8" width="10.140625" customWidth="1"/>
    <col min="9" max="10" width="9.42578125" customWidth="1"/>
    <col min="11" max="11" width="12.85546875" customWidth="1"/>
    <col min="12" max="12" width="14.5703125" customWidth="1"/>
  </cols>
  <sheetData>
    <row r="2" ht="18.75">
      <c r="B2" s="62" t="s">
        <v>2208</v>
      </c>
    </row>
    <row r="4">
      <c r="B4" s="63" t="s">
        <v>2209</v>
      </c>
      <c r="C4" s="21" t="s">
        <v>2210</v>
      </c>
      <c r="D4" s="21" t="s">
        <v>2211</v>
      </c>
      <c r="E4" s="21" t="s">
        <v>2212</v>
      </c>
      <c r="F4" s="21" t="s">
        <v>15</v>
      </c>
      <c r="G4" s="21" t="s">
        <v>2213</v>
      </c>
      <c r="H4" s="21" t="s">
        <v>2214</v>
      </c>
      <c r="I4" s="21" t="s">
        <v>2194</v>
      </c>
      <c r="J4" s="21" t="s">
        <v>2215</v>
      </c>
      <c r="K4" s="21" t="s">
        <v>2216</v>
      </c>
      <c r="L4" s="22" t="s">
        <v>2217</v>
      </c>
    </row>
    <row r="5" hidden="1" ht="14.25" customHeight="1">
      <c r="B5" s="64">
        <v>43070</v>
      </c>
      <c r="C5" s="9" t="s">
        <v>29</v>
      </c>
      <c r="D5" s="6" t="s">
        <v>29</v>
      </c>
      <c r="E5" s="6" t="s">
        <v>29</v>
      </c>
      <c r="F5" s="6" t="s">
        <v>29</v>
      </c>
      <c r="G5" s="6" t="s">
        <v>29</v>
      </c>
      <c r="H5" s="7">
        <v>1000000</v>
      </c>
      <c r="I5" s="8">
        <f>SUMIF(Cargas!$C$6:$C$1064,C5,Cargas!$O$6:$O$1064)</f>
        <v>8920</v>
      </c>
      <c r="J5" s="17">
        <f ref="J5:J68" t="shared" si="0">IF(ABS(H5-I5)&lt;20,0,H5-I5)</f>
        <v>991080</v>
      </c>
      <c r="K5" s="34" t="s">
        <v>29</v>
      </c>
      <c r="L5" s="34" t="s">
        <v>29</v>
      </c>
    </row>
    <row r="6" hidden="1" ht="15" customHeight="1">
      <c r="B6" s="64">
        <v>43467</v>
      </c>
      <c r="C6" s="9" t="s">
        <v>2218</v>
      </c>
      <c r="D6" s="6" t="s">
        <v>2219</v>
      </c>
      <c r="E6" s="6" t="s">
        <v>2220</v>
      </c>
      <c r="F6" s="6" t="s">
        <v>2221</v>
      </c>
      <c r="G6" s="6" t="s">
        <v>2222</v>
      </c>
      <c r="H6" s="7">
        <v>4320</v>
      </c>
      <c r="I6" s="8">
        <f>SUMIF(Cargas!$C$6:$C$1064,C6,Cargas!$O$6:$O$1064)</f>
        <v>0</v>
      </c>
      <c r="J6" s="17">
        <f t="shared" si="0"/>
        <v>4320</v>
      </c>
      <c r="K6" s="46">
        <v>1340207</v>
      </c>
      <c r="L6" s="34">
        <v>20347</v>
      </c>
    </row>
    <row r="7" hidden="1">
      <c r="B7" s="64">
        <v>43469</v>
      </c>
      <c r="C7" s="9" t="s">
        <v>2223</v>
      </c>
      <c r="D7" s="6" t="s">
        <v>2224</v>
      </c>
      <c r="E7" s="6" t="s">
        <v>2225</v>
      </c>
      <c r="F7" s="6" t="s">
        <v>2226</v>
      </c>
      <c r="G7" s="6" t="s">
        <v>2227</v>
      </c>
      <c r="H7" s="7">
        <v>1680</v>
      </c>
      <c r="I7" s="8">
        <f>SUMIF(Cargas!$C$6:$C$1064,C7,Cargas!$O$6:$O$1064)</f>
        <v>0</v>
      </c>
      <c r="J7" s="17">
        <f t="shared" si="0"/>
        <v>1680</v>
      </c>
      <c r="K7" s="34">
        <v>1340204</v>
      </c>
      <c r="L7" s="34">
        <v>11187</v>
      </c>
    </row>
    <row r="8" hidden="1">
      <c r="B8" s="64">
        <v>43469</v>
      </c>
      <c r="C8" s="9" t="s">
        <v>2228</v>
      </c>
      <c r="D8" s="6" t="s">
        <v>2229</v>
      </c>
      <c r="E8" s="6" t="s">
        <v>2230</v>
      </c>
      <c r="F8" s="6" t="s">
        <v>2221</v>
      </c>
      <c r="G8" s="6" t="s">
        <v>2222</v>
      </c>
      <c r="H8" s="7">
        <v>2310</v>
      </c>
      <c r="I8" s="8">
        <f>SUMIF(Cargas!$C$6:$C$1064,C8,Cargas!$O$6:$O$1064)</f>
        <v>0</v>
      </c>
      <c r="J8" s="17">
        <f t="shared" si="0"/>
        <v>2310</v>
      </c>
      <c r="K8" s="34">
        <v>1339959</v>
      </c>
      <c r="L8" s="34">
        <v>20998</v>
      </c>
    </row>
    <row r="9" hidden="1" ht="14.25" customHeight="1">
      <c r="B9" s="64">
        <v>43470</v>
      </c>
      <c r="C9" s="9" t="s">
        <v>2231</v>
      </c>
      <c r="D9" s="6" t="s">
        <v>2232</v>
      </c>
      <c r="E9" s="6" t="s">
        <v>2233</v>
      </c>
      <c r="F9" s="6" t="s">
        <v>2226</v>
      </c>
      <c r="G9" s="6" t="s">
        <v>2227</v>
      </c>
      <c r="H9" s="7">
        <f>1050*3</f>
        <v>3150</v>
      </c>
      <c r="I9" s="8">
        <f>SUMIF(Cargas!$C$6:$C$1064,C9,Cargas!$O$6:$O$1064)</f>
        <v>0</v>
      </c>
      <c r="J9" s="17">
        <f t="shared" si="0"/>
        <v>3150</v>
      </c>
      <c r="K9" s="34">
        <v>1340205</v>
      </c>
      <c r="L9" s="34">
        <v>11029</v>
      </c>
    </row>
    <row r="10" hidden="1" ht="14.25" customHeight="1">
      <c r="B10" s="64">
        <v>43471</v>
      </c>
      <c r="C10" s="9" t="s">
        <v>2234</v>
      </c>
      <c r="D10" s="6" t="s">
        <v>993</v>
      </c>
      <c r="E10" s="6" t="s">
        <v>2233</v>
      </c>
      <c r="F10" s="6" t="s">
        <v>2221</v>
      </c>
      <c r="G10" s="6" t="s">
        <v>2222</v>
      </c>
      <c r="H10" s="7">
        <v>3240</v>
      </c>
      <c r="I10" s="8">
        <f>SUMIF(Cargas!$C$6:$C$1064,C10,Cargas!$O$6:$O$1064)</f>
        <v>0</v>
      </c>
      <c r="J10" s="17">
        <f t="shared" si="0"/>
        <v>3240</v>
      </c>
      <c r="K10" s="46">
        <v>1340206</v>
      </c>
      <c r="L10" s="34">
        <v>24801</v>
      </c>
    </row>
    <row r="11" hidden="1">
      <c r="B11" s="64">
        <v>43474</v>
      </c>
      <c r="C11" s="9" t="s">
        <v>2235</v>
      </c>
      <c r="D11" s="6" t="s">
        <v>2236</v>
      </c>
      <c r="E11" s="6" t="s">
        <v>2220</v>
      </c>
      <c r="F11" s="6" t="s">
        <v>2221</v>
      </c>
      <c r="G11" s="6" t="s">
        <v>2222</v>
      </c>
      <c r="H11" s="7">
        <v>4320</v>
      </c>
      <c r="I11" s="8">
        <f>SUMIF(Cargas!$C$6:$C$1064,C11,Cargas!$O$6:$O$1064)</f>
        <v>0</v>
      </c>
      <c r="J11" s="17">
        <f t="shared" si="0"/>
        <v>4320</v>
      </c>
      <c r="K11" s="46">
        <v>1340380</v>
      </c>
      <c r="L11" s="34">
        <v>24807</v>
      </c>
    </row>
    <row r="12" hidden="1">
      <c r="B12" s="64">
        <v>43476</v>
      </c>
      <c r="C12" s="9" t="s">
        <v>2237</v>
      </c>
      <c r="D12" s="6" t="s">
        <v>2238</v>
      </c>
      <c r="E12" s="6" t="s">
        <v>2220</v>
      </c>
      <c r="F12" s="6" t="s">
        <v>2221</v>
      </c>
      <c r="G12" s="6" t="s">
        <v>2222</v>
      </c>
      <c r="H12" s="7">
        <v>4320</v>
      </c>
      <c r="I12" s="8">
        <f>SUMIF(Cargas!$C$6:$C$1064,C12,Cargas!$O$6:$O$1064)</f>
        <v>0</v>
      </c>
      <c r="J12" s="17">
        <f t="shared" si="0"/>
        <v>4320</v>
      </c>
      <c r="K12" s="46">
        <v>1340597</v>
      </c>
      <c r="L12" s="34">
        <v>15575</v>
      </c>
    </row>
    <row r="13" hidden="1">
      <c r="B13" s="64">
        <v>43476</v>
      </c>
      <c r="C13" s="9" t="s">
        <v>2239</v>
      </c>
      <c r="D13" s="6" t="s">
        <v>2240</v>
      </c>
      <c r="E13" s="6" t="s">
        <v>2233</v>
      </c>
      <c r="F13" s="6" t="s">
        <v>2226</v>
      </c>
      <c r="G13" s="6" t="s">
        <v>2227</v>
      </c>
      <c r="H13" s="7">
        <f>1050*3</f>
        <v>3150</v>
      </c>
      <c r="I13" s="8">
        <f>SUMIF(Cargas!$C$6:$C$1064,C13,Cargas!$O$6:$O$1064)</f>
        <v>0</v>
      </c>
      <c r="J13" s="17">
        <f t="shared" si="0"/>
        <v>3150</v>
      </c>
      <c r="K13" s="34">
        <v>1340379</v>
      </c>
      <c r="L13" s="34">
        <v>13790</v>
      </c>
    </row>
    <row r="14" hidden="1">
      <c r="B14" s="64">
        <v>43478</v>
      </c>
      <c r="C14" s="9" t="s">
        <v>2241</v>
      </c>
      <c r="D14" s="6" t="s">
        <v>2242</v>
      </c>
      <c r="E14" s="6" t="s">
        <v>2233</v>
      </c>
      <c r="F14" s="6" t="s">
        <v>2221</v>
      </c>
      <c r="G14" s="6" t="s">
        <v>2222</v>
      </c>
      <c r="H14" s="7">
        <v>3240</v>
      </c>
      <c r="I14" s="8">
        <f>SUMIF(Cargas!$C$6:$C$1064,C14,Cargas!$O$6:$O$1064)</f>
        <v>0</v>
      </c>
      <c r="J14" s="17">
        <f t="shared" si="0"/>
        <v>3240</v>
      </c>
      <c r="K14" s="46">
        <v>1340378</v>
      </c>
      <c r="L14" s="34">
        <v>24806</v>
      </c>
    </row>
    <row r="15" hidden="1">
      <c r="B15" s="64">
        <v>43481</v>
      </c>
      <c r="C15" s="9" t="s">
        <v>2243</v>
      </c>
      <c r="D15" s="6" t="s">
        <v>2244</v>
      </c>
      <c r="E15" s="6" t="s">
        <v>2220</v>
      </c>
      <c r="F15" s="6" t="s">
        <v>2221</v>
      </c>
      <c r="G15" s="6" t="s">
        <v>2222</v>
      </c>
      <c r="H15" s="7">
        <v>4320</v>
      </c>
      <c r="I15" s="8">
        <f>SUMIF(Cargas!$C$6:$C$1064,C15,Cargas!$O$6:$O$1064)</f>
        <v>0</v>
      </c>
      <c r="J15" s="17">
        <f t="shared" si="0"/>
        <v>4320</v>
      </c>
      <c r="K15" s="46">
        <v>1340797</v>
      </c>
      <c r="L15" s="34">
        <v>32387</v>
      </c>
    </row>
    <row r="16" hidden="1">
      <c r="B16" s="64">
        <v>43483</v>
      </c>
      <c r="C16" s="9" t="s">
        <v>2245</v>
      </c>
      <c r="D16" s="6" t="s">
        <v>2246</v>
      </c>
      <c r="E16" s="6" t="s">
        <v>2225</v>
      </c>
      <c r="F16" s="6" t="s">
        <v>2226</v>
      </c>
      <c r="G16" s="6" t="s">
        <v>2227</v>
      </c>
      <c r="H16" s="7">
        <v>1680</v>
      </c>
      <c r="I16" s="8">
        <f>SUMIF(Cargas!$C$6:$C$1064,C16,Cargas!$O$6:$O$1064)</f>
        <v>0</v>
      </c>
      <c r="J16" s="17">
        <f t="shared" si="0"/>
        <v>1680</v>
      </c>
      <c r="K16" s="34">
        <v>1340798</v>
      </c>
      <c r="L16" s="34">
        <v>18364</v>
      </c>
    </row>
    <row r="17" hidden="1">
      <c r="B17" s="64">
        <v>43483</v>
      </c>
      <c r="C17" s="9" t="s">
        <v>2247</v>
      </c>
      <c r="D17" s="6" t="s">
        <v>2248</v>
      </c>
      <c r="E17" s="6" t="s">
        <v>2233</v>
      </c>
      <c r="F17" s="6" t="s">
        <v>2226</v>
      </c>
      <c r="G17" s="6" t="s">
        <v>2227</v>
      </c>
      <c r="H17" s="7">
        <f>1050*3</f>
        <v>3150</v>
      </c>
      <c r="I17" s="8">
        <f>SUMIF(Cargas!$C$6:$C$1064,C17,Cargas!$O$6:$O$1064)</f>
        <v>0</v>
      </c>
      <c r="J17" s="17">
        <f t="shared" si="0"/>
        <v>3150</v>
      </c>
      <c r="K17" s="34">
        <v>1340795</v>
      </c>
      <c r="L17" s="34">
        <v>18328</v>
      </c>
    </row>
    <row r="18" hidden="1">
      <c r="B18" s="64">
        <v>43485</v>
      </c>
      <c r="C18" s="9" t="s">
        <v>2249</v>
      </c>
      <c r="D18" s="6" t="s">
        <v>2250</v>
      </c>
      <c r="E18" s="6" t="s">
        <v>2233</v>
      </c>
      <c r="F18" s="6" t="s">
        <v>2221</v>
      </c>
      <c r="G18" s="6" t="s">
        <v>2222</v>
      </c>
      <c r="H18" s="7">
        <v>3240</v>
      </c>
      <c r="I18" s="8">
        <f>SUMIF(Cargas!$C$6:$C$1064,C18,Cargas!$O$6:$O$1064)</f>
        <v>0</v>
      </c>
      <c r="J18" s="17">
        <f t="shared" si="0"/>
        <v>3240</v>
      </c>
      <c r="K18" s="46">
        <v>1340796</v>
      </c>
      <c r="L18" s="34">
        <v>32469</v>
      </c>
    </row>
    <row r="19" hidden="1">
      <c r="B19" s="64">
        <v>43487</v>
      </c>
      <c r="C19" s="9" t="s">
        <v>2251</v>
      </c>
      <c r="D19" s="6" t="s">
        <v>2252</v>
      </c>
      <c r="E19" s="6" t="s">
        <v>2230</v>
      </c>
      <c r="F19" s="6" t="s">
        <v>2221</v>
      </c>
      <c r="G19" s="6" t="s">
        <v>2222</v>
      </c>
      <c r="H19" s="7">
        <v>2310</v>
      </c>
      <c r="I19" s="8">
        <f>SUMIF(Cargas!$C$6:$C$1064,C19,Cargas!$O$6:$O$1064)</f>
        <v>0</v>
      </c>
      <c r="J19" s="17">
        <f t="shared" si="0"/>
        <v>2310</v>
      </c>
      <c r="K19" s="34">
        <v>1341046</v>
      </c>
      <c r="L19" s="34">
        <v>30805</v>
      </c>
    </row>
    <row r="20" hidden="1">
      <c r="B20" s="64">
        <v>43488</v>
      </c>
      <c r="C20" s="9" t="s">
        <v>2253</v>
      </c>
      <c r="D20" s="6" t="s">
        <v>2254</v>
      </c>
      <c r="E20" s="6" t="s">
        <v>2220</v>
      </c>
      <c r="F20" s="6" t="s">
        <v>2221</v>
      </c>
      <c r="G20" s="6" t="s">
        <v>2222</v>
      </c>
      <c r="H20" s="7">
        <v>4320</v>
      </c>
      <c r="I20" s="8">
        <f>SUMIF(Cargas!$C$6:$C$1064,C20,Cargas!$O$6:$O$1064)</f>
        <v>0</v>
      </c>
      <c r="J20" s="17">
        <f t="shared" si="0"/>
        <v>4320</v>
      </c>
      <c r="K20" s="46">
        <v>1341132</v>
      </c>
      <c r="L20" s="34">
        <v>32564</v>
      </c>
    </row>
    <row r="21" hidden="1">
      <c r="B21" s="64">
        <v>43489</v>
      </c>
      <c r="C21" s="9" t="s">
        <v>2255</v>
      </c>
      <c r="D21" s="6" t="s">
        <v>2256</v>
      </c>
      <c r="E21" s="6" t="s">
        <v>2257</v>
      </c>
      <c r="F21" s="6" t="s">
        <v>2226</v>
      </c>
      <c r="G21" s="6" t="s">
        <v>2258</v>
      </c>
      <c r="H21" s="7">
        <v>2392</v>
      </c>
      <c r="I21" s="8">
        <f>SUMIF(Cargas!$C$6:$C$1064,C21,Cargas!$O$6:$O$1064)</f>
        <v>0</v>
      </c>
      <c r="J21" s="17">
        <f t="shared" si="0"/>
        <v>2392</v>
      </c>
      <c r="K21" s="34">
        <v>1341457</v>
      </c>
      <c r="L21" s="34">
        <v>15522</v>
      </c>
    </row>
    <row r="22" hidden="1">
      <c r="B22" s="64">
        <v>43491</v>
      </c>
      <c r="C22" s="9" t="s">
        <v>2259</v>
      </c>
      <c r="D22" s="6" t="s">
        <v>2260</v>
      </c>
      <c r="E22" s="6" t="s">
        <v>2233</v>
      </c>
      <c r="F22" s="6" t="s">
        <v>2226</v>
      </c>
      <c r="G22" s="6" t="s">
        <v>2227</v>
      </c>
      <c r="H22" s="7">
        <f>1050*3</f>
        <v>3150</v>
      </c>
      <c r="I22" s="8">
        <f>SUMIF(Cargas!$C$6:$C$1064,C22,Cargas!$O$6:$O$1064)</f>
        <v>0</v>
      </c>
      <c r="J22" s="17">
        <f t="shared" si="0"/>
        <v>3150</v>
      </c>
      <c r="K22" s="34">
        <v>1341130</v>
      </c>
      <c r="L22" s="34">
        <v>22607</v>
      </c>
    </row>
    <row r="23" hidden="1">
      <c r="B23" s="64">
        <v>43491</v>
      </c>
      <c r="C23" s="9" t="s">
        <v>2261</v>
      </c>
      <c r="D23" s="6" t="s">
        <v>2262</v>
      </c>
      <c r="E23" s="6" t="s">
        <v>2233</v>
      </c>
      <c r="F23" s="6" t="s">
        <v>2226</v>
      </c>
      <c r="G23" s="6" t="s">
        <v>2227</v>
      </c>
      <c r="H23" s="7">
        <f>1050*3</f>
        <v>3150</v>
      </c>
      <c r="I23" s="8">
        <f>SUMIF(Cargas!$C$6:$C$1064,C23,Cargas!$O$6:$O$1064)</f>
        <v>0</v>
      </c>
      <c r="J23" s="17">
        <f t="shared" si="0"/>
        <v>3150</v>
      </c>
      <c r="K23" s="34">
        <v>1341639</v>
      </c>
      <c r="L23" s="34">
        <v>27591</v>
      </c>
    </row>
    <row r="24" hidden="1">
      <c r="B24" s="64">
        <v>43492</v>
      </c>
      <c r="C24" s="9" t="s">
        <v>2263</v>
      </c>
      <c r="D24" s="6" t="s">
        <v>2264</v>
      </c>
      <c r="E24" s="6" t="s">
        <v>2233</v>
      </c>
      <c r="F24" s="6" t="s">
        <v>2221</v>
      </c>
      <c r="G24" s="6" t="s">
        <v>2222</v>
      </c>
      <c r="H24" s="7">
        <v>3240</v>
      </c>
      <c r="I24" s="8">
        <f>SUMIF(Cargas!$C$6:$C$1064,C24,Cargas!$O$6:$O$1064)</f>
        <v>0</v>
      </c>
      <c r="J24" s="17">
        <f t="shared" si="0"/>
        <v>3240</v>
      </c>
      <c r="K24" s="46">
        <v>1341131</v>
      </c>
      <c r="L24" s="34">
        <v>32638</v>
      </c>
    </row>
    <row r="25" hidden="1">
      <c r="B25" s="64">
        <v>43495</v>
      </c>
      <c r="C25" s="9" t="s">
        <v>2265</v>
      </c>
      <c r="D25" s="6" t="s">
        <v>2266</v>
      </c>
      <c r="E25" s="6" t="s">
        <v>2220</v>
      </c>
      <c r="F25" s="6" t="s">
        <v>2221</v>
      </c>
      <c r="G25" s="6" t="s">
        <v>2222</v>
      </c>
      <c r="H25" s="7">
        <v>4320</v>
      </c>
      <c r="I25" s="8">
        <f>SUMIF(Cargas!$C$6:$C$1064,C25,Cargas!$O$6:$O$1064)</f>
        <v>0</v>
      </c>
      <c r="J25" s="17">
        <f t="shared" si="0"/>
        <v>4320</v>
      </c>
      <c r="K25" s="46">
        <v>1341367</v>
      </c>
      <c r="L25" s="34">
        <v>37222</v>
      </c>
    </row>
    <row r="26" hidden="1">
      <c r="B26" s="64">
        <v>43498</v>
      </c>
      <c r="C26" s="9" t="s">
        <v>2267</v>
      </c>
      <c r="D26" s="6" t="s">
        <v>2268</v>
      </c>
      <c r="E26" s="6" t="s">
        <v>2225</v>
      </c>
      <c r="F26" s="6" t="s">
        <v>2226</v>
      </c>
      <c r="G26" s="6" t="s">
        <v>2227</v>
      </c>
      <c r="H26" s="7">
        <v>1680</v>
      </c>
      <c r="I26" s="8">
        <f>SUMIF(Cargas!$C$6:$C$1064,C26,Cargas!$O$6:$O$1064)</f>
        <v>0</v>
      </c>
      <c r="J26" s="17">
        <f t="shared" si="0"/>
        <v>1680</v>
      </c>
      <c r="K26" s="46">
        <v>1341640</v>
      </c>
      <c r="L26" s="34">
        <v>27614</v>
      </c>
    </row>
    <row r="27" hidden="1">
      <c r="B27" s="64">
        <v>43499</v>
      </c>
      <c r="C27" s="9" t="s">
        <v>2269</v>
      </c>
      <c r="D27" s="6" t="s">
        <v>2270</v>
      </c>
      <c r="E27" s="6" t="s">
        <v>2233</v>
      </c>
      <c r="F27" s="6" t="s">
        <v>2221</v>
      </c>
      <c r="G27" s="6" t="s">
        <v>2222</v>
      </c>
      <c r="H27" s="7">
        <v>3240</v>
      </c>
      <c r="I27" s="8">
        <f>SUMIF(Cargas!$C$6:$C$1064,C27,Cargas!$O$6:$O$1064)</f>
        <v>0</v>
      </c>
      <c r="J27" s="17">
        <f t="shared" si="0"/>
        <v>3240</v>
      </c>
      <c r="K27" s="46">
        <v>1341639</v>
      </c>
      <c r="L27" s="34">
        <v>37223</v>
      </c>
    </row>
    <row r="28" hidden="1">
      <c r="B28" s="64">
        <v>43502</v>
      </c>
      <c r="C28" s="9" t="s">
        <v>2271</v>
      </c>
      <c r="D28" s="6" t="s">
        <v>2272</v>
      </c>
      <c r="E28" s="6" t="s">
        <v>2220</v>
      </c>
      <c r="F28" s="6" t="s">
        <v>2221</v>
      </c>
      <c r="G28" s="6" t="s">
        <v>2222</v>
      </c>
      <c r="H28" s="7">
        <v>4320</v>
      </c>
      <c r="I28" s="8">
        <f>SUMIF(Cargas!$C$6:$C$1064,C28,Cargas!$O$6:$O$1064)</f>
        <v>0</v>
      </c>
      <c r="J28" s="17">
        <f t="shared" si="0"/>
        <v>4320</v>
      </c>
      <c r="K28" s="46">
        <v>1342093</v>
      </c>
      <c r="L28" s="34">
        <v>40102</v>
      </c>
    </row>
    <row r="29" hidden="1">
      <c r="B29" s="64">
        <v>43505</v>
      </c>
      <c r="C29" s="9" t="s">
        <v>2273</v>
      </c>
      <c r="D29" s="6" t="s">
        <v>2274</v>
      </c>
      <c r="E29" s="6" t="s">
        <v>2225</v>
      </c>
      <c r="F29" s="6" t="s">
        <v>2226</v>
      </c>
      <c r="G29" s="6" t="s">
        <v>2227</v>
      </c>
      <c r="H29" s="7">
        <v>1680</v>
      </c>
      <c r="I29" s="8">
        <f>SUMIF(Cargas!$C$6:$C$1064,C29,Cargas!$O$6:$O$1064)</f>
        <v>0</v>
      </c>
      <c r="J29" s="17">
        <f t="shared" si="0"/>
        <v>1680</v>
      </c>
      <c r="K29" s="46">
        <v>1342366</v>
      </c>
      <c r="L29" s="34">
        <v>31734</v>
      </c>
    </row>
    <row r="30" hidden="1">
      <c r="B30" s="64">
        <v>43505</v>
      </c>
      <c r="C30" s="9" t="s">
        <v>2275</v>
      </c>
      <c r="D30" s="6" t="s">
        <v>2276</v>
      </c>
      <c r="E30" s="6" t="s">
        <v>2233</v>
      </c>
      <c r="F30" s="6" t="s">
        <v>2226</v>
      </c>
      <c r="G30" s="6" t="s">
        <v>2277</v>
      </c>
      <c r="H30" s="7">
        <f>1050*3</f>
        <v>3150</v>
      </c>
      <c r="I30" s="8">
        <f>SUMIF(Cargas!$C$6:$C$1064,C30,Cargas!$O$6:$O$1064)</f>
        <v>0</v>
      </c>
      <c r="J30" s="17">
        <f t="shared" si="0"/>
        <v>3150</v>
      </c>
      <c r="K30" s="34">
        <v>1342091</v>
      </c>
      <c r="L30" s="34">
        <v>30897</v>
      </c>
    </row>
    <row r="31" hidden="1">
      <c r="B31" s="64">
        <v>43506</v>
      </c>
      <c r="C31" s="9" t="s">
        <v>2278</v>
      </c>
      <c r="D31" s="6" t="s">
        <v>2279</v>
      </c>
      <c r="E31" s="6" t="s">
        <v>2233</v>
      </c>
      <c r="F31" s="6" t="s">
        <v>2221</v>
      </c>
      <c r="G31" s="6" t="s">
        <v>2222</v>
      </c>
      <c r="H31" s="7">
        <v>3240</v>
      </c>
      <c r="I31" s="8">
        <f>SUMIF(Cargas!$C$6:$C$1064,C31,Cargas!$O$6:$O$1064)</f>
        <v>0</v>
      </c>
      <c r="J31" s="17">
        <f t="shared" si="0"/>
        <v>3240</v>
      </c>
      <c r="K31" s="46">
        <v>1342092</v>
      </c>
      <c r="L31" s="34">
        <v>40758</v>
      </c>
    </row>
    <row r="32" hidden="1">
      <c r="B32" s="64">
        <v>43508</v>
      </c>
      <c r="C32" s="9" t="s">
        <v>2280</v>
      </c>
      <c r="D32" s="6" t="s">
        <v>2281</v>
      </c>
      <c r="E32" s="6" t="s">
        <v>2257</v>
      </c>
      <c r="F32" s="6" t="s">
        <v>2226</v>
      </c>
      <c r="G32" s="6" t="s">
        <v>2282</v>
      </c>
      <c r="H32" s="7">
        <v>2288</v>
      </c>
      <c r="I32" s="8">
        <f>SUMIF(Cargas!$C$6:$C$1064,C32,Cargas!$O$6:$O$1064)</f>
        <v>0</v>
      </c>
      <c r="J32" s="17">
        <f t="shared" si="0"/>
        <v>2288</v>
      </c>
      <c r="K32" s="34" t="s">
        <v>2283</v>
      </c>
      <c r="L32" s="34">
        <v>27521</v>
      </c>
    </row>
    <row r="33" hidden="1">
      <c r="B33" s="64">
        <v>43509</v>
      </c>
      <c r="C33" s="9" t="s">
        <v>2284</v>
      </c>
      <c r="D33" s="6" t="s">
        <v>2285</v>
      </c>
      <c r="E33" s="6" t="s">
        <v>2220</v>
      </c>
      <c r="F33" s="6" t="s">
        <v>2221</v>
      </c>
      <c r="G33" s="6" t="s">
        <v>2222</v>
      </c>
      <c r="H33" s="7">
        <v>4320</v>
      </c>
      <c r="I33" s="8">
        <f>SUMIF(Cargas!$C$6:$C$1064,C33,Cargas!$O$6:$O$1064)</f>
        <v>0</v>
      </c>
      <c r="J33" s="17">
        <f t="shared" si="0"/>
        <v>4320</v>
      </c>
      <c r="K33" s="46">
        <v>1342522</v>
      </c>
      <c r="L33" s="34">
        <v>45635</v>
      </c>
    </row>
    <row r="34" hidden="1">
      <c r="B34" s="64">
        <v>43512</v>
      </c>
      <c r="C34" s="9" t="s">
        <v>2286</v>
      </c>
      <c r="D34" s="6" t="s">
        <v>2287</v>
      </c>
      <c r="E34" s="6" t="s">
        <v>2233</v>
      </c>
      <c r="F34" s="6" t="s">
        <v>2226</v>
      </c>
      <c r="G34" s="6" t="s">
        <v>2227</v>
      </c>
      <c r="H34" s="7">
        <f>1050*3</f>
        <v>3150</v>
      </c>
      <c r="I34" s="8">
        <f>SUMIF(Cargas!$C$6:$C$1064,C34,Cargas!$O$6:$O$1064)</f>
        <v>0</v>
      </c>
      <c r="J34" s="17">
        <f t="shared" si="0"/>
        <v>3150</v>
      </c>
      <c r="K34" s="34">
        <v>1342520</v>
      </c>
      <c r="L34" s="34">
        <v>36590</v>
      </c>
    </row>
    <row r="35" hidden="1">
      <c r="B35" s="64">
        <v>43513</v>
      </c>
      <c r="C35" s="9" t="s">
        <v>2288</v>
      </c>
      <c r="D35" s="6" t="s">
        <v>2289</v>
      </c>
      <c r="E35" s="6" t="s">
        <v>2233</v>
      </c>
      <c r="F35" s="6" t="s">
        <v>2221</v>
      </c>
      <c r="G35" s="6" t="s">
        <v>2222</v>
      </c>
      <c r="H35" s="7">
        <v>3240</v>
      </c>
      <c r="I35" s="8">
        <f>SUMIF(Cargas!$C$6:$C$1064,C35,Cargas!$O$6:$O$1064)</f>
        <v>0</v>
      </c>
      <c r="J35" s="17">
        <f t="shared" si="0"/>
        <v>3240</v>
      </c>
      <c r="K35" s="46">
        <v>1342521</v>
      </c>
      <c r="L35" s="34">
        <v>45552</v>
      </c>
    </row>
    <row r="36" hidden="1">
      <c r="B36" s="64">
        <v>43516</v>
      </c>
      <c r="C36" s="9" t="s">
        <v>2290</v>
      </c>
      <c r="D36" s="6" t="s">
        <v>2291</v>
      </c>
      <c r="E36" s="6" t="s">
        <v>2220</v>
      </c>
      <c r="F36" s="6" t="s">
        <v>2221</v>
      </c>
      <c r="G36" s="6" t="s">
        <v>2222</v>
      </c>
      <c r="H36" s="7">
        <v>4320</v>
      </c>
      <c r="I36" s="8">
        <f>SUMIF(Cargas!$C$6:$C$1064,C36,Cargas!$O$6:$O$1064)</f>
        <v>0</v>
      </c>
      <c r="J36" s="17">
        <f t="shared" si="0"/>
        <v>4320</v>
      </c>
      <c r="K36" s="46">
        <v>1342951</v>
      </c>
      <c r="L36" s="34">
        <v>54829</v>
      </c>
    </row>
    <row r="37" hidden="1">
      <c r="B37" s="64">
        <v>43519</v>
      </c>
      <c r="C37" s="9" t="s">
        <v>2292</v>
      </c>
      <c r="D37" s="6" t="s">
        <v>2293</v>
      </c>
      <c r="E37" s="6" t="s">
        <v>2225</v>
      </c>
      <c r="F37" s="6" t="s">
        <v>2226</v>
      </c>
      <c r="G37" s="6" t="s">
        <v>2277</v>
      </c>
      <c r="H37" s="7">
        <v>1680</v>
      </c>
      <c r="I37" s="8">
        <f>SUMIF(Cargas!$C$6:$C$1064,C37,Cargas!$O$6:$O$1064)</f>
        <v>0</v>
      </c>
      <c r="J37" s="17">
        <f t="shared" si="0"/>
        <v>1680</v>
      </c>
      <c r="K37" s="46">
        <v>1342952</v>
      </c>
      <c r="L37" s="34">
        <v>38751</v>
      </c>
    </row>
    <row r="38" hidden="1">
      <c r="B38" s="64">
        <v>43519</v>
      </c>
      <c r="C38" s="9" t="s">
        <v>2294</v>
      </c>
      <c r="D38" s="6" t="s">
        <v>2295</v>
      </c>
      <c r="E38" s="6" t="s">
        <v>2220</v>
      </c>
      <c r="F38" s="6" t="s">
        <v>2226</v>
      </c>
      <c r="G38" s="6" t="s">
        <v>2282</v>
      </c>
      <c r="H38" s="7">
        <v>2160</v>
      </c>
      <c r="I38" s="8">
        <f>SUMIF(Cargas!$C$6:$C$1064,C38,Cargas!$O$6:$O$1064)</f>
        <v>0</v>
      </c>
      <c r="J38" s="17">
        <f t="shared" si="0"/>
        <v>2160</v>
      </c>
      <c r="K38" s="46">
        <v>1343036</v>
      </c>
      <c r="L38" s="34">
        <v>38214</v>
      </c>
    </row>
    <row r="39" hidden="1">
      <c r="B39" s="64">
        <v>43519</v>
      </c>
      <c r="C39" s="9" t="s">
        <v>2296</v>
      </c>
      <c r="D39" s="6" t="s">
        <v>2297</v>
      </c>
      <c r="E39" s="6" t="s">
        <v>2233</v>
      </c>
      <c r="F39" s="6" t="s">
        <v>2226</v>
      </c>
      <c r="G39" s="6" t="s">
        <v>2227</v>
      </c>
      <c r="H39" s="7">
        <f>1050*3</f>
        <v>3150</v>
      </c>
      <c r="I39" s="8">
        <f>SUMIF(Cargas!$C$6:$C$1064,C39,Cargas!$O$6:$O$1064)</f>
        <v>0</v>
      </c>
      <c r="J39" s="17">
        <f t="shared" si="0"/>
        <v>3150</v>
      </c>
      <c r="K39" s="34">
        <v>1342950</v>
      </c>
      <c r="L39" s="34">
        <v>38964</v>
      </c>
    </row>
    <row r="40" hidden="1">
      <c r="B40" s="64">
        <v>43520</v>
      </c>
      <c r="C40" s="9" t="s">
        <v>2298</v>
      </c>
      <c r="D40" s="6" t="s">
        <v>2299</v>
      </c>
      <c r="E40" s="6" t="s">
        <v>2233</v>
      </c>
      <c r="F40" s="6" t="s">
        <v>2221</v>
      </c>
      <c r="G40" s="6" t="s">
        <v>2222</v>
      </c>
      <c r="H40" s="7">
        <v>3240</v>
      </c>
      <c r="I40" s="8">
        <f>SUMIF(Cargas!$C$6:$C$1064,C40,Cargas!$O$6:$O$1064)</f>
        <v>0</v>
      </c>
      <c r="J40" s="17">
        <f t="shared" si="0"/>
        <v>3240</v>
      </c>
      <c r="K40" s="46">
        <v>1342949</v>
      </c>
      <c r="L40" s="34">
        <v>59131</v>
      </c>
    </row>
    <row r="41" hidden="1">
      <c r="B41" s="64">
        <v>43525</v>
      </c>
      <c r="C41" s="9" t="s">
        <v>2300</v>
      </c>
      <c r="D41" s="6" t="s">
        <v>2301</v>
      </c>
      <c r="E41" s="6" t="s">
        <v>2257</v>
      </c>
      <c r="F41" s="6" t="s">
        <v>2226</v>
      </c>
      <c r="G41" s="6" t="s">
        <v>2258</v>
      </c>
      <c r="H41" s="7">
        <v>1760</v>
      </c>
      <c r="I41" s="8">
        <f>SUMIF(Cargas!$C$6:$C$1064,C41,Cargas!$O$6:$O$1064)</f>
        <v>0</v>
      </c>
      <c r="J41" s="17">
        <f t="shared" si="0"/>
        <v>1760</v>
      </c>
      <c r="K41" s="34" t="s">
        <v>2302</v>
      </c>
      <c r="L41" s="34">
        <v>37006</v>
      </c>
    </row>
    <row r="42" hidden="1">
      <c r="B42" s="64">
        <v>43526</v>
      </c>
      <c r="C42" s="9" t="s">
        <v>2303</v>
      </c>
      <c r="D42" s="6" t="s">
        <v>2304</v>
      </c>
      <c r="E42" s="6" t="s">
        <v>2225</v>
      </c>
      <c r="F42" s="6" t="s">
        <v>2226</v>
      </c>
      <c r="G42" s="6" t="s">
        <v>2305</v>
      </c>
      <c r="H42" s="7">
        <v>1680</v>
      </c>
      <c r="I42" s="8">
        <f>SUMIF(Cargas!$C$6:$C$1064,C42,Cargas!$O$6:$O$1064)</f>
        <v>0</v>
      </c>
      <c r="J42" s="17">
        <f t="shared" si="0"/>
        <v>1680</v>
      </c>
      <c r="K42" s="46">
        <v>1343319</v>
      </c>
      <c r="L42" s="34">
        <v>44538</v>
      </c>
    </row>
    <row r="43" hidden="1">
      <c r="B43" s="64">
        <v>43526</v>
      </c>
      <c r="C43" s="9" t="s">
        <v>2306</v>
      </c>
      <c r="D43" s="6" t="s">
        <v>2307</v>
      </c>
      <c r="E43" s="6" t="s">
        <v>2220</v>
      </c>
      <c r="F43" s="6" t="s">
        <v>2221</v>
      </c>
      <c r="G43" s="6" t="s">
        <v>2222</v>
      </c>
      <c r="H43" s="7">
        <v>4320</v>
      </c>
      <c r="I43" s="8">
        <f>SUMIF(Cargas!$C$6:$C$1064,C43,Cargas!$O$6:$O$1064)</f>
        <v>0</v>
      </c>
      <c r="J43" s="17">
        <f t="shared" si="0"/>
        <v>4320</v>
      </c>
      <c r="K43" s="46">
        <v>1343314</v>
      </c>
      <c r="L43" s="34">
        <v>54930</v>
      </c>
    </row>
    <row r="44" hidden="1">
      <c r="B44" s="64">
        <v>43526</v>
      </c>
      <c r="C44" s="9" t="s">
        <v>2308</v>
      </c>
      <c r="D44" s="6" t="s">
        <v>2309</v>
      </c>
      <c r="E44" s="6" t="s">
        <v>2220</v>
      </c>
      <c r="F44" s="6" t="s">
        <v>2226</v>
      </c>
      <c r="G44" s="6" t="s">
        <v>2258</v>
      </c>
      <c r="H44" s="7">
        <v>2160</v>
      </c>
      <c r="I44" s="8">
        <f>SUMIF(Cargas!$C$6:$C$1064,C44,Cargas!$O$6:$O$1064)</f>
        <v>0</v>
      </c>
      <c r="J44" s="17">
        <f t="shared" si="0"/>
        <v>2160</v>
      </c>
      <c r="K44" s="46">
        <v>1343370</v>
      </c>
      <c r="L44" s="34">
        <v>43753</v>
      </c>
    </row>
    <row r="45" hidden="1">
      <c r="B45" s="64">
        <v>43526</v>
      </c>
      <c r="C45" s="9" t="s">
        <v>2310</v>
      </c>
      <c r="D45" s="6" t="s">
        <v>2311</v>
      </c>
      <c r="E45" s="6" t="s">
        <v>2233</v>
      </c>
      <c r="F45" s="6" t="s">
        <v>2226</v>
      </c>
      <c r="G45" s="6" t="s">
        <v>2277</v>
      </c>
      <c r="H45" s="7">
        <f>1050*3</f>
        <v>3150</v>
      </c>
      <c r="I45" s="8">
        <f>SUMIF(Cargas!$C$6:$C$1064,C45,Cargas!$O$6:$O$1064)</f>
        <v>0</v>
      </c>
      <c r="J45" s="17">
        <f t="shared" si="0"/>
        <v>3150</v>
      </c>
      <c r="K45" s="34">
        <v>1343317</v>
      </c>
      <c r="L45" s="34">
        <v>43720</v>
      </c>
    </row>
    <row r="46" hidden="1">
      <c r="B46" s="64">
        <v>43527</v>
      </c>
      <c r="C46" s="9" t="s">
        <v>2312</v>
      </c>
      <c r="D46" s="6" t="s">
        <v>2313</v>
      </c>
      <c r="E46" s="6" t="s">
        <v>2233</v>
      </c>
      <c r="F46" s="6" t="s">
        <v>2221</v>
      </c>
      <c r="G46" s="6" t="s">
        <v>2222</v>
      </c>
      <c r="H46" s="7">
        <v>3240</v>
      </c>
      <c r="I46" s="8">
        <f>SUMIF(Cargas!$C$6:$C$1064,C46,Cargas!$O$6:$O$1064)</f>
        <v>0</v>
      </c>
      <c r="J46" s="17">
        <f t="shared" si="0"/>
        <v>3240</v>
      </c>
      <c r="K46" s="46">
        <v>1343316</v>
      </c>
      <c r="L46" s="34">
        <v>54866</v>
      </c>
    </row>
    <row r="47" hidden="1">
      <c r="B47" s="64">
        <v>43530</v>
      </c>
      <c r="C47" s="9" t="s">
        <v>2314</v>
      </c>
      <c r="D47" s="6" t="s">
        <v>2315</v>
      </c>
      <c r="E47" s="6" t="s">
        <v>2316</v>
      </c>
      <c r="F47" s="6" t="s">
        <v>978</v>
      </c>
      <c r="G47" s="6" t="s">
        <v>2317</v>
      </c>
      <c r="H47" s="7">
        <v>1000</v>
      </c>
      <c r="I47" s="8">
        <f>SUMIF(Cargas!$C$6:$C$1064,C47,Cargas!$O$6:$O$1064)</f>
        <v>0</v>
      </c>
      <c r="J47" s="17">
        <f t="shared" si="0"/>
        <v>1000</v>
      </c>
      <c r="K47" s="34">
        <v>1343700</v>
      </c>
      <c r="L47" s="34">
        <v>44348</v>
      </c>
    </row>
    <row r="48" hidden="1">
      <c r="B48" s="64">
        <v>43530</v>
      </c>
      <c r="C48" s="9" t="s">
        <v>2318</v>
      </c>
      <c r="D48" s="6" t="s">
        <v>2319</v>
      </c>
      <c r="E48" s="6" t="s">
        <v>2220</v>
      </c>
      <c r="F48" s="6" t="s">
        <v>2221</v>
      </c>
      <c r="G48" s="6" t="s">
        <v>2222</v>
      </c>
      <c r="H48" s="7">
        <v>4320</v>
      </c>
      <c r="I48" s="8">
        <f>SUMIF(Cargas!$C$6:$C$1064,C48,Cargas!$O$6:$O$1064)</f>
        <v>0</v>
      </c>
      <c r="J48" s="17">
        <f t="shared" si="0"/>
        <v>4320</v>
      </c>
      <c r="K48" s="46">
        <v>1343599</v>
      </c>
      <c r="L48" s="34">
        <v>59135</v>
      </c>
    </row>
    <row r="49" hidden="1">
      <c r="B49" s="64">
        <v>43533</v>
      </c>
      <c r="C49" s="9" t="s">
        <v>2320</v>
      </c>
      <c r="D49" s="6" t="s">
        <v>2321</v>
      </c>
      <c r="E49" s="6" t="s">
        <v>2316</v>
      </c>
      <c r="F49" s="6" t="s">
        <v>978</v>
      </c>
      <c r="G49" s="6" t="s">
        <v>2317</v>
      </c>
      <c r="H49" s="7">
        <v>1000</v>
      </c>
      <c r="I49" s="8">
        <f>SUMIF(Cargas!$C$6:$C$1064,C49,Cargas!$O$6:$O$1064)</f>
        <v>0</v>
      </c>
      <c r="J49" s="17">
        <f t="shared" si="0"/>
        <v>1000</v>
      </c>
      <c r="K49" s="34">
        <v>1344748</v>
      </c>
      <c r="L49" s="34">
        <v>51096</v>
      </c>
    </row>
    <row r="50" hidden="1">
      <c r="B50" s="64">
        <v>43533</v>
      </c>
      <c r="C50" s="9" t="s">
        <v>2322</v>
      </c>
      <c r="D50" s="6" t="s">
        <v>2323</v>
      </c>
      <c r="E50" s="6" t="s">
        <v>2225</v>
      </c>
      <c r="F50" s="6" t="s">
        <v>2226</v>
      </c>
      <c r="G50" s="6" t="s">
        <v>2227</v>
      </c>
      <c r="H50" s="7">
        <v>1680</v>
      </c>
      <c r="I50" s="8">
        <f>SUMIF(Cargas!$C$6:$C$1064,C50,Cargas!$O$6:$O$1064)</f>
        <v>0</v>
      </c>
      <c r="J50" s="17">
        <f t="shared" si="0"/>
        <v>1680</v>
      </c>
      <c r="K50" s="46">
        <v>1343875</v>
      </c>
      <c r="L50" s="34">
        <v>54190</v>
      </c>
    </row>
    <row r="51" hidden="1">
      <c r="B51" s="64">
        <v>43533</v>
      </c>
      <c r="C51" s="9" t="s">
        <v>2324</v>
      </c>
      <c r="D51" s="6" t="s">
        <v>2325</v>
      </c>
      <c r="E51" s="6" t="s">
        <v>2220</v>
      </c>
      <c r="F51" s="6" t="s">
        <v>2226</v>
      </c>
      <c r="G51" s="6" t="s">
        <v>2258</v>
      </c>
      <c r="H51" s="7">
        <v>4320</v>
      </c>
      <c r="I51" s="8">
        <f>SUMIF(Cargas!$C$6:$C$1064,C51,Cargas!$O$6:$O$1064)</f>
        <v>0</v>
      </c>
      <c r="J51" s="17">
        <f t="shared" si="0"/>
        <v>4320</v>
      </c>
      <c r="K51" s="46">
        <v>1343598</v>
      </c>
      <c r="L51" s="34">
        <v>48424</v>
      </c>
    </row>
    <row r="52" hidden="1">
      <c r="B52" s="64">
        <v>43533</v>
      </c>
      <c r="C52" s="9" t="s">
        <v>2326</v>
      </c>
      <c r="D52" s="6" t="s">
        <v>2327</v>
      </c>
      <c r="E52" s="6" t="s">
        <v>2233</v>
      </c>
      <c r="F52" s="6" t="s">
        <v>2226</v>
      </c>
      <c r="G52" s="6" t="s">
        <v>2227</v>
      </c>
      <c r="H52" s="7">
        <v>2100</v>
      </c>
      <c r="I52" s="8">
        <f>SUMIF(Cargas!$C$6:$C$1064,C52,Cargas!$O$6:$O$1064)</f>
        <v>0</v>
      </c>
      <c r="J52" s="17">
        <f t="shared" si="0"/>
        <v>2100</v>
      </c>
      <c r="K52" s="34">
        <v>1343601</v>
      </c>
      <c r="L52" s="34">
        <v>47459</v>
      </c>
    </row>
    <row r="53" hidden="1">
      <c r="B53" s="64">
        <v>43534</v>
      </c>
      <c r="C53" s="9" t="s">
        <v>2328</v>
      </c>
      <c r="D53" s="6" t="s">
        <v>2329</v>
      </c>
      <c r="E53" s="6" t="s">
        <v>2233</v>
      </c>
      <c r="F53" s="6" t="s">
        <v>2221</v>
      </c>
      <c r="G53" s="6" t="s">
        <v>2222</v>
      </c>
      <c r="H53" s="7">
        <v>3240</v>
      </c>
      <c r="I53" s="8">
        <f>SUMIF(Cargas!$C$6:$C$1064,C53,Cargas!$O$6:$O$1064)</f>
        <v>0</v>
      </c>
      <c r="J53" s="17">
        <f t="shared" si="0"/>
        <v>3240</v>
      </c>
      <c r="K53" s="46">
        <v>1343600</v>
      </c>
      <c r="L53" s="34">
        <v>59133</v>
      </c>
    </row>
    <row r="54" hidden="1">
      <c r="B54" s="64">
        <v>43537</v>
      </c>
      <c r="C54" s="9" t="s">
        <v>2330</v>
      </c>
      <c r="D54" s="6" t="s">
        <v>2331</v>
      </c>
      <c r="E54" s="6" t="s">
        <v>2220</v>
      </c>
      <c r="F54" s="6" t="s">
        <v>2221</v>
      </c>
      <c r="G54" s="6" t="s">
        <v>2222</v>
      </c>
      <c r="H54" s="7">
        <v>4320</v>
      </c>
      <c r="I54" s="8">
        <f>SUMIF(Cargas!$C$6:$C$1064,C54,Cargas!$O$6:$O$1064)</f>
        <v>0</v>
      </c>
      <c r="J54" s="17">
        <f t="shared" si="0"/>
        <v>4320</v>
      </c>
      <c r="K54" s="46">
        <v>1343872</v>
      </c>
      <c r="L54" s="34">
        <v>62901</v>
      </c>
    </row>
    <row r="55" hidden="1">
      <c r="B55" s="64">
        <v>43541</v>
      </c>
      <c r="C55" s="9" t="s">
        <v>2332</v>
      </c>
      <c r="D55" s="6" t="s">
        <v>2333</v>
      </c>
      <c r="E55" s="6" t="s">
        <v>2233</v>
      </c>
      <c r="F55" s="6" t="s">
        <v>2221</v>
      </c>
      <c r="G55" s="6" t="s">
        <v>2222</v>
      </c>
      <c r="H55" s="7">
        <v>3240</v>
      </c>
      <c r="I55" s="8">
        <f>SUMIF(Cargas!$C$6:$C$1064,C55,Cargas!$O$6:$O$1064)</f>
        <v>0</v>
      </c>
      <c r="J55" s="17">
        <f t="shared" si="0"/>
        <v>3240</v>
      </c>
      <c r="K55" s="46">
        <v>1343874</v>
      </c>
      <c r="L55" s="34">
        <v>63024</v>
      </c>
    </row>
    <row r="56" hidden="1">
      <c r="B56" s="64">
        <v>43544</v>
      </c>
      <c r="C56" s="9" t="s">
        <v>2334</v>
      </c>
      <c r="D56" s="6" t="s">
        <v>2335</v>
      </c>
      <c r="E56" s="6" t="s">
        <v>2220</v>
      </c>
      <c r="F56" s="6" t="s">
        <v>2221</v>
      </c>
      <c r="G56" s="6" t="s">
        <v>2222</v>
      </c>
      <c r="H56" s="7">
        <v>4320</v>
      </c>
      <c r="I56" s="8">
        <f>SUMIF(Cargas!$C$6:$C$1064,C56,Cargas!$O$6:$O$1064)</f>
        <v>0</v>
      </c>
      <c r="J56" s="17">
        <f t="shared" si="0"/>
        <v>4320</v>
      </c>
      <c r="K56" s="46">
        <v>1344185</v>
      </c>
      <c r="L56" s="34">
        <v>65000</v>
      </c>
    </row>
    <row r="57" hidden="1">
      <c r="B57" s="64">
        <v>43548</v>
      </c>
      <c r="C57" s="9" t="s">
        <v>2336</v>
      </c>
      <c r="D57" s="6" t="s">
        <v>2337</v>
      </c>
      <c r="E57" s="6" t="s">
        <v>2233</v>
      </c>
      <c r="F57" s="6" t="s">
        <v>2221</v>
      </c>
      <c r="G57" s="6" t="s">
        <v>2222</v>
      </c>
      <c r="H57" s="7">
        <v>3240</v>
      </c>
      <c r="I57" s="8">
        <f>SUMIF(Cargas!$C$6:$C$1064,C57,Cargas!$O$6:$O$1064)</f>
        <v>0</v>
      </c>
      <c r="J57" s="17">
        <f t="shared" si="0"/>
        <v>3240</v>
      </c>
      <c r="K57" s="46">
        <v>1344183</v>
      </c>
      <c r="L57" s="34">
        <v>65289</v>
      </c>
    </row>
    <row r="58" hidden="1">
      <c r="B58" s="64">
        <v>43548</v>
      </c>
      <c r="C58" s="9" t="s">
        <v>2338</v>
      </c>
      <c r="D58" s="6" t="s">
        <v>2339</v>
      </c>
      <c r="E58" s="6" t="s">
        <v>2233</v>
      </c>
      <c r="F58" s="6" t="s">
        <v>2226</v>
      </c>
      <c r="G58" s="6" t="s">
        <v>2227</v>
      </c>
      <c r="H58" s="7">
        <v>3150</v>
      </c>
      <c r="I58" s="8">
        <f>SUMIF(Cargas!$C$6:$C$1064,C58,Cargas!$O$6:$O$1064)</f>
        <v>0</v>
      </c>
      <c r="J58" s="17">
        <f t="shared" si="0"/>
        <v>3150</v>
      </c>
      <c r="K58" s="34">
        <v>1343873</v>
      </c>
      <c r="L58" s="34">
        <v>57646</v>
      </c>
    </row>
    <row r="59" hidden="1">
      <c r="B59" s="64">
        <v>43548</v>
      </c>
      <c r="C59" s="9" t="s">
        <v>2340</v>
      </c>
      <c r="D59" s="6" t="s">
        <v>2341</v>
      </c>
      <c r="E59" s="6" t="s">
        <v>2233</v>
      </c>
      <c r="F59" s="6" t="s">
        <v>2226</v>
      </c>
      <c r="G59" s="6" t="s">
        <v>2227</v>
      </c>
      <c r="H59" s="7">
        <v>3150</v>
      </c>
      <c r="I59" s="8">
        <f>SUMIF(Cargas!$C$6:$C$1064,C59,Cargas!$O$6:$O$1064)</f>
        <v>0</v>
      </c>
      <c r="J59" s="17">
        <f t="shared" si="0"/>
        <v>3150</v>
      </c>
      <c r="K59" s="34">
        <v>1344184</v>
      </c>
      <c r="L59" s="34">
        <v>57559</v>
      </c>
    </row>
    <row r="60" hidden="1">
      <c r="B60" s="64">
        <v>43550</v>
      </c>
      <c r="C60" s="9" t="s">
        <v>2342</v>
      </c>
      <c r="D60" s="6" t="s">
        <v>962</v>
      </c>
      <c r="E60" s="6" t="s">
        <v>2257</v>
      </c>
      <c r="F60" s="6" t="s">
        <v>2226</v>
      </c>
      <c r="G60" s="6" t="s">
        <v>2282</v>
      </c>
      <c r="H60" s="7">
        <v>1936</v>
      </c>
      <c r="I60" s="8">
        <f>SUMIF(Cargas!$C$6:$C$1064,C60,Cargas!$O$6:$O$1064)</f>
        <v>0</v>
      </c>
      <c r="J60" s="17">
        <f t="shared" si="0"/>
        <v>1936</v>
      </c>
      <c r="K60" s="34">
        <v>1344971</v>
      </c>
      <c r="L60" s="34">
        <v>52073</v>
      </c>
    </row>
    <row r="61" hidden="1">
      <c r="B61" s="64">
        <v>43550</v>
      </c>
      <c r="C61" s="9" t="s">
        <v>2343</v>
      </c>
      <c r="D61" s="6" t="s">
        <v>2344</v>
      </c>
      <c r="E61" s="6" t="s">
        <v>2233</v>
      </c>
      <c r="F61" s="6" t="s">
        <v>2226</v>
      </c>
      <c r="G61" s="6" t="s">
        <v>2227</v>
      </c>
      <c r="H61" s="7">
        <v>1050</v>
      </c>
      <c r="I61" s="8">
        <f>SUMIF(Cargas!$C$6:$C$1064,C61,Cargas!$O$6:$O$1064)</f>
        <v>0</v>
      </c>
      <c r="J61" s="17">
        <f t="shared" si="0"/>
        <v>1050</v>
      </c>
      <c r="K61" s="34">
        <v>1344561</v>
      </c>
      <c r="L61" s="34">
        <v>63694</v>
      </c>
    </row>
    <row r="62" hidden="1">
      <c r="B62" s="64">
        <v>43551</v>
      </c>
      <c r="C62" s="9" t="s">
        <v>2345</v>
      </c>
      <c r="D62" s="6" t="s">
        <v>2346</v>
      </c>
      <c r="E62" s="6" t="s">
        <v>2220</v>
      </c>
      <c r="F62" s="6" t="s">
        <v>2221</v>
      </c>
      <c r="G62" s="6" t="s">
        <v>2222</v>
      </c>
      <c r="H62" s="7">
        <v>4320</v>
      </c>
      <c r="I62" s="8">
        <f>SUMIF(Cargas!$C$6:$C$1064,C62,Cargas!$O$6:$O$1064)</f>
        <v>0</v>
      </c>
      <c r="J62" s="17">
        <f t="shared" si="0"/>
        <v>4320</v>
      </c>
      <c r="K62" s="46">
        <v>1344680</v>
      </c>
      <c r="L62" s="34">
        <v>69946</v>
      </c>
    </row>
    <row r="63" hidden="1">
      <c r="B63" s="64">
        <v>43554</v>
      </c>
      <c r="C63" s="9" t="s">
        <v>2347</v>
      </c>
      <c r="D63" s="6" t="s">
        <v>2348</v>
      </c>
      <c r="E63" s="6" t="s">
        <v>2316</v>
      </c>
      <c r="F63" s="6" t="s">
        <v>978</v>
      </c>
      <c r="G63" s="6" t="s">
        <v>2349</v>
      </c>
      <c r="H63" s="7">
        <v>1000</v>
      </c>
      <c r="I63" s="8">
        <f>SUMIF(Cargas!$C$6:$C$1064,C63,Cargas!$O$6:$O$1064)</f>
        <v>0</v>
      </c>
      <c r="J63" s="17">
        <f t="shared" si="0"/>
        <v>1000</v>
      </c>
      <c r="K63" s="34">
        <v>1345115</v>
      </c>
      <c r="L63" s="34">
        <v>56036</v>
      </c>
    </row>
    <row r="64" hidden="1">
      <c r="B64" s="64">
        <v>43555</v>
      </c>
      <c r="C64" s="9" t="s">
        <v>2350</v>
      </c>
      <c r="D64" s="6" t="s">
        <v>2351</v>
      </c>
      <c r="E64" s="6" t="s">
        <v>2233</v>
      </c>
      <c r="F64" s="6" t="s">
        <v>2221</v>
      </c>
      <c r="G64" s="6" t="s">
        <v>2222</v>
      </c>
      <c r="H64" s="7">
        <v>3240</v>
      </c>
      <c r="I64" s="8">
        <f>SUMIF(Cargas!$C$6:$C$1064,C64,Cargas!$O$6:$O$1064)</f>
        <v>0</v>
      </c>
      <c r="J64" s="17">
        <f t="shared" si="0"/>
        <v>3240</v>
      </c>
      <c r="K64" s="46">
        <v>1344681</v>
      </c>
      <c r="L64" s="34">
        <v>69861</v>
      </c>
    </row>
    <row r="65" hidden="1" ht="26.25">
      <c r="B65" s="64">
        <v>43555</v>
      </c>
      <c r="C65" s="9" t="s">
        <v>2352</v>
      </c>
      <c r="D65" s="6" t="s">
        <v>2353</v>
      </c>
      <c r="E65" s="6" t="s">
        <v>2233</v>
      </c>
      <c r="F65" s="6" t="s">
        <v>2226</v>
      </c>
      <c r="G65" s="6" t="s">
        <v>2277</v>
      </c>
      <c r="H65" s="7">
        <v>3150</v>
      </c>
      <c r="I65" s="8">
        <f>SUMIF(Cargas!$C$6:$C$1064,C65,Cargas!$O$6:$O$1064)</f>
        <v>0</v>
      </c>
      <c r="J65" s="17">
        <f t="shared" si="0"/>
        <v>3150</v>
      </c>
      <c r="K65" s="46" t="s">
        <v>2354</v>
      </c>
      <c r="L65" s="34">
        <v>63757</v>
      </c>
    </row>
    <row r="66" hidden="1">
      <c r="B66" s="64">
        <v>43559</v>
      </c>
      <c r="C66" s="9" t="s">
        <v>2355</v>
      </c>
      <c r="D66" s="6" t="s">
        <v>983</v>
      </c>
      <c r="E66" s="6" t="s">
        <v>2316</v>
      </c>
      <c r="F66" s="6" t="s">
        <v>978</v>
      </c>
      <c r="G66" s="6" t="s">
        <v>2356</v>
      </c>
      <c r="H66" s="7">
        <v>1000</v>
      </c>
      <c r="I66" s="8">
        <f>SUMIF(Cargas!$C$6:$C$1064,C66,Cargas!$O$6:$O$1064)</f>
        <v>0</v>
      </c>
      <c r="J66" s="17">
        <f t="shared" si="0"/>
        <v>1000</v>
      </c>
      <c r="K66" s="34">
        <v>1345415</v>
      </c>
      <c r="L66" s="34">
        <v>58499</v>
      </c>
    </row>
    <row r="67" hidden="1">
      <c r="B67" s="64">
        <v>43559</v>
      </c>
      <c r="C67" s="9" t="s">
        <v>2357</v>
      </c>
      <c r="D67" s="6" t="s">
        <v>2358</v>
      </c>
      <c r="E67" s="6" t="s">
        <v>2316</v>
      </c>
      <c r="F67" s="6" t="s">
        <v>978</v>
      </c>
      <c r="G67" s="6" t="s">
        <v>2359</v>
      </c>
      <c r="H67" s="7">
        <v>1000</v>
      </c>
      <c r="I67" s="8">
        <f>SUMIF(Cargas!$C$6:$C$1064,C67,Cargas!$O$6:$O$1064)</f>
        <v>0</v>
      </c>
      <c r="J67" s="17">
        <f t="shared" si="0"/>
        <v>1000</v>
      </c>
      <c r="K67" s="34">
        <v>1345656</v>
      </c>
      <c r="L67" s="34">
        <v>63855</v>
      </c>
    </row>
    <row r="68" hidden="1">
      <c r="B68" s="64">
        <v>43559</v>
      </c>
      <c r="C68" s="9" t="s">
        <v>2360</v>
      </c>
      <c r="D68" s="6" t="s">
        <v>2361</v>
      </c>
      <c r="E68" s="6" t="s">
        <v>2220</v>
      </c>
      <c r="F68" s="6" t="s">
        <v>2221</v>
      </c>
      <c r="G68" s="6" t="s">
        <v>2222</v>
      </c>
      <c r="H68" s="7">
        <v>4320</v>
      </c>
      <c r="I68" s="8">
        <f>SUMIF(Cargas!$C$6:$C$1064,C68,Cargas!$O$6:$O$1064)</f>
        <v>0</v>
      </c>
      <c r="J68" s="17">
        <f t="shared" si="0"/>
        <v>4320</v>
      </c>
      <c r="K68" s="46">
        <v>1345162</v>
      </c>
      <c r="L68" s="34">
        <v>74337</v>
      </c>
    </row>
    <row r="69" hidden="1">
      <c r="B69" s="64">
        <v>43560</v>
      </c>
      <c r="C69" s="9" t="s">
        <v>2362</v>
      </c>
      <c r="D69" s="6" t="s">
        <v>2363</v>
      </c>
      <c r="E69" s="6" t="s">
        <v>2233</v>
      </c>
      <c r="F69" s="6" t="s">
        <v>2226</v>
      </c>
      <c r="G69" s="6" t="s">
        <v>2227</v>
      </c>
      <c r="H69" s="7">
        <v>3150</v>
      </c>
      <c r="I69" s="8">
        <f>SUMIF(Cargas!$C$6:$C$1064,C69,Cargas!$O$6:$O$1064)</f>
        <v>0</v>
      </c>
      <c r="J69" s="17">
        <f ref="J69:J132" t="shared" si="1">IF(ABS(H69-I69)&lt;20,0,H69-I69)</f>
        <v>3150</v>
      </c>
      <c r="K69" s="34">
        <v>1346693</v>
      </c>
      <c r="L69" s="34">
        <v>83498</v>
      </c>
    </row>
    <row r="70" hidden="1">
      <c r="B70" s="64">
        <v>43561</v>
      </c>
      <c r="C70" s="9" t="s">
        <v>2364</v>
      </c>
      <c r="D70" s="6" t="s">
        <v>2365</v>
      </c>
      <c r="E70" s="6" t="s">
        <v>2225</v>
      </c>
      <c r="F70" s="6" t="s">
        <v>2226</v>
      </c>
      <c r="G70" s="6" t="s">
        <v>2227</v>
      </c>
      <c r="H70" s="7">
        <v>1680</v>
      </c>
      <c r="I70" s="8">
        <f>SUMIF(Cargas!$C$6:$C$1064,C70,Cargas!$O$6:$O$1064)</f>
        <v>0</v>
      </c>
      <c r="J70" s="17">
        <f t="shared" si="1"/>
        <v>1680</v>
      </c>
      <c r="K70" s="46">
        <v>1345166</v>
      </c>
      <c r="L70" s="34">
        <v>67692</v>
      </c>
    </row>
    <row r="71" hidden="1">
      <c r="B71" s="64">
        <v>43562</v>
      </c>
      <c r="C71" s="9" t="s">
        <v>2366</v>
      </c>
      <c r="D71" s="6" t="s">
        <v>2367</v>
      </c>
      <c r="E71" s="6" t="s">
        <v>2233</v>
      </c>
      <c r="F71" s="6" t="s">
        <v>2221</v>
      </c>
      <c r="G71" s="6" t="s">
        <v>2222</v>
      </c>
      <c r="H71" s="7">
        <v>3240</v>
      </c>
      <c r="I71" s="8">
        <f>SUMIF(Cargas!$C$6:$C$1064,C71,Cargas!$O$6:$O$1064)</f>
        <v>0</v>
      </c>
      <c r="J71" s="17">
        <f t="shared" si="1"/>
        <v>3240</v>
      </c>
      <c r="K71" s="46">
        <v>1345161</v>
      </c>
      <c r="L71" s="34">
        <v>74749</v>
      </c>
    </row>
    <row r="72" hidden="1">
      <c r="B72" s="64">
        <v>43565</v>
      </c>
      <c r="C72" s="9" t="s">
        <v>2368</v>
      </c>
      <c r="D72" s="6" t="s">
        <v>2369</v>
      </c>
      <c r="E72" s="6" t="s">
        <v>2233</v>
      </c>
      <c r="F72" s="6" t="s">
        <v>2221</v>
      </c>
      <c r="G72" s="6" t="s">
        <v>2222</v>
      </c>
      <c r="H72" s="7">
        <v>3240</v>
      </c>
      <c r="I72" s="8">
        <f>SUMIF(Cargas!$C$6:$C$1064,C72,Cargas!$O$6:$O$1064)</f>
        <v>0</v>
      </c>
      <c r="J72" s="17">
        <f t="shared" si="1"/>
        <v>3240</v>
      </c>
      <c r="K72" s="46">
        <v>1345649</v>
      </c>
      <c r="L72" s="34">
        <v>78763</v>
      </c>
    </row>
    <row r="73" hidden="1">
      <c r="B73" s="64">
        <v>43565</v>
      </c>
      <c r="C73" s="9" t="s">
        <v>2370</v>
      </c>
      <c r="D73" s="6" t="s">
        <v>2371</v>
      </c>
      <c r="E73" s="6" t="s">
        <v>2220</v>
      </c>
      <c r="F73" s="6" t="s">
        <v>2221</v>
      </c>
      <c r="G73" s="6" t="s">
        <v>2222</v>
      </c>
      <c r="H73" s="7">
        <v>4320</v>
      </c>
      <c r="I73" s="8">
        <f>SUMIF(Cargas!$C$6:$C$1064,C73,Cargas!$O$6:$O$1064)</f>
        <v>0</v>
      </c>
      <c r="J73" s="17">
        <f t="shared" si="1"/>
        <v>4320</v>
      </c>
      <c r="K73" s="46">
        <v>1345648</v>
      </c>
      <c r="L73" s="34">
        <v>79567</v>
      </c>
    </row>
    <row r="74" hidden="1">
      <c r="B74" s="64">
        <v>43566</v>
      </c>
      <c r="C74" s="9" t="s">
        <v>2372</v>
      </c>
      <c r="D74" s="6" t="s">
        <v>2373</v>
      </c>
      <c r="E74" s="6" t="s">
        <v>2374</v>
      </c>
      <c r="F74" s="6" t="s">
        <v>2226</v>
      </c>
      <c r="G74" s="6" t="s">
        <v>2282</v>
      </c>
      <c r="H74" s="7">
        <v>2288</v>
      </c>
      <c r="I74" s="8">
        <f>SUMIF(Cargas!$C$6:$C$1064,C74,Cargas!$O$6:$O$1064)</f>
        <v>0</v>
      </c>
      <c r="J74" s="17">
        <f t="shared" si="1"/>
        <v>2288</v>
      </c>
      <c r="K74" s="34"/>
      <c r="L74" s="34">
        <v>62900</v>
      </c>
    </row>
    <row r="75" hidden="1">
      <c r="B75" s="64">
        <v>43566</v>
      </c>
      <c r="C75" s="9" t="s">
        <v>2375</v>
      </c>
      <c r="D75" s="6" t="s">
        <v>2376</v>
      </c>
      <c r="E75" s="6" t="s">
        <v>2377</v>
      </c>
      <c r="F75" s="6" t="s">
        <v>2226</v>
      </c>
      <c r="G75" s="6" t="s">
        <v>2282</v>
      </c>
      <c r="H75" s="7">
        <v>2208</v>
      </c>
      <c r="I75" s="8">
        <f>SUMIF(Cargas!$C$6:$C$1064,C75,Cargas!$O$6:$O$1064)</f>
        <v>0</v>
      </c>
      <c r="J75" s="17">
        <f t="shared" si="1"/>
        <v>2208</v>
      </c>
      <c r="K75" s="34">
        <v>1345756</v>
      </c>
      <c r="L75" s="34">
        <v>62899</v>
      </c>
    </row>
    <row r="76" hidden="1">
      <c r="B76" s="64">
        <v>43567</v>
      </c>
      <c r="C76" s="9" t="s">
        <v>2378</v>
      </c>
      <c r="D76" s="6" t="s">
        <v>2379</v>
      </c>
      <c r="E76" s="6" t="s">
        <v>2316</v>
      </c>
      <c r="F76" s="6" t="s">
        <v>978</v>
      </c>
      <c r="G76" s="6" t="s">
        <v>2349</v>
      </c>
      <c r="H76" s="7">
        <v>1000</v>
      </c>
      <c r="I76" s="8">
        <f>SUMIF(Cargas!$C$6:$C$1064,C76,Cargas!$O$6:$O$1064)</f>
        <v>0</v>
      </c>
      <c r="J76" s="17">
        <f t="shared" si="1"/>
        <v>1000</v>
      </c>
      <c r="K76" s="34">
        <v>1345762</v>
      </c>
      <c r="L76" s="34">
        <v>65123</v>
      </c>
    </row>
    <row r="77" hidden="1">
      <c r="B77" s="64">
        <v>43568</v>
      </c>
      <c r="C77" s="9" t="s">
        <v>2380</v>
      </c>
      <c r="D77" s="6" t="s">
        <v>2381</v>
      </c>
      <c r="E77" s="6" t="s">
        <v>2233</v>
      </c>
      <c r="F77" s="6" t="s">
        <v>2226</v>
      </c>
      <c r="G77" s="6" t="s">
        <v>2227</v>
      </c>
      <c r="H77" s="7">
        <v>3150</v>
      </c>
      <c r="I77" s="8">
        <f>SUMIF(Cargas!$C$6:$C$1064,C77,Cargas!$O$6:$O$1064)</f>
        <v>0</v>
      </c>
      <c r="J77" s="17">
        <f t="shared" si="1"/>
        <v>3150</v>
      </c>
      <c r="K77" s="34">
        <v>1345650</v>
      </c>
      <c r="L77" s="34">
        <v>70095</v>
      </c>
    </row>
    <row r="78" hidden="1">
      <c r="B78" s="64">
        <v>43570</v>
      </c>
      <c r="C78" s="9" t="s">
        <v>2382</v>
      </c>
      <c r="D78" s="6" t="s">
        <v>2383</v>
      </c>
      <c r="E78" s="6" t="s">
        <v>2316</v>
      </c>
      <c r="F78" s="6" t="s">
        <v>978</v>
      </c>
      <c r="G78" s="6" t="s">
        <v>2317</v>
      </c>
      <c r="H78" s="7">
        <v>1000</v>
      </c>
      <c r="I78" s="8">
        <f>SUMIF(Cargas!$C$6:$C$1064,C78,Cargas!$O$6:$O$1064)</f>
        <v>0</v>
      </c>
      <c r="J78" s="17">
        <f t="shared" si="1"/>
        <v>1000</v>
      </c>
      <c r="K78" s="34">
        <v>1346088</v>
      </c>
      <c r="L78" s="34">
        <v>66330</v>
      </c>
    </row>
    <row r="79" hidden="1">
      <c r="B79" s="64">
        <v>43571</v>
      </c>
      <c r="C79" s="9" t="s">
        <v>2384</v>
      </c>
      <c r="D79" s="6" t="s">
        <v>2385</v>
      </c>
      <c r="E79" s="6" t="s">
        <v>2233</v>
      </c>
      <c r="F79" s="6" t="s">
        <v>2226</v>
      </c>
      <c r="G79" s="6" t="s">
        <v>2227</v>
      </c>
      <c r="H79" s="7">
        <v>3150</v>
      </c>
      <c r="I79" s="8">
        <f>SUMIF(Cargas!$C$6:$C$1064,C79,Cargas!$O$6:$O$1064)</f>
        <v>0</v>
      </c>
      <c r="J79" s="17">
        <f t="shared" si="1"/>
        <v>3150</v>
      </c>
      <c r="K79" s="34">
        <v>1345160</v>
      </c>
      <c r="L79" s="34">
        <v>68931</v>
      </c>
    </row>
    <row r="80" hidden="1">
      <c r="B80" s="64">
        <v>43574</v>
      </c>
      <c r="C80" s="9" t="s">
        <v>2386</v>
      </c>
      <c r="D80" s="6" t="s">
        <v>2387</v>
      </c>
      <c r="E80" s="6" t="s">
        <v>2233</v>
      </c>
      <c r="F80" s="6" t="s">
        <v>2226</v>
      </c>
      <c r="G80" s="6" t="s">
        <v>2227</v>
      </c>
      <c r="H80" s="7">
        <v>3150</v>
      </c>
      <c r="I80" s="8">
        <f>SUMIF(Cargas!$C$6:$C$1064,C80,Cargas!$O$6:$O$1064)</f>
        <v>0</v>
      </c>
      <c r="J80" s="17">
        <f t="shared" si="1"/>
        <v>3150</v>
      </c>
      <c r="K80" s="34">
        <v>1345650</v>
      </c>
      <c r="L80" s="34">
        <v>75311</v>
      </c>
    </row>
    <row r="81" hidden="1">
      <c r="B81" s="64">
        <v>43576</v>
      </c>
      <c r="C81" s="9" t="s">
        <v>2388</v>
      </c>
      <c r="D81" s="6" t="s">
        <v>2389</v>
      </c>
      <c r="E81" s="6" t="s">
        <v>2233</v>
      </c>
      <c r="F81" s="6" t="s">
        <v>2221</v>
      </c>
      <c r="G81" s="6" t="s">
        <v>2222</v>
      </c>
      <c r="H81" s="7">
        <v>3240</v>
      </c>
      <c r="I81" s="8">
        <f>SUMIF(Cargas!$C$6:$C$1064,C81,Cargas!$O$6:$O$1064)</f>
        <v>0</v>
      </c>
      <c r="J81" s="17">
        <f t="shared" si="1"/>
        <v>3240</v>
      </c>
      <c r="K81" s="46">
        <v>1346078</v>
      </c>
      <c r="L81" s="34">
        <v>83126</v>
      </c>
    </row>
    <row r="82" hidden="1">
      <c r="B82" s="64">
        <v>43576</v>
      </c>
      <c r="C82" s="9" t="s">
        <v>2390</v>
      </c>
      <c r="D82" s="6" t="s">
        <v>2391</v>
      </c>
      <c r="E82" s="6" t="s">
        <v>2220</v>
      </c>
      <c r="F82" s="6" t="s">
        <v>2221</v>
      </c>
      <c r="G82" s="6" t="s">
        <v>2222</v>
      </c>
      <c r="H82" s="7">
        <v>4320</v>
      </c>
      <c r="I82" s="8">
        <f>SUMIF(Cargas!$C$6:$C$1064,C82,Cargas!$O$6:$O$1064)</f>
        <v>0</v>
      </c>
      <c r="J82" s="17">
        <f t="shared" si="1"/>
        <v>4320</v>
      </c>
      <c r="K82" s="46">
        <v>1346082</v>
      </c>
      <c r="L82" s="34">
        <v>83280</v>
      </c>
    </row>
    <row r="83" hidden="1">
      <c r="B83" s="64">
        <v>43577</v>
      </c>
      <c r="C83" s="9" t="s">
        <v>2392</v>
      </c>
      <c r="D83" s="6" t="s">
        <v>2393</v>
      </c>
      <c r="E83" s="6" t="s">
        <v>2394</v>
      </c>
      <c r="F83" s="6" t="s">
        <v>2226</v>
      </c>
      <c r="G83" s="6" t="s">
        <v>2258</v>
      </c>
      <c r="H83" s="7">
        <v>2288</v>
      </c>
      <c r="I83" s="8">
        <f>SUMIF(Cargas!$C$6:$C$1064,C83,Cargas!$O$6:$O$1064)</f>
        <v>0</v>
      </c>
      <c r="J83" s="17">
        <f t="shared" si="1"/>
        <v>2288</v>
      </c>
      <c r="K83" s="34">
        <v>1347667</v>
      </c>
      <c r="L83" s="34">
        <v>87580</v>
      </c>
    </row>
    <row r="84" hidden="1">
      <c r="B84" s="64">
        <v>43579</v>
      </c>
      <c r="C84" s="9" t="s">
        <v>2395</v>
      </c>
      <c r="D84" s="6" t="s">
        <v>2396</v>
      </c>
      <c r="E84" s="6" t="s">
        <v>2316</v>
      </c>
      <c r="F84" s="6" t="s">
        <v>978</v>
      </c>
      <c r="G84" s="6" t="s">
        <v>2317</v>
      </c>
      <c r="H84" s="7">
        <v>1000</v>
      </c>
      <c r="I84" s="8">
        <f>SUMIF(Cargas!$C$6:$C$1064,C84,Cargas!$O$6:$O$1064)</f>
        <v>0</v>
      </c>
      <c r="J84" s="17">
        <f t="shared" si="1"/>
        <v>1000</v>
      </c>
      <c r="K84" s="34">
        <v>1346089</v>
      </c>
      <c r="L84" s="34">
        <v>70042</v>
      </c>
    </row>
    <row r="85" hidden="1">
      <c r="B85" s="64">
        <v>43579</v>
      </c>
      <c r="C85" s="9" t="s">
        <v>2397</v>
      </c>
      <c r="D85" s="6" t="s">
        <v>2398</v>
      </c>
      <c r="E85" s="6" t="s">
        <v>2394</v>
      </c>
      <c r="F85" s="6" t="s">
        <v>2226</v>
      </c>
      <c r="G85" s="6" t="s">
        <v>2258</v>
      </c>
      <c r="H85" s="7">
        <v>2288</v>
      </c>
      <c r="I85" s="8">
        <f>SUMIF(Cargas!$C$6:$C$1064,C85,Cargas!$O$6:$O$1064)</f>
        <v>0</v>
      </c>
      <c r="J85" s="17">
        <f t="shared" si="1"/>
        <v>2288</v>
      </c>
      <c r="K85" s="34">
        <v>1346266</v>
      </c>
      <c r="L85" s="34">
        <v>69679</v>
      </c>
    </row>
    <row r="86" hidden="1">
      <c r="B86" s="64">
        <v>43579</v>
      </c>
      <c r="C86" s="9" t="s">
        <v>2399</v>
      </c>
      <c r="D86" s="6" t="s">
        <v>2400</v>
      </c>
      <c r="E86" s="6" t="s">
        <v>2220</v>
      </c>
      <c r="F86" s="6" t="s">
        <v>2221</v>
      </c>
      <c r="G86" s="6" t="s">
        <v>2222</v>
      </c>
      <c r="H86" s="7">
        <v>4320</v>
      </c>
      <c r="I86" s="8">
        <f>SUMIF(Cargas!$C$6:$C$1064,C86,Cargas!$O$6:$O$1064)</f>
        <v>0</v>
      </c>
      <c r="J86" s="17">
        <f t="shared" si="1"/>
        <v>4320</v>
      </c>
      <c r="K86" s="46">
        <v>1346083</v>
      </c>
      <c r="L86" s="34">
        <v>87643</v>
      </c>
    </row>
    <row r="87" hidden="1">
      <c r="B87" s="64">
        <v>43581</v>
      </c>
      <c r="C87" s="9" t="s">
        <v>2401</v>
      </c>
      <c r="D87" s="6" t="s">
        <v>2402</v>
      </c>
      <c r="E87" s="6" t="s">
        <v>2233</v>
      </c>
      <c r="F87" s="6" t="s">
        <v>2226</v>
      </c>
      <c r="G87" s="6" t="s">
        <v>2227</v>
      </c>
      <c r="H87" s="7">
        <v>3150</v>
      </c>
      <c r="I87" s="8">
        <f>SUMIF(Cargas!$C$6:$C$1064,C87,Cargas!$O$6:$O$1064)</f>
        <v>0</v>
      </c>
      <c r="J87" s="17">
        <f t="shared" si="1"/>
        <v>3150</v>
      </c>
      <c r="K87" s="34">
        <v>1346079</v>
      </c>
      <c r="L87" s="34">
        <v>77970</v>
      </c>
    </row>
    <row r="88" hidden="1">
      <c r="B88" s="64">
        <v>43582</v>
      </c>
      <c r="C88" s="9" t="s">
        <v>2403</v>
      </c>
      <c r="D88" s="6" t="s">
        <v>2404</v>
      </c>
      <c r="E88" s="6" t="s">
        <v>2225</v>
      </c>
      <c r="F88" s="6" t="s">
        <v>2226</v>
      </c>
      <c r="G88" s="6" t="s">
        <v>2227</v>
      </c>
      <c r="H88" s="7">
        <v>1680</v>
      </c>
      <c r="I88" s="8">
        <f>SUMIF(Cargas!$C$6:$C$1064,C88,Cargas!$O$6:$O$1064)</f>
        <v>0</v>
      </c>
      <c r="J88" s="17">
        <f t="shared" si="1"/>
        <v>1680</v>
      </c>
      <c r="K88" s="46">
        <v>1346085</v>
      </c>
      <c r="L88" s="34">
        <v>77854</v>
      </c>
    </row>
    <row r="89" hidden="1">
      <c r="B89" s="64">
        <v>43583</v>
      </c>
      <c r="C89" s="9" t="s">
        <v>2405</v>
      </c>
      <c r="D89" s="6" t="s">
        <v>2406</v>
      </c>
      <c r="E89" s="6" t="s">
        <v>2233</v>
      </c>
      <c r="F89" s="6" t="s">
        <v>2221</v>
      </c>
      <c r="G89" s="6" t="s">
        <v>2222</v>
      </c>
      <c r="H89" s="7">
        <v>3240</v>
      </c>
      <c r="I89" s="8">
        <f>SUMIF(Cargas!$C$6:$C$1064,C89,Cargas!$O$6:$O$1064)</f>
        <v>0</v>
      </c>
      <c r="J89" s="17">
        <f t="shared" si="1"/>
        <v>3240</v>
      </c>
      <c r="K89" s="46">
        <v>1346080</v>
      </c>
      <c r="L89" s="34">
        <v>87511</v>
      </c>
    </row>
    <row r="90" hidden="1">
      <c r="B90" s="64">
        <v>43586</v>
      </c>
      <c r="C90" s="9" t="s">
        <v>2407</v>
      </c>
      <c r="D90" s="6" t="s">
        <v>2408</v>
      </c>
      <c r="E90" s="6" t="s">
        <v>2220</v>
      </c>
      <c r="F90" s="6" t="s">
        <v>2221</v>
      </c>
      <c r="G90" s="6" t="s">
        <v>2222</v>
      </c>
      <c r="H90" s="7">
        <v>4320</v>
      </c>
      <c r="I90" s="8">
        <f>SUMIF(Cargas!$C$6:$C$1064,C90,Cargas!$O$6:$O$1064)</f>
        <v>0</v>
      </c>
      <c r="J90" s="17">
        <f t="shared" si="1"/>
        <v>4320</v>
      </c>
      <c r="K90" s="46">
        <v>1346695</v>
      </c>
      <c r="L90" s="34">
        <v>94230</v>
      </c>
    </row>
    <row r="91" hidden="1">
      <c r="B91" s="64">
        <v>43590</v>
      </c>
      <c r="C91" s="9" t="s">
        <v>2409</v>
      </c>
      <c r="D91" s="6" t="s">
        <v>2410</v>
      </c>
      <c r="E91" s="6" t="s">
        <v>2233</v>
      </c>
      <c r="F91" s="6" t="s">
        <v>2221</v>
      </c>
      <c r="G91" s="6" t="s">
        <v>2222</v>
      </c>
      <c r="H91" s="7">
        <v>3240</v>
      </c>
      <c r="I91" s="8">
        <f>SUMIF(Cargas!$C$6:$C$1064,C91,Cargas!$O$6:$O$1064)</f>
        <v>0</v>
      </c>
      <c r="J91" s="17">
        <f t="shared" si="1"/>
        <v>3240</v>
      </c>
      <c r="K91" s="46">
        <v>1346694</v>
      </c>
      <c r="L91" s="34">
        <v>97837</v>
      </c>
    </row>
    <row r="92" hidden="1">
      <c r="A92" s="0" t="s">
        <v>0</v>
      </c>
      <c r="B92" s="64">
        <v>43592</v>
      </c>
      <c r="C92" s="9" t="s">
        <v>2411</v>
      </c>
      <c r="D92" s="6" t="s">
        <v>2412</v>
      </c>
      <c r="E92" s="6" t="s">
        <v>2257</v>
      </c>
      <c r="F92" s="6" t="s">
        <v>2226</v>
      </c>
      <c r="G92" s="6" t="s">
        <v>2282</v>
      </c>
      <c r="H92" s="7">
        <v>1936</v>
      </c>
      <c r="I92" s="8">
        <f>SUMIF(Cargas!$C$6:$C$1064,C92,Cargas!$O$6:$O$1064)</f>
        <v>0</v>
      </c>
      <c r="J92" s="17">
        <f t="shared" si="1"/>
        <v>1936</v>
      </c>
      <c r="K92" s="34">
        <v>1347062</v>
      </c>
      <c r="L92" s="34">
        <v>77067</v>
      </c>
    </row>
    <row r="93" hidden="1">
      <c r="B93" s="64">
        <v>43593</v>
      </c>
      <c r="C93" s="9" t="s">
        <v>2413</v>
      </c>
      <c r="D93" s="6" t="s">
        <v>2414</v>
      </c>
      <c r="E93" s="6" t="s">
        <v>2220</v>
      </c>
      <c r="F93" s="6" t="s">
        <v>2221</v>
      </c>
      <c r="G93" s="6" t="s">
        <v>2222</v>
      </c>
      <c r="H93" s="7">
        <v>4320</v>
      </c>
      <c r="I93" s="8">
        <f>SUMIF(Cargas!$C$6:$C$1064,C93,Cargas!$O$6:$O$1064)</f>
        <v>0</v>
      </c>
      <c r="J93" s="17">
        <f t="shared" si="1"/>
        <v>4320</v>
      </c>
      <c r="K93" s="46">
        <v>1346969</v>
      </c>
      <c r="L93" s="34">
        <v>97901</v>
      </c>
    </row>
    <row r="94" hidden="1">
      <c r="B94" s="64">
        <v>43594</v>
      </c>
      <c r="C94" s="9" t="s">
        <v>2415</v>
      </c>
      <c r="D94" s="6" t="s">
        <v>2416</v>
      </c>
      <c r="E94" s="6" t="s">
        <v>2233</v>
      </c>
      <c r="F94" s="6" t="s">
        <v>2221</v>
      </c>
      <c r="G94" s="6" t="s">
        <v>2222</v>
      </c>
      <c r="H94" s="7">
        <v>3240</v>
      </c>
      <c r="I94" s="8">
        <f>SUMIF(Cargas!$C$6:$C$1064,C94,Cargas!$O$6:$O$1064)</f>
        <v>0</v>
      </c>
      <c r="J94" s="17">
        <f t="shared" si="1"/>
        <v>3240</v>
      </c>
      <c r="K94" s="46">
        <v>1346967</v>
      </c>
      <c r="L94" s="34">
        <v>97939</v>
      </c>
    </row>
    <row r="95" hidden="1">
      <c r="B95" s="64">
        <v>43596</v>
      </c>
      <c r="C95" s="9" t="s">
        <v>2417</v>
      </c>
      <c r="D95" s="6" t="s">
        <v>2418</v>
      </c>
      <c r="E95" s="6" t="s">
        <v>2233</v>
      </c>
      <c r="F95" s="6" t="s">
        <v>2226</v>
      </c>
      <c r="G95" s="6" t="s">
        <v>2227</v>
      </c>
      <c r="H95" s="7">
        <v>3150</v>
      </c>
      <c r="I95" s="8">
        <f>SUMIF(Cargas!$C$6:$C$1064,C95,Cargas!$O$6:$O$1064)</f>
        <v>0</v>
      </c>
      <c r="J95" s="17">
        <f t="shared" si="1"/>
        <v>3150</v>
      </c>
      <c r="K95" s="34">
        <v>1346968</v>
      </c>
      <c r="L95" s="34">
        <v>86091</v>
      </c>
    </row>
    <row r="96" hidden="1">
      <c r="B96" s="64">
        <v>43600</v>
      </c>
      <c r="C96" s="9" t="s">
        <v>2419</v>
      </c>
      <c r="D96" s="6" t="s">
        <v>2420</v>
      </c>
      <c r="E96" s="6" t="s">
        <v>2220</v>
      </c>
      <c r="F96" s="6" t="s">
        <v>2221</v>
      </c>
      <c r="G96" s="6" t="s">
        <v>2222</v>
      </c>
      <c r="H96" s="7">
        <v>4320</v>
      </c>
      <c r="I96" s="8">
        <f>SUMIF(Cargas!$C$6:$C$1064,C96,Cargas!$O$6:$O$1064)</f>
        <v>0</v>
      </c>
      <c r="J96" s="17">
        <f t="shared" si="1"/>
        <v>4320</v>
      </c>
      <c r="K96" s="46">
        <v>1347630</v>
      </c>
      <c r="L96" s="34">
        <v>101735</v>
      </c>
    </row>
    <row r="97" hidden="1">
      <c r="A97" s="0" t="s">
        <v>0</v>
      </c>
      <c r="B97" s="64">
        <v>43603</v>
      </c>
      <c r="C97" s="9" t="s">
        <v>2421</v>
      </c>
      <c r="D97" s="6" t="s">
        <v>2422</v>
      </c>
      <c r="E97" s="6" t="s">
        <v>2225</v>
      </c>
      <c r="F97" s="6" t="s">
        <v>2226</v>
      </c>
      <c r="G97" s="6" t="s">
        <v>2227</v>
      </c>
      <c r="H97" s="7">
        <v>1680</v>
      </c>
      <c r="I97" s="8">
        <f>SUMIF(Cargas!$C$6:$C$1064,C97,Cargas!$O$6:$O$1064)</f>
        <v>0</v>
      </c>
      <c r="J97" s="17">
        <f t="shared" si="1"/>
        <v>1680</v>
      </c>
      <c r="K97" s="46">
        <v>1347632</v>
      </c>
      <c r="L97" s="34">
        <v>90711</v>
      </c>
    </row>
    <row r="98" hidden="1">
      <c r="B98" s="64">
        <v>43603</v>
      </c>
      <c r="C98" s="9" t="s">
        <v>2423</v>
      </c>
      <c r="D98" s="6" t="s">
        <v>2424</v>
      </c>
      <c r="E98" s="6" t="s">
        <v>2233</v>
      </c>
      <c r="F98" s="6" t="s">
        <v>2226</v>
      </c>
      <c r="G98" s="6" t="s">
        <v>2258</v>
      </c>
      <c r="H98" s="7">
        <v>3240</v>
      </c>
      <c r="I98" s="8">
        <f>SUMIF(Cargas!$C$6:$C$1064,C98,Cargas!$O$6:$O$1064)</f>
        <v>0</v>
      </c>
      <c r="J98" s="17">
        <f t="shared" si="1"/>
        <v>3240</v>
      </c>
      <c r="K98" s="46">
        <v>1347628</v>
      </c>
      <c r="L98" s="34">
        <v>93580</v>
      </c>
    </row>
    <row r="99" hidden="1">
      <c r="B99" s="64">
        <v>43603</v>
      </c>
      <c r="C99" s="9" t="s">
        <v>2425</v>
      </c>
      <c r="D99" s="6" t="s">
        <v>2426</v>
      </c>
      <c r="E99" s="6" t="s">
        <v>2233</v>
      </c>
      <c r="F99" s="6" t="s">
        <v>2226</v>
      </c>
      <c r="G99" s="6" t="s">
        <v>2227</v>
      </c>
      <c r="H99" s="7">
        <v>3150</v>
      </c>
      <c r="I99" s="8">
        <f>SUMIF(Cargas!$C$6:$C$1064,C99,Cargas!$O$6:$O$1064)</f>
        <v>0</v>
      </c>
      <c r="J99" s="17">
        <f t="shared" si="1"/>
        <v>3150</v>
      </c>
      <c r="K99" s="34">
        <v>1347629</v>
      </c>
      <c r="L99" s="34">
        <v>91590</v>
      </c>
    </row>
    <row r="100" hidden="1">
      <c r="B100" s="64">
        <v>43614</v>
      </c>
      <c r="C100" s="9" t="s">
        <v>2427</v>
      </c>
      <c r="D100" s="6" t="s">
        <v>2428</v>
      </c>
      <c r="E100" s="6" t="s">
        <v>2220</v>
      </c>
      <c r="F100" s="6" t="s">
        <v>2221</v>
      </c>
      <c r="G100" s="6" t="s">
        <v>2222</v>
      </c>
      <c r="H100" s="7">
        <v>4320</v>
      </c>
      <c r="I100" s="8">
        <f>SUMIF(Cargas!$C$6:$C$1064,C100,Cargas!$O$6:$O$1064)</f>
        <v>0</v>
      </c>
      <c r="J100" s="17">
        <f t="shared" si="1"/>
        <v>4320</v>
      </c>
      <c r="K100" s="46">
        <v>1348335</v>
      </c>
      <c r="L100" s="34">
        <v>110322</v>
      </c>
    </row>
    <row r="101" hidden="1">
      <c r="B101" s="64">
        <v>43617</v>
      </c>
      <c r="C101" s="9" t="s">
        <v>2429</v>
      </c>
      <c r="D101" s="6" t="s">
        <v>2430</v>
      </c>
      <c r="E101" s="6" t="s">
        <v>2225</v>
      </c>
      <c r="F101" s="6" t="s">
        <v>2226</v>
      </c>
      <c r="G101" s="6" t="s">
        <v>2227</v>
      </c>
      <c r="H101" s="7">
        <v>1680</v>
      </c>
      <c r="I101" s="8">
        <f>SUMIF(Cargas!$C$6:$C$1064,C101,Cargas!$O$6:$O$1064)</f>
        <v>0</v>
      </c>
      <c r="J101" s="17">
        <f t="shared" si="1"/>
        <v>1680</v>
      </c>
      <c r="K101" s="46">
        <v>1348338</v>
      </c>
      <c r="L101" s="34">
        <v>101074</v>
      </c>
    </row>
    <row r="102" hidden="1">
      <c r="B102" s="64">
        <v>43617</v>
      </c>
      <c r="C102" s="9" t="s">
        <v>2431</v>
      </c>
      <c r="D102" s="6" t="s">
        <v>2432</v>
      </c>
      <c r="E102" s="6" t="s">
        <v>2233</v>
      </c>
      <c r="F102" s="6" t="s">
        <v>2226</v>
      </c>
      <c r="G102" s="6" t="s">
        <v>2258</v>
      </c>
      <c r="H102" s="7">
        <v>3240</v>
      </c>
      <c r="I102" s="8">
        <f>SUMIF(Cargas!$C$6:$C$1064,C102,Cargas!$O$6:$O$1064)</f>
        <v>0</v>
      </c>
      <c r="J102" s="17">
        <f t="shared" si="1"/>
        <v>3240</v>
      </c>
      <c r="K102" s="46">
        <v>1348337</v>
      </c>
      <c r="L102" s="34">
        <v>102910</v>
      </c>
    </row>
    <row r="103" hidden="1">
      <c r="B103" s="64">
        <v>43617</v>
      </c>
      <c r="C103" s="9" t="s">
        <v>2433</v>
      </c>
      <c r="D103" s="6" t="s">
        <v>2434</v>
      </c>
      <c r="E103" s="6" t="s">
        <v>2233</v>
      </c>
      <c r="F103" s="6" t="s">
        <v>2226</v>
      </c>
      <c r="G103" s="6" t="s">
        <v>2227</v>
      </c>
      <c r="H103" s="7">
        <v>3150</v>
      </c>
      <c r="I103" s="8">
        <f>SUMIF(Cargas!$C$6:$C$1064,C103,Cargas!$O$6:$O$1064)</f>
        <v>0</v>
      </c>
      <c r="J103" s="17">
        <f t="shared" si="1"/>
        <v>3150</v>
      </c>
      <c r="K103" s="34">
        <v>1348333</v>
      </c>
      <c r="L103" s="34">
        <v>103743</v>
      </c>
    </row>
    <row r="104" hidden="1">
      <c r="B104" s="64">
        <v>43631</v>
      </c>
      <c r="C104" s="9" t="s">
        <v>2435</v>
      </c>
      <c r="D104" s="6" t="s">
        <v>2436</v>
      </c>
      <c r="E104" s="6" t="s">
        <v>2233</v>
      </c>
      <c r="F104" s="6" t="s">
        <v>2226</v>
      </c>
      <c r="G104" s="6" t="s">
        <v>2258</v>
      </c>
      <c r="H104" s="7">
        <v>3240</v>
      </c>
      <c r="I104" s="8">
        <f>SUMIF(Cargas!$C$6:$C$1064,C104,Cargas!$O$6:$O$1064)</f>
        <v>0</v>
      </c>
      <c r="J104" s="17">
        <f t="shared" si="1"/>
        <v>3240</v>
      </c>
      <c r="K104" s="46">
        <v>1349386</v>
      </c>
      <c r="L104" s="34">
        <v>112888</v>
      </c>
    </row>
    <row r="105" hidden="1">
      <c r="B105" s="64">
        <v>43631</v>
      </c>
      <c r="C105" s="9" t="s">
        <v>2437</v>
      </c>
      <c r="D105" s="6" t="s">
        <v>2438</v>
      </c>
      <c r="E105" s="6" t="s">
        <v>2233</v>
      </c>
      <c r="F105" s="6" t="s">
        <v>2226</v>
      </c>
      <c r="G105" s="6" t="s">
        <v>2227</v>
      </c>
      <c r="H105" s="7">
        <v>3150</v>
      </c>
      <c r="I105" s="8">
        <f>SUMIF(Cargas!$C$6:$C$1064,C105,Cargas!$O$6:$O$1064)</f>
        <v>0</v>
      </c>
      <c r="J105" s="17">
        <f t="shared" si="1"/>
        <v>3150</v>
      </c>
      <c r="K105" s="34">
        <v>1349387</v>
      </c>
      <c r="L105" s="34">
        <v>112889</v>
      </c>
    </row>
    <row r="106" hidden="1">
      <c r="B106" s="64">
        <v>43632</v>
      </c>
      <c r="C106" s="9" t="s">
        <v>2439</v>
      </c>
      <c r="D106" s="6" t="s">
        <v>2440</v>
      </c>
      <c r="E106" s="6" t="s">
        <v>2220</v>
      </c>
      <c r="F106" s="6" t="s">
        <v>2221</v>
      </c>
      <c r="G106" s="6" t="s">
        <v>2222</v>
      </c>
      <c r="H106" s="7">
        <v>4320</v>
      </c>
      <c r="I106" s="8">
        <f>SUMIF(Cargas!$C$6:$C$1064,C106,Cargas!$O$6:$O$1064)</f>
        <v>0</v>
      </c>
      <c r="J106" s="17">
        <f t="shared" si="1"/>
        <v>4320</v>
      </c>
      <c r="K106" s="46">
        <v>1349337</v>
      </c>
      <c r="L106" s="34">
        <v>122617</v>
      </c>
    </row>
    <row r="107" hidden="1">
      <c r="B107" s="64">
        <v>43637</v>
      </c>
      <c r="C107" s="9" t="s">
        <v>2441</v>
      </c>
      <c r="D107" s="6" t="s">
        <v>2442</v>
      </c>
      <c r="E107" s="6" t="s">
        <v>2394</v>
      </c>
      <c r="F107" s="6" t="s">
        <v>2226</v>
      </c>
      <c r="G107" s="6" t="s">
        <v>2258</v>
      </c>
      <c r="H107" s="7">
        <v>2288</v>
      </c>
      <c r="I107" s="8">
        <f>SUMIF(Cargas!$C$6:$C$1064,C107,Cargas!$O$6:$O$1064)</f>
        <v>0</v>
      </c>
      <c r="J107" s="17">
        <f t="shared" si="1"/>
        <v>2288</v>
      </c>
      <c r="K107" s="34">
        <v>1349690</v>
      </c>
      <c r="L107" s="34">
        <v>105475</v>
      </c>
    </row>
    <row r="108" hidden="1">
      <c r="B108" s="64">
        <v>43639</v>
      </c>
      <c r="C108" s="9" t="s">
        <v>2443</v>
      </c>
      <c r="D108" s="6" t="s">
        <v>2444</v>
      </c>
      <c r="E108" s="6" t="s">
        <v>2220</v>
      </c>
      <c r="F108" s="6" t="s">
        <v>2221</v>
      </c>
      <c r="G108" s="6" t="s">
        <v>2222</v>
      </c>
      <c r="H108" s="7">
        <v>4320</v>
      </c>
      <c r="I108" s="8">
        <f>SUMIF(Cargas!$C$6:$C$1064,C108,Cargas!$O$6:$O$1064)</f>
        <v>0</v>
      </c>
      <c r="J108" s="17">
        <f t="shared" si="1"/>
        <v>4320</v>
      </c>
      <c r="K108" s="46">
        <v>1349681</v>
      </c>
      <c r="L108" s="34">
        <v>128322</v>
      </c>
    </row>
    <row r="109" hidden="1">
      <c r="B109" s="64">
        <v>43646</v>
      </c>
      <c r="C109" s="9" t="s">
        <v>2445</v>
      </c>
      <c r="D109" s="6" t="s">
        <v>2446</v>
      </c>
      <c r="E109" s="6" t="s">
        <v>2220</v>
      </c>
      <c r="F109" s="6" t="s">
        <v>2221</v>
      </c>
      <c r="G109" s="6" t="s">
        <v>2222</v>
      </c>
      <c r="H109" s="7">
        <v>4320</v>
      </c>
      <c r="I109" s="8">
        <f>SUMIF(Cargas!$C$6:$C$1064,C109,Cargas!$O$6:$O$1064)</f>
        <v>0</v>
      </c>
      <c r="J109" s="17">
        <f t="shared" si="1"/>
        <v>4320</v>
      </c>
      <c r="K109" s="46">
        <v>1349972</v>
      </c>
      <c r="L109" s="34">
        <v>136804</v>
      </c>
    </row>
    <row r="110" hidden="1">
      <c r="B110" s="64">
        <v>43648</v>
      </c>
      <c r="C110" s="9" t="s">
        <v>2447</v>
      </c>
      <c r="D110" s="6" t="s">
        <v>2448</v>
      </c>
      <c r="E110" s="6" t="s">
        <v>2449</v>
      </c>
      <c r="F110" s="6" t="s">
        <v>2226</v>
      </c>
      <c r="G110" s="6" t="s">
        <v>2227</v>
      </c>
      <c r="H110" s="7">
        <v>1080</v>
      </c>
      <c r="I110" s="8">
        <f>SUMIF(Cargas!$C$6:$C$1064,C110,Cargas!$O$6:$O$1064)</f>
        <v>0</v>
      </c>
      <c r="J110" s="17">
        <f t="shared" si="1"/>
        <v>1080</v>
      </c>
      <c r="K110" s="34">
        <v>1350440</v>
      </c>
      <c r="L110" s="34">
        <v>121742</v>
      </c>
    </row>
    <row r="111" hidden="1">
      <c r="A111" s="0" t="s">
        <v>0</v>
      </c>
      <c r="B111" s="64">
        <v>43649</v>
      </c>
      <c r="C111" s="9" t="s">
        <v>2450</v>
      </c>
      <c r="D111" s="6" t="s">
        <v>2451</v>
      </c>
      <c r="E111" s="6" t="s">
        <v>2452</v>
      </c>
      <c r="F111" s="6" t="s">
        <v>2226</v>
      </c>
      <c r="G111" s="6" t="s">
        <v>2282</v>
      </c>
      <c r="H111" s="7">
        <v>2288</v>
      </c>
      <c r="I111" s="8">
        <f>SUMIF(Cargas!$C$6:$C$1064,C111,Cargas!$O$6:$O$1064)</f>
        <v>0</v>
      </c>
      <c r="J111" s="17">
        <f t="shared" si="1"/>
        <v>2288</v>
      </c>
      <c r="K111" s="34">
        <v>1350439</v>
      </c>
      <c r="L111" s="34">
        <v>113602</v>
      </c>
    </row>
    <row r="112" hidden="1">
      <c r="B112" s="64">
        <v>43652</v>
      </c>
      <c r="C112" s="9" t="s">
        <v>2453</v>
      </c>
      <c r="D112" s="6" t="s">
        <v>2454</v>
      </c>
      <c r="E112" s="6" t="s">
        <v>2220</v>
      </c>
      <c r="F112" s="6" t="s">
        <v>2221</v>
      </c>
      <c r="G112" s="6" t="s">
        <v>2222</v>
      </c>
      <c r="H112" s="7">
        <v>4320</v>
      </c>
      <c r="I112" s="8">
        <f>SUMIF(Cargas!$C$6:$C$1064,C112,Cargas!$O$6:$O$1064)</f>
        <v>0</v>
      </c>
      <c r="J112" s="17">
        <f t="shared" si="1"/>
        <v>4320</v>
      </c>
      <c r="K112" s="46">
        <v>1350492</v>
      </c>
      <c r="L112" s="34">
        <v>136805</v>
      </c>
    </row>
    <row r="113" hidden="1">
      <c r="B113" s="64">
        <v>43659</v>
      </c>
      <c r="C113" s="9" t="s">
        <v>2455</v>
      </c>
      <c r="D113" s="6" t="s">
        <v>2456</v>
      </c>
      <c r="E113" s="6" t="s">
        <v>2220</v>
      </c>
      <c r="F113" s="6" t="s">
        <v>2221</v>
      </c>
      <c r="G113" s="6" t="s">
        <v>2222</v>
      </c>
      <c r="H113" s="7">
        <v>4320</v>
      </c>
      <c r="I113" s="8">
        <f>SUMIF(Cargas!$C$6:$C$1064,C113,Cargas!$O$6:$O$1064)</f>
        <v>0</v>
      </c>
      <c r="J113" s="17">
        <f t="shared" si="1"/>
        <v>4320</v>
      </c>
      <c r="K113" s="46">
        <v>1350827</v>
      </c>
      <c r="L113" s="34">
        <v>141286</v>
      </c>
    </row>
    <row r="114" hidden="1">
      <c r="B114" s="64">
        <v>43660</v>
      </c>
      <c r="C114" s="9" t="s">
        <v>2457</v>
      </c>
      <c r="D114" s="6" t="s">
        <v>2458</v>
      </c>
      <c r="E114" s="6" t="s">
        <v>2220</v>
      </c>
      <c r="F114" s="6" t="s">
        <v>2226</v>
      </c>
      <c r="G114" s="6" t="s">
        <v>2258</v>
      </c>
      <c r="H114" s="7">
        <v>2160</v>
      </c>
      <c r="I114" s="8">
        <f>SUMIF(Cargas!$C$6:$C$1064,C114,Cargas!$O$6:$O$1064)</f>
        <v>0</v>
      </c>
      <c r="J114" s="17">
        <f t="shared" si="1"/>
        <v>2160</v>
      </c>
      <c r="K114" s="46">
        <v>1350833</v>
      </c>
      <c r="L114" s="34">
        <v>131419</v>
      </c>
    </row>
    <row r="115" hidden="1">
      <c r="B115" s="64">
        <v>43666</v>
      </c>
      <c r="C115" s="9" t="s">
        <v>2459</v>
      </c>
      <c r="D115" s="6" t="s">
        <v>2460</v>
      </c>
      <c r="E115" s="6" t="s">
        <v>2220</v>
      </c>
      <c r="F115" s="6" t="s">
        <v>2221</v>
      </c>
      <c r="G115" s="6" t="s">
        <v>2222</v>
      </c>
      <c r="H115" s="7">
        <v>4320</v>
      </c>
      <c r="I115" s="8">
        <f>SUMIF(Cargas!$C$6:$C$1064,C115,Cargas!$O$6:$O$1064)</f>
        <v>0</v>
      </c>
      <c r="J115" s="17">
        <f t="shared" si="1"/>
        <v>4320</v>
      </c>
      <c r="K115" s="46">
        <v>1351210</v>
      </c>
      <c r="L115" s="34">
        <v>145917</v>
      </c>
    </row>
    <row r="116" hidden="1">
      <c r="B116" s="64">
        <v>43668</v>
      </c>
      <c r="C116" s="9" t="s">
        <v>2461</v>
      </c>
      <c r="D116" s="6" t="s">
        <v>2462</v>
      </c>
      <c r="E116" s="6" t="s">
        <v>2233</v>
      </c>
      <c r="F116" s="6" t="s">
        <v>2226</v>
      </c>
      <c r="G116" s="6" t="s">
        <v>2258</v>
      </c>
      <c r="H116" s="7">
        <v>3240</v>
      </c>
      <c r="I116" s="8">
        <f>SUMIF(Cargas!$C$6:$C$1064,C116,Cargas!$O$6:$O$1064)</f>
        <v>0</v>
      </c>
      <c r="J116" s="17">
        <f t="shared" si="1"/>
        <v>3240</v>
      </c>
      <c r="K116" s="46">
        <v>1350839</v>
      </c>
      <c r="L116" s="34">
        <v>132269</v>
      </c>
    </row>
    <row r="117" hidden="1">
      <c r="B117" s="64">
        <v>43668</v>
      </c>
      <c r="C117" s="9" t="s">
        <v>2463</v>
      </c>
      <c r="D117" s="6" t="s">
        <v>2464</v>
      </c>
      <c r="E117" s="6" t="s">
        <v>2233</v>
      </c>
      <c r="F117" s="6" t="s">
        <v>2226</v>
      </c>
      <c r="G117" s="6" t="s">
        <v>2227</v>
      </c>
      <c r="H117" s="7">
        <v>3150</v>
      </c>
      <c r="I117" s="8">
        <f>SUMIF(Cargas!$C$6:$C$1064,C117,Cargas!$O$6:$O$1064)</f>
        <v>0</v>
      </c>
      <c r="J117" s="17">
        <f t="shared" si="1"/>
        <v>3150</v>
      </c>
      <c r="K117" s="34">
        <v>1350840</v>
      </c>
      <c r="L117" s="34">
        <v>132339</v>
      </c>
    </row>
    <row r="118" hidden="1">
      <c r="B118" s="64">
        <v>43668</v>
      </c>
      <c r="C118" s="9" t="s">
        <v>2465</v>
      </c>
      <c r="D118" s="6" t="s">
        <v>2466</v>
      </c>
      <c r="E118" s="6" t="s">
        <v>2233</v>
      </c>
      <c r="F118" s="6" t="s">
        <v>2226</v>
      </c>
      <c r="G118" s="6" t="s">
        <v>2227</v>
      </c>
      <c r="H118" s="7">
        <v>3150</v>
      </c>
      <c r="I118" s="8">
        <f>SUMIF(Cargas!$C$6:$C$1064,C118,Cargas!$O$6:$O$1064)</f>
        <v>0</v>
      </c>
      <c r="J118" s="17">
        <f t="shared" si="1"/>
        <v>3150</v>
      </c>
      <c r="K118" s="34">
        <v>1351422</v>
      </c>
      <c r="L118" s="34">
        <v>136630</v>
      </c>
    </row>
    <row r="119" hidden="1">
      <c r="B119" s="64">
        <v>43668</v>
      </c>
      <c r="C119" s="9" t="s">
        <v>2467</v>
      </c>
      <c r="D119" s="6" t="s">
        <v>2468</v>
      </c>
      <c r="E119" s="6" t="s">
        <v>2469</v>
      </c>
      <c r="F119" s="6" t="s">
        <v>2226</v>
      </c>
      <c r="G119" s="6" t="s">
        <v>2227</v>
      </c>
      <c r="H119" s="7">
        <v>2160</v>
      </c>
      <c r="I119" s="8">
        <f>SUMIF(Cargas!$C$6:$C$1064,C119,Cargas!$O$6:$O$1064)</f>
        <v>0</v>
      </c>
      <c r="J119" s="17">
        <f t="shared" si="1"/>
        <v>2160</v>
      </c>
      <c r="K119" s="34">
        <v>1350881</v>
      </c>
      <c r="L119" s="34">
        <v>132117</v>
      </c>
    </row>
    <row r="120" hidden="1">
      <c r="B120" s="64">
        <v>43669</v>
      </c>
      <c r="C120" s="9" t="s">
        <v>2470</v>
      </c>
      <c r="D120" s="6" t="s">
        <v>2471</v>
      </c>
      <c r="E120" s="6" t="s">
        <v>2225</v>
      </c>
      <c r="F120" s="6" t="s">
        <v>2226</v>
      </c>
      <c r="G120" s="6" t="s">
        <v>2227</v>
      </c>
      <c r="H120" s="7">
        <v>1680</v>
      </c>
      <c r="I120" s="8">
        <f>SUMIF(Cargas!$C$6:$C$1064,C120,Cargas!$O$6:$O$1064)</f>
        <v>0</v>
      </c>
      <c r="J120" s="17">
        <f t="shared" si="1"/>
        <v>1680</v>
      </c>
      <c r="K120" s="46">
        <v>1349689</v>
      </c>
      <c r="L120" s="34">
        <v>136491</v>
      </c>
    </row>
    <row r="121" hidden="1">
      <c r="B121" s="64">
        <v>43669</v>
      </c>
      <c r="C121" s="9" t="s">
        <v>2472</v>
      </c>
      <c r="D121" s="6" t="s">
        <v>2473</v>
      </c>
      <c r="E121" s="6" t="s">
        <v>2233</v>
      </c>
      <c r="F121" s="6" t="s">
        <v>2226</v>
      </c>
      <c r="G121" s="6" t="s">
        <v>2258</v>
      </c>
      <c r="H121" s="7">
        <v>3240</v>
      </c>
      <c r="I121" s="8">
        <f>SUMIF(Cargas!$C$6:$C$1064,C121,Cargas!$O$6:$O$1064)</f>
        <v>0</v>
      </c>
      <c r="J121" s="17">
        <f t="shared" si="1"/>
        <v>3240</v>
      </c>
      <c r="K121" s="46">
        <v>1351421</v>
      </c>
      <c r="L121" s="34">
        <v>136600</v>
      </c>
    </row>
    <row r="122" hidden="1">
      <c r="B122" s="64">
        <v>43673</v>
      </c>
      <c r="C122" s="9" t="s">
        <v>2474</v>
      </c>
      <c r="D122" s="6" t="s">
        <v>2475</v>
      </c>
      <c r="E122" s="6" t="s">
        <v>2220</v>
      </c>
      <c r="F122" s="6" t="s">
        <v>2221</v>
      </c>
      <c r="G122" s="6" t="s">
        <v>2222</v>
      </c>
      <c r="H122" s="7">
        <v>4320</v>
      </c>
      <c r="I122" s="8">
        <f>SUMIF(Cargas!$C$6:$C$1064,C122,Cargas!$O$6:$O$1064)</f>
        <v>0</v>
      </c>
      <c r="J122" s="17">
        <f t="shared" si="1"/>
        <v>4320</v>
      </c>
      <c r="K122" s="46">
        <v>1351577</v>
      </c>
      <c r="L122" s="34">
        <v>151751</v>
      </c>
    </row>
    <row r="123" hidden="1">
      <c r="B123" s="64">
        <v>43674</v>
      </c>
      <c r="C123" s="9" t="s">
        <v>2476</v>
      </c>
      <c r="D123" s="6" t="s">
        <v>2477</v>
      </c>
      <c r="E123" s="6" t="s">
        <v>2478</v>
      </c>
      <c r="F123" s="6" t="s">
        <v>2226</v>
      </c>
      <c r="G123" s="6" t="s">
        <v>2227</v>
      </c>
      <c r="H123" s="7">
        <v>2160</v>
      </c>
      <c r="I123" s="8">
        <f>SUMIF(Cargas!$C$6:$C$1064,C123,Cargas!$O$6:$O$1064)</f>
        <v>0</v>
      </c>
      <c r="J123" s="17">
        <f t="shared" si="1"/>
        <v>2160</v>
      </c>
      <c r="K123" s="34">
        <v>1351591</v>
      </c>
      <c r="L123" s="34">
        <v>140627</v>
      </c>
    </row>
    <row r="124" hidden="1">
      <c r="B124" s="64">
        <v>43675</v>
      </c>
      <c r="C124" s="9" t="s">
        <v>2479</v>
      </c>
      <c r="D124" s="6" t="s">
        <v>2480</v>
      </c>
      <c r="E124" s="6" t="s">
        <v>2394</v>
      </c>
      <c r="F124" s="6" t="s">
        <v>2226</v>
      </c>
      <c r="G124" s="6" t="s">
        <v>2282</v>
      </c>
      <c r="H124" s="7">
        <v>2288</v>
      </c>
      <c r="I124" s="8">
        <f>SUMIF(Cargas!$C$6:$C$1064,C124,Cargas!$O$6:$O$1064)</f>
        <v>0</v>
      </c>
      <c r="J124" s="17">
        <f t="shared" si="1"/>
        <v>2288</v>
      </c>
      <c r="K124" s="34">
        <v>1352240</v>
      </c>
      <c r="L124" s="34">
        <v>131165</v>
      </c>
    </row>
    <row r="125" hidden="1">
      <c r="B125" s="64">
        <v>43676</v>
      </c>
      <c r="C125" s="9" t="s">
        <v>2481</v>
      </c>
      <c r="D125" s="6" t="s">
        <v>2482</v>
      </c>
      <c r="E125" s="6" t="s">
        <v>2233</v>
      </c>
      <c r="F125" s="6" t="s">
        <v>2226</v>
      </c>
      <c r="G125" s="6" t="s">
        <v>2258</v>
      </c>
      <c r="H125" s="7">
        <v>3240</v>
      </c>
      <c r="I125" s="8">
        <f>SUMIF(Cargas!$C$6:$C$1064,C125,Cargas!$O$6:$O$1064)</f>
        <v>0</v>
      </c>
      <c r="J125" s="17">
        <f t="shared" si="1"/>
        <v>3240</v>
      </c>
      <c r="K125" s="46">
        <v>1351956</v>
      </c>
      <c r="L125" s="34">
        <v>140490</v>
      </c>
    </row>
    <row r="126" hidden="1">
      <c r="B126" s="64">
        <v>43676</v>
      </c>
      <c r="C126" s="9" t="s">
        <v>2483</v>
      </c>
      <c r="D126" s="6" t="s">
        <v>2484</v>
      </c>
      <c r="E126" s="6" t="s">
        <v>2233</v>
      </c>
      <c r="F126" s="6" t="s">
        <v>2226</v>
      </c>
      <c r="G126" s="6" t="s">
        <v>2227</v>
      </c>
      <c r="H126" s="7">
        <v>3150</v>
      </c>
      <c r="I126" s="8">
        <f>SUMIF(Cargas!$C$6:$C$1064,C126,Cargas!$O$6:$O$1064)</f>
        <v>0</v>
      </c>
      <c r="J126" s="17">
        <f t="shared" si="1"/>
        <v>3150</v>
      </c>
      <c r="K126" s="34">
        <v>1351958</v>
      </c>
      <c r="L126" s="34">
        <v>140540</v>
      </c>
    </row>
    <row r="127" hidden="1">
      <c r="B127" s="64">
        <v>43680</v>
      </c>
      <c r="C127" s="9" t="s">
        <v>2485</v>
      </c>
      <c r="D127" s="6" t="s">
        <v>2486</v>
      </c>
      <c r="E127" s="6" t="s">
        <v>2220</v>
      </c>
      <c r="F127" s="6" t="s">
        <v>2221</v>
      </c>
      <c r="G127" s="6" t="s">
        <v>2222</v>
      </c>
      <c r="H127" s="7">
        <v>4320</v>
      </c>
      <c r="I127" s="8">
        <f>SUMIF(Cargas!$C$6:$C$1064,C127,Cargas!$O$6:$O$1064)</f>
        <v>0</v>
      </c>
      <c r="J127" s="17">
        <f t="shared" si="1"/>
        <v>4320</v>
      </c>
      <c r="K127" s="46">
        <v>1351999</v>
      </c>
      <c r="L127" s="34">
        <v>151653</v>
      </c>
    </row>
    <row r="128" hidden="1">
      <c r="B128" s="64">
        <v>43683</v>
      </c>
      <c r="C128" s="9" t="s">
        <v>2487</v>
      </c>
      <c r="D128" s="6" t="s">
        <v>2488</v>
      </c>
      <c r="E128" s="6" t="s">
        <v>2233</v>
      </c>
      <c r="F128" s="6" t="s">
        <v>2226</v>
      </c>
      <c r="G128" s="6" t="s">
        <v>2258</v>
      </c>
      <c r="H128" s="7">
        <v>3240</v>
      </c>
      <c r="I128" s="8">
        <f>SUMIF(Cargas!$C$6:$C$1064,C128,Cargas!$O$6:$O$1064)</f>
        <v>0</v>
      </c>
      <c r="J128" s="17">
        <f t="shared" si="1"/>
        <v>3240</v>
      </c>
      <c r="K128" s="46">
        <v>1352385</v>
      </c>
      <c r="L128" s="34">
        <v>145865</v>
      </c>
    </row>
    <row r="129" hidden="1">
      <c r="B129" s="64">
        <v>43683</v>
      </c>
      <c r="C129" s="9" t="s">
        <v>2489</v>
      </c>
      <c r="D129" s="6" t="s">
        <v>2490</v>
      </c>
      <c r="E129" s="6" t="s">
        <v>2233</v>
      </c>
      <c r="F129" s="6" t="s">
        <v>2226</v>
      </c>
      <c r="G129" s="6" t="s">
        <v>2227</v>
      </c>
      <c r="H129" s="7">
        <v>3150</v>
      </c>
      <c r="I129" s="8">
        <f>SUMIF(Cargas!$C$6:$C$1064,C129,Cargas!$O$6:$O$1064)</f>
        <v>0</v>
      </c>
      <c r="J129" s="17">
        <f t="shared" si="1"/>
        <v>3150</v>
      </c>
      <c r="K129" s="34">
        <v>1352386</v>
      </c>
      <c r="L129" s="34">
        <v>146016</v>
      </c>
    </row>
    <row r="130" hidden="1">
      <c r="B130" s="64">
        <v>43687</v>
      </c>
      <c r="C130" s="9" t="s">
        <v>2491</v>
      </c>
      <c r="D130" s="6" t="s">
        <v>2492</v>
      </c>
      <c r="E130" s="6" t="s">
        <v>2220</v>
      </c>
      <c r="F130" s="6" t="s">
        <v>2221</v>
      </c>
      <c r="G130" s="6" t="s">
        <v>2222</v>
      </c>
      <c r="H130" s="7">
        <v>6480</v>
      </c>
      <c r="I130" s="8">
        <f>SUMIF(Cargas!$C$6:$C$1064,C130,Cargas!$O$6:$O$1064)</f>
        <v>0</v>
      </c>
      <c r="J130" s="17">
        <f t="shared" si="1"/>
        <v>6480</v>
      </c>
      <c r="K130" s="46">
        <v>1352427</v>
      </c>
      <c r="L130" s="34">
        <v>159634</v>
      </c>
    </row>
    <row r="131" hidden="1">
      <c r="B131" s="64">
        <v>43687</v>
      </c>
      <c r="C131" s="9" t="s">
        <v>2493</v>
      </c>
      <c r="D131" s="6" t="s">
        <v>2494</v>
      </c>
      <c r="E131" s="6" t="s">
        <v>2233</v>
      </c>
      <c r="F131" s="6" t="s">
        <v>2226</v>
      </c>
      <c r="G131" s="6" t="s">
        <v>2227</v>
      </c>
      <c r="H131" s="7">
        <v>3150</v>
      </c>
      <c r="I131" s="8">
        <f>SUMIF(Cargas!$C$6:$C$1064,C131,Cargas!$O$6:$O$1064)</f>
        <v>0</v>
      </c>
      <c r="J131" s="17">
        <f t="shared" si="1"/>
        <v>3150</v>
      </c>
      <c r="K131" s="34">
        <v>1355853</v>
      </c>
      <c r="L131" s="34">
        <v>176616</v>
      </c>
    </row>
    <row r="132" hidden="1">
      <c r="B132" s="64">
        <v>43690</v>
      </c>
      <c r="C132" s="9" t="s">
        <v>2495</v>
      </c>
      <c r="D132" s="6" t="s">
        <v>2496</v>
      </c>
      <c r="E132" s="6" t="s">
        <v>2233</v>
      </c>
      <c r="F132" s="6" t="s">
        <v>2226</v>
      </c>
      <c r="G132" s="6" t="s">
        <v>2258</v>
      </c>
      <c r="H132" s="7">
        <v>3240</v>
      </c>
      <c r="I132" s="8">
        <f>SUMIF(Cargas!$C$6:$C$1064,C132,Cargas!$O$6:$O$1064)</f>
        <v>0</v>
      </c>
      <c r="J132" s="17">
        <f t="shared" si="1"/>
        <v>3240</v>
      </c>
      <c r="K132" s="46">
        <v>1352745</v>
      </c>
      <c r="L132" s="34">
        <v>149987</v>
      </c>
    </row>
    <row r="133" hidden="1">
      <c r="B133" s="64">
        <v>43690</v>
      </c>
      <c r="C133" s="9" t="s">
        <v>2497</v>
      </c>
      <c r="D133" s="6" t="s">
        <v>2498</v>
      </c>
      <c r="E133" s="6" t="s">
        <v>2233</v>
      </c>
      <c r="F133" s="6" t="s">
        <v>2226</v>
      </c>
      <c r="G133" s="6" t="s">
        <v>2227</v>
      </c>
      <c r="H133" s="7">
        <v>3150</v>
      </c>
      <c r="I133" s="8">
        <f>SUMIF(Cargas!$C$6:$C$1064,C133,Cargas!$O$6:$O$1064)</f>
        <v>0</v>
      </c>
      <c r="J133" s="17">
        <f ref="J133:J196" t="shared" si="2">IF(ABS(H133-I133)&lt;20,0,H133-I133)</f>
        <v>3150</v>
      </c>
      <c r="K133" s="34">
        <v>1352746</v>
      </c>
      <c r="L133" s="34">
        <v>150082</v>
      </c>
    </row>
    <row r="134" hidden="1">
      <c r="B134" s="64">
        <v>43694</v>
      </c>
      <c r="C134" s="9" t="s">
        <v>2499</v>
      </c>
      <c r="D134" s="6" t="s">
        <v>2500</v>
      </c>
      <c r="E134" s="6" t="s">
        <v>2220</v>
      </c>
      <c r="F134" s="6" t="s">
        <v>2221</v>
      </c>
      <c r="G134" s="6" t="s">
        <v>2222</v>
      </c>
      <c r="H134" s="7">
        <v>4320</v>
      </c>
      <c r="I134" s="8">
        <f>SUMIF(Cargas!$C$6:$C$1064,C134,Cargas!$O$6:$O$1064)</f>
        <v>0</v>
      </c>
      <c r="J134" s="17">
        <f t="shared" si="2"/>
        <v>4320</v>
      </c>
      <c r="K134" s="46">
        <v>1352784</v>
      </c>
      <c r="L134" s="34">
        <v>164259</v>
      </c>
    </row>
    <row r="135" hidden="1">
      <c r="B135" s="64">
        <v>43697</v>
      </c>
      <c r="C135" s="9" t="s">
        <v>2501</v>
      </c>
      <c r="D135" s="6" t="s">
        <v>2502</v>
      </c>
      <c r="E135" s="6" t="s">
        <v>2220</v>
      </c>
      <c r="F135" s="6" t="s">
        <v>2226</v>
      </c>
      <c r="G135" s="6" t="s">
        <v>2258</v>
      </c>
      <c r="H135" s="7">
        <v>2160</v>
      </c>
      <c r="I135" s="8">
        <f>SUMIF(Cargas!$C$6:$C$1064,C135,Cargas!$O$6:$O$1064)</f>
        <v>0</v>
      </c>
      <c r="J135" s="17">
        <f t="shared" si="2"/>
        <v>2160</v>
      </c>
      <c r="K135" s="46">
        <v>1354993</v>
      </c>
      <c r="L135" s="34">
        <v>153813</v>
      </c>
    </row>
    <row r="136" hidden="1">
      <c r="B136" s="64">
        <v>43697</v>
      </c>
      <c r="C136" s="9" t="s">
        <v>2503</v>
      </c>
      <c r="D136" s="6" t="s">
        <v>2504</v>
      </c>
      <c r="E136" s="6" t="s">
        <v>2233</v>
      </c>
      <c r="F136" s="6" t="s">
        <v>2226</v>
      </c>
      <c r="G136" s="6" t="s">
        <v>2227</v>
      </c>
      <c r="H136" s="7">
        <v>3150</v>
      </c>
      <c r="I136" s="8">
        <f>SUMIF(Cargas!$C$6:$C$1064,C136,Cargas!$O$6:$O$1064)</f>
        <v>0</v>
      </c>
      <c r="J136" s="17">
        <f t="shared" si="2"/>
        <v>3150</v>
      </c>
      <c r="K136" s="34">
        <v>1353198</v>
      </c>
      <c r="L136" s="34">
        <v>154563</v>
      </c>
    </row>
    <row r="137" hidden="1">
      <c r="B137" s="64">
        <v>43698</v>
      </c>
      <c r="C137" s="9" t="s">
        <v>2505</v>
      </c>
      <c r="D137" s="6" t="s">
        <v>2506</v>
      </c>
      <c r="E137" s="6" t="s">
        <v>2233</v>
      </c>
      <c r="F137" s="6" t="s">
        <v>2226</v>
      </c>
      <c r="G137" s="6" t="s">
        <v>2258</v>
      </c>
      <c r="H137" s="7">
        <v>3240</v>
      </c>
      <c r="I137" s="8">
        <f>SUMIF(Cargas!$C$6:$C$1064,C137,Cargas!$O$6:$O$1064)</f>
        <v>0</v>
      </c>
      <c r="J137" s="17">
        <f t="shared" si="2"/>
        <v>3240</v>
      </c>
      <c r="K137" s="46">
        <v>1353197</v>
      </c>
      <c r="L137" s="34">
        <v>153822</v>
      </c>
    </row>
    <row r="138" hidden="1">
      <c r="B138" s="64">
        <v>43701</v>
      </c>
      <c r="C138" s="9" t="s">
        <v>2507</v>
      </c>
      <c r="D138" s="6" t="s">
        <v>2508</v>
      </c>
      <c r="E138" s="6" t="s">
        <v>2220</v>
      </c>
      <c r="F138" s="6" t="s">
        <v>2221</v>
      </c>
      <c r="G138" s="6" t="s">
        <v>2222</v>
      </c>
      <c r="H138" s="7">
        <v>4320</v>
      </c>
      <c r="I138" s="8">
        <f>SUMIF(Cargas!$C$6:$C$1064,C138,Cargas!$O$6:$O$1064)</f>
        <v>0</v>
      </c>
      <c r="J138" s="17">
        <f t="shared" si="2"/>
        <v>4320</v>
      </c>
      <c r="K138" s="46">
        <v>1353232</v>
      </c>
      <c r="L138" s="34">
        <v>170268</v>
      </c>
    </row>
    <row r="139" hidden="1" ht="17.25" customHeight="1">
      <c r="B139" s="64">
        <v>43703</v>
      </c>
      <c r="C139" s="9" t="s">
        <v>2509</v>
      </c>
      <c r="D139" s="6" t="s">
        <v>2510</v>
      </c>
      <c r="E139" s="6" t="s">
        <v>2225</v>
      </c>
      <c r="F139" s="6" t="s">
        <v>2226</v>
      </c>
      <c r="G139" s="6" t="s">
        <v>2227</v>
      </c>
      <c r="H139" s="7">
        <v>1680</v>
      </c>
      <c r="I139" s="8">
        <f>SUMIF(Cargas!$C$6:$C$1064,C139,Cargas!$O$6:$O$1064)</f>
        <v>0</v>
      </c>
      <c r="J139" s="17">
        <f t="shared" si="2"/>
        <v>1680</v>
      </c>
      <c r="K139" s="46">
        <v>1353235</v>
      </c>
      <c r="L139" s="34">
        <v>157810</v>
      </c>
    </row>
    <row r="140" hidden="1">
      <c r="B140" s="64">
        <v>43704</v>
      </c>
      <c r="C140" s="9" t="s">
        <v>2511</v>
      </c>
      <c r="D140" s="6" t="s">
        <v>2512</v>
      </c>
      <c r="E140" s="6" t="s">
        <v>2233</v>
      </c>
      <c r="F140" s="6" t="s">
        <v>2226</v>
      </c>
      <c r="G140" s="6" t="s">
        <v>2258</v>
      </c>
      <c r="H140" s="7">
        <v>3240</v>
      </c>
      <c r="I140" s="8">
        <f>SUMIF(Cargas!$C$6:$C$1064,C140,Cargas!$O$6:$O$1064)</f>
        <v>0</v>
      </c>
      <c r="J140" s="17">
        <f t="shared" si="2"/>
        <v>3240</v>
      </c>
      <c r="K140" s="46">
        <v>1353711</v>
      </c>
      <c r="L140" s="34">
        <v>157812</v>
      </c>
    </row>
    <row r="141" hidden="1">
      <c r="B141" s="64">
        <v>43704</v>
      </c>
      <c r="C141" s="9" t="s">
        <v>2513</v>
      </c>
      <c r="D141" s="6" t="s">
        <v>2514</v>
      </c>
      <c r="E141" s="6" t="s">
        <v>2220</v>
      </c>
      <c r="F141" s="6" t="s">
        <v>2226</v>
      </c>
      <c r="G141" s="6" t="s">
        <v>2258</v>
      </c>
      <c r="H141" s="7">
        <v>2160</v>
      </c>
      <c r="I141" s="8">
        <f>SUMIF(Cargas!$C$6:$C$1064,C141,Cargas!$O$6:$O$1064)</f>
        <v>0</v>
      </c>
      <c r="J141" s="17">
        <f t="shared" si="2"/>
        <v>2160</v>
      </c>
      <c r="K141" s="46">
        <v>1353599</v>
      </c>
      <c r="L141" s="34">
        <v>157809</v>
      </c>
    </row>
    <row r="142" hidden="1">
      <c r="B142" s="64">
        <v>43704</v>
      </c>
      <c r="C142" s="9" t="s">
        <v>2515</v>
      </c>
      <c r="D142" s="6" t="s">
        <v>2516</v>
      </c>
      <c r="E142" s="6" t="s">
        <v>2233</v>
      </c>
      <c r="F142" s="6" t="s">
        <v>2226</v>
      </c>
      <c r="G142" s="6" t="s">
        <v>2227</v>
      </c>
      <c r="H142" s="7">
        <v>3150</v>
      </c>
      <c r="I142" s="8">
        <f>SUMIF(Cargas!$C$6:$C$1064,C142,Cargas!$O$6:$O$1064)</f>
        <v>0</v>
      </c>
      <c r="J142" s="17">
        <f t="shared" si="2"/>
        <v>3150</v>
      </c>
      <c r="K142" s="34">
        <v>1353710</v>
      </c>
      <c r="L142" s="34">
        <v>157808</v>
      </c>
    </row>
    <row r="143" hidden="1">
      <c r="B143" s="64">
        <v>43705</v>
      </c>
      <c r="C143" s="9" t="s">
        <v>2517</v>
      </c>
      <c r="D143" s="6" t="s">
        <v>2518</v>
      </c>
      <c r="E143" s="6" t="s">
        <v>2394</v>
      </c>
      <c r="F143" s="6" t="s">
        <v>2226</v>
      </c>
      <c r="G143" s="6" t="s">
        <v>2282</v>
      </c>
      <c r="H143" s="7">
        <v>2288</v>
      </c>
      <c r="I143" s="8">
        <f>SUMIF(Cargas!$C$6:$C$1064,C143,Cargas!$O$6:$O$1064)</f>
        <v>0</v>
      </c>
      <c r="J143" s="17">
        <f t="shared" si="2"/>
        <v>2288</v>
      </c>
      <c r="K143" s="34">
        <v>1353668</v>
      </c>
      <c r="L143" s="34">
        <v>149793</v>
      </c>
    </row>
    <row r="144" hidden="1">
      <c r="B144" s="64">
        <v>43709</v>
      </c>
      <c r="C144" s="9" t="s">
        <v>2519</v>
      </c>
      <c r="D144" s="6" t="s">
        <v>2520</v>
      </c>
      <c r="E144" s="6" t="s">
        <v>2220</v>
      </c>
      <c r="F144" s="6" t="s">
        <v>2221</v>
      </c>
      <c r="G144" s="6" t="s">
        <v>2222</v>
      </c>
      <c r="H144" s="7">
        <v>4320</v>
      </c>
      <c r="I144" s="8">
        <f>SUMIF(Cargas!$C$6:$C$1064,C144,Cargas!$O$6:$O$1064)</f>
        <v>0</v>
      </c>
      <c r="J144" s="17">
        <f t="shared" si="2"/>
        <v>4320</v>
      </c>
      <c r="K144" s="46">
        <v>1353757</v>
      </c>
      <c r="L144" s="34">
        <v>174321</v>
      </c>
    </row>
    <row r="145" hidden="1">
      <c r="B145" s="64">
        <v>43711</v>
      </c>
      <c r="C145" s="9" t="s">
        <v>2521</v>
      </c>
      <c r="D145" s="6" t="s">
        <v>2522</v>
      </c>
      <c r="E145" s="6" t="s">
        <v>2233</v>
      </c>
      <c r="F145" s="6" t="s">
        <v>2226</v>
      </c>
      <c r="G145" s="6" t="s">
        <v>2258</v>
      </c>
      <c r="H145" s="7">
        <v>3240</v>
      </c>
      <c r="I145" s="8">
        <f>SUMIF(Cargas!$C$6:$C$1064,C145,Cargas!$O$6:$O$1064)</f>
        <v>0</v>
      </c>
      <c r="J145" s="17">
        <f t="shared" si="2"/>
        <v>3240</v>
      </c>
      <c r="K145" s="46">
        <v>1354342</v>
      </c>
      <c r="L145" s="34"/>
    </row>
    <row r="146" hidden="1" ht="23.25" customHeight="1">
      <c r="B146" s="64">
        <v>43711</v>
      </c>
      <c r="C146" s="9" t="s">
        <v>2523</v>
      </c>
      <c r="D146" s="6" t="s">
        <v>2524</v>
      </c>
      <c r="E146" s="6" t="s">
        <v>2220</v>
      </c>
      <c r="F146" s="6" t="s">
        <v>2226</v>
      </c>
      <c r="G146" s="6" t="s">
        <v>2258</v>
      </c>
      <c r="H146" s="7">
        <v>2160</v>
      </c>
      <c r="I146" s="8">
        <f>SUMIF(Cargas!$C$6:$C$1064,C146,Cargas!$O$6:$O$1064)</f>
        <v>0</v>
      </c>
      <c r="J146" s="17">
        <f t="shared" si="2"/>
        <v>2160</v>
      </c>
      <c r="K146" s="46">
        <v>1353822</v>
      </c>
      <c r="L146" s="34">
        <v>162772</v>
      </c>
    </row>
    <row r="147" hidden="1" ht="23.25" customHeight="1">
      <c r="B147" s="64">
        <v>43711</v>
      </c>
      <c r="C147" s="9" t="s">
        <v>2525</v>
      </c>
      <c r="D147" s="6" t="s">
        <v>2526</v>
      </c>
      <c r="E147" s="6" t="s">
        <v>2233</v>
      </c>
      <c r="F147" s="6" t="s">
        <v>2221</v>
      </c>
      <c r="G147" s="6" t="s">
        <v>2227</v>
      </c>
      <c r="H147" s="7">
        <v>3150</v>
      </c>
      <c r="I147" s="8">
        <f>SUMIF(Cargas!$C$6:$C$1064,C147,Cargas!$O$6:$O$1064)</f>
        <v>0</v>
      </c>
      <c r="J147" s="17">
        <f t="shared" si="2"/>
        <v>3150</v>
      </c>
      <c r="K147" s="34">
        <v>1354343</v>
      </c>
      <c r="L147" s="34">
        <v>163512</v>
      </c>
    </row>
    <row r="148" hidden="1">
      <c r="B148" s="64">
        <v>43715</v>
      </c>
      <c r="C148" s="9" t="s">
        <v>2527</v>
      </c>
      <c r="D148" s="6" t="s">
        <v>2528</v>
      </c>
      <c r="E148" s="6" t="s">
        <v>2220</v>
      </c>
      <c r="F148" s="6" t="s">
        <v>2226</v>
      </c>
      <c r="G148" s="6" t="s">
        <v>2258</v>
      </c>
      <c r="H148" s="7">
        <v>2160</v>
      </c>
      <c r="I148" s="8">
        <f>SUMIF(Cargas!$C$6:$C$1064,C148,Cargas!$O$6:$O$1064)</f>
        <v>0</v>
      </c>
      <c r="J148" s="17">
        <f t="shared" si="2"/>
        <v>2160</v>
      </c>
      <c r="K148" s="46">
        <v>1354366</v>
      </c>
      <c r="L148" s="34">
        <v>169108</v>
      </c>
    </row>
    <row r="149" hidden="1">
      <c r="B149" s="64">
        <v>43716</v>
      </c>
      <c r="C149" s="9" t="s">
        <v>2529</v>
      </c>
      <c r="D149" s="6" t="s">
        <v>2530</v>
      </c>
      <c r="E149" s="6" t="s">
        <v>2220</v>
      </c>
      <c r="F149" s="6" t="s">
        <v>2226</v>
      </c>
      <c r="G149" s="6" t="s">
        <v>2258</v>
      </c>
      <c r="H149" s="7">
        <v>2160</v>
      </c>
      <c r="I149" s="8">
        <f>SUMIF(Cargas!$C$6:$C$1064,C149,Cargas!$O$6:$O$1064)</f>
        <v>0</v>
      </c>
      <c r="J149" s="17">
        <f t="shared" si="2"/>
        <v>2160</v>
      </c>
      <c r="K149" s="46">
        <v>1353800</v>
      </c>
      <c r="L149" s="34">
        <v>162771</v>
      </c>
    </row>
    <row r="150" hidden="1">
      <c r="B150" s="64">
        <v>43716</v>
      </c>
      <c r="C150" s="9" t="s">
        <v>2531</v>
      </c>
      <c r="D150" s="6" t="s">
        <v>2532</v>
      </c>
      <c r="E150" s="6" t="s">
        <v>2220</v>
      </c>
      <c r="F150" s="6" t="s">
        <v>2221</v>
      </c>
      <c r="G150" s="6" t="s">
        <v>2222</v>
      </c>
      <c r="H150" s="7">
        <v>4320</v>
      </c>
      <c r="I150" s="8">
        <f>SUMIF(Cargas!$C$6:$C$1064,C150,Cargas!$O$6:$O$1064)</f>
        <v>0</v>
      </c>
      <c r="J150" s="17">
        <f t="shared" si="2"/>
        <v>4320</v>
      </c>
      <c r="K150" s="46">
        <v>1354365</v>
      </c>
      <c r="L150" s="34">
        <v>178419</v>
      </c>
    </row>
    <row r="151" hidden="1">
      <c r="B151" s="64">
        <v>43718</v>
      </c>
      <c r="C151" s="9" t="s">
        <v>2533</v>
      </c>
      <c r="D151" s="6" t="s">
        <v>2534</v>
      </c>
      <c r="E151" s="6" t="s">
        <v>2233</v>
      </c>
      <c r="F151" s="6" t="s">
        <v>2226</v>
      </c>
      <c r="G151" s="6" t="s">
        <v>2258</v>
      </c>
      <c r="H151" s="7">
        <v>3240</v>
      </c>
      <c r="I151" s="8">
        <f>SUMIF(Cargas!$C$6:$C$1064,C151,Cargas!$O$6:$O$1064)</f>
        <v>0</v>
      </c>
      <c r="J151" s="17">
        <f t="shared" si="2"/>
        <v>3240</v>
      </c>
      <c r="K151" s="46">
        <v>1354821</v>
      </c>
      <c r="L151" s="34">
        <v>168150</v>
      </c>
    </row>
    <row r="152" hidden="1">
      <c r="B152" s="64">
        <v>43718</v>
      </c>
      <c r="C152" s="9" t="s">
        <v>2535</v>
      </c>
      <c r="D152" s="6" t="s">
        <v>2536</v>
      </c>
      <c r="E152" s="6" t="s">
        <v>2233</v>
      </c>
      <c r="F152" s="6" t="s">
        <v>2226</v>
      </c>
      <c r="G152" s="6" t="s">
        <v>2227</v>
      </c>
      <c r="H152" s="7">
        <v>3150</v>
      </c>
      <c r="I152" s="8">
        <f>SUMIF(Cargas!$C$6:$C$1064,C152,Cargas!$O$6:$O$1064)</f>
        <v>0</v>
      </c>
      <c r="J152" s="17">
        <f t="shared" si="2"/>
        <v>3150</v>
      </c>
      <c r="K152" s="34">
        <v>1354822</v>
      </c>
      <c r="L152" s="34">
        <v>168149</v>
      </c>
    </row>
    <row r="153" hidden="1">
      <c r="B153" s="64">
        <v>43718</v>
      </c>
      <c r="C153" s="9" t="s">
        <v>2537</v>
      </c>
      <c r="D153" s="6" t="s">
        <v>2538</v>
      </c>
      <c r="E153" s="6" t="s">
        <v>2469</v>
      </c>
      <c r="F153" s="6" t="s">
        <v>2226</v>
      </c>
      <c r="G153" s="6" t="s">
        <v>2258</v>
      </c>
      <c r="H153" s="7">
        <v>2160</v>
      </c>
      <c r="I153" s="8">
        <f>SUMIF(Cargas!$C$6:$C$1064,C153,Cargas!$O$6:$O$1064)</f>
        <v>0</v>
      </c>
      <c r="J153" s="17">
        <f t="shared" si="2"/>
        <v>2160</v>
      </c>
      <c r="K153" s="34">
        <v>1354465</v>
      </c>
      <c r="L153" s="34">
        <v>169109</v>
      </c>
    </row>
    <row r="154" hidden="1">
      <c r="B154" s="64">
        <v>43719</v>
      </c>
      <c r="C154" s="9" t="s">
        <v>2539</v>
      </c>
      <c r="D154" s="6" t="s">
        <v>2540</v>
      </c>
      <c r="E154" s="6" t="s">
        <v>2394</v>
      </c>
      <c r="F154" s="6" t="s">
        <v>2226</v>
      </c>
      <c r="G154" s="6" t="s">
        <v>2258</v>
      </c>
      <c r="H154" s="7">
        <v>2288</v>
      </c>
      <c r="I154" s="8">
        <f>SUMIF(Cargas!$C$6:$C$1064,C154,Cargas!$O$6:$O$1064)</f>
        <v>0</v>
      </c>
      <c r="J154" s="17">
        <f t="shared" si="2"/>
        <v>2288</v>
      </c>
      <c r="K154" s="34">
        <v>1355168</v>
      </c>
      <c r="L154" s="34">
        <v>157813</v>
      </c>
    </row>
    <row r="155" hidden="1">
      <c r="B155" s="64">
        <v>43723</v>
      </c>
      <c r="C155" s="9" t="s">
        <v>2541</v>
      </c>
      <c r="D155" s="6" t="s">
        <v>2542</v>
      </c>
      <c r="E155" s="6" t="s">
        <v>2220</v>
      </c>
      <c r="F155" s="6" t="s">
        <v>2221</v>
      </c>
      <c r="G155" s="6" t="s">
        <v>2222</v>
      </c>
      <c r="H155" s="7">
        <v>4320</v>
      </c>
      <c r="I155" s="8">
        <f>SUMIF(Cargas!$C$6:$C$1064,C155,Cargas!$O$6:$O$1064)</f>
        <v>0</v>
      </c>
      <c r="J155" s="17">
        <f t="shared" si="2"/>
        <v>4320</v>
      </c>
      <c r="K155" s="46">
        <v>1354824</v>
      </c>
      <c r="L155" s="34">
        <v>183099</v>
      </c>
    </row>
    <row r="156" hidden="1">
      <c r="A156" s="0" t="s">
        <v>0</v>
      </c>
      <c r="B156" s="64">
        <v>43724</v>
      </c>
      <c r="C156" s="9" t="s">
        <v>2543</v>
      </c>
      <c r="D156" s="6" t="s">
        <v>2544</v>
      </c>
      <c r="E156" s="6" t="s">
        <v>2257</v>
      </c>
      <c r="F156" s="6" t="s">
        <v>2226</v>
      </c>
      <c r="G156" s="6" t="s">
        <v>2282</v>
      </c>
      <c r="H156" s="7">
        <v>1320</v>
      </c>
      <c r="I156" s="8">
        <f>SUMIF(Cargas!$C$6:$C$1064,C156,Cargas!$O$6:$O$1064)</f>
        <v>0</v>
      </c>
      <c r="J156" s="17">
        <f t="shared" si="2"/>
        <v>1320</v>
      </c>
      <c r="K156" s="34">
        <v>1355527</v>
      </c>
      <c r="L156" s="34">
        <v>167302</v>
      </c>
    </row>
    <row r="157" hidden="1">
      <c r="B157" s="64">
        <v>43725</v>
      </c>
      <c r="C157" s="9" t="s">
        <v>2545</v>
      </c>
      <c r="D157" s="6" t="s">
        <v>2546</v>
      </c>
      <c r="E157" s="6" t="s">
        <v>2225</v>
      </c>
      <c r="F157" s="6" t="s">
        <v>2226</v>
      </c>
      <c r="G157" s="6" t="s">
        <v>2227</v>
      </c>
      <c r="H157" s="7">
        <v>1680</v>
      </c>
      <c r="I157" s="8">
        <f>SUMIF(Cargas!$C$6:$C$1064,C157,Cargas!$O$6:$O$1064)</f>
        <v>0</v>
      </c>
      <c r="J157" s="17">
        <f t="shared" si="2"/>
        <v>1680</v>
      </c>
      <c r="K157" s="46">
        <v>1354826</v>
      </c>
      <c r="L157" s="34">
        <v>171972</v>
      </c>
    </row>
    <row r="158" hidden="1">
      <c r="B158" s="64">
        <v>43725</v>
      </c>
      <c r="C158" s="9" t="s">
        <v>2547</v>
      </c>
      <c r="D158" s="6" t="s">
        <v>2548</v>
      </c>
      <c r="E158" s="6" t="s">
        <v>2233</v>
      </c>
      <c r="F158" s="6" t="s">
        <v>2226</v>
      </c>
      <c r="G158" s="6" t="s">
        <v>2258</v>
      </c>
      <c r="H158" s="7">
        <v>3240</v>
      </c>
      <c r="I158" s="8">
        <f>SUMIF(Cargas!$C$6:$C$1064,C158,Cargas!$O$6:$O$1064)</f>
        <v>0</v>
      </c>
      <c r="J158" s="17">
        <f t="shared" si="2"/>
        <v>3240</v>
      </c>
      <c r="K158" s="46">
        <v>1355095</v>
      </c>
      <c r="L158" s="34">
        <v>172844</v>
      </c>
    </row>
    <row r="159" hidden="1">
      <c r="B159" s="64">
        <v>43725</v>
      </c>
      <c r="C159" s="9" t="s">
        <v>2549</v>
      </c>
      <c r="D159" s="6" t="s">
        <v>2550</v>
      </c>
      <c r="E159" s="6" t="s">
        <v>2220</v>
      </c>
      <c r="F159" s="6" t="s">
        <v>2226</v>
      </c>
      <c r="G159" s="6" t="s">
        <v>2282</v>
      </c>
      <c r="H159" s="7">
        <v>1080</v>
      </c>
      <c r="I159" s="8">
        <f>SUMIF(Cargas!$C$6:$C$1064,C159,Cargas!$O$6:$O$1064)</f>
        <v>0</v>
      </c>
      <c r="J159" s="17">
        <f t="shared" si="2"/>
        <v>1080</v>
      </c>
      <c r="K159" s="46">
        <v>1354873</v>
      </c>
      <c r="L159" s="34">
        <v>172155</v>
      </c>
    </row>
    <row r="160" hidden="1">
      <c r="B160" s="64">
        <v>43725</v>
      </c>
      <c r="C160" s="9" t="s">
        <v>2551</v>
      </c>
      <c r="D160" s="6" t="s">
        <v>2552</v>
      </c>
      <c r="E160" s="6" t="s">
        <v>2233</v>
      </c>
      <c r="F160" s="6" t="s">
        <v>2226</v>
      </c>
      <c r="G160" s="6" t="s">
        <v>2227</v>
      </c>
      <c r="H160" s="7">
        <v>3150</v>
      </c>
      <c r="I160" s="8">
        <f>SUMIF(Cargas!$C$6:$C$1064,C160,Cargas!$O$6:$O$1064)</f>
        <v>0</v>
      </c>
      <c r="J160" s="17">
        <f t="shared" si="2"/>
        <v>3150</v>
      </c>
      <c r="K160" s="34">
        <v>1355094</v>
      </c>
      <c r="L160" s="34">
        <v>171974</v>
      </c>
    </row>
    <row r="161" hidden="1">
      <c r="B161" s="64">
        <v>43730</v>
      </c>
      <c r="C161" s="9" t="s">
        <v>2553</v>
      </c>
      <c r="D161" s="6" t="s">
        <v>2554</v>
      </c>
      <c r="E161" s="6" t="s">
        <v>2220</v>
      </c>
      <c r="F161" s="6" t="s">
        <v>2221</v>
      </c>
      <c r="G161" s="6" t="s">
        <v>2222</v>
      </c>
      <c r="H161" s="7">
        <v>4320</v>
      </c>
      <c r="I161" s="8">
        <f>SUMIF(Cargas!$C$6:$C$1064,C161,Cargas!$O$6:$O$1064)</f>
        <v>0</v>
      </c>
      <c r="J161" s="17">
        <f t="shared" si="2"/>
        <v>4320</v>
      </c>
      <c r="K161" s="46">
        <v>1355249</v>
      </c>
      <c r="L161" s="34">
        <v>188561</v>
      </c>
    </row>
    <row r="162" hidden="1">
      <c r="B162" s="64">
        <v>43732</v>
      </c>
      <c r="C162" s="9" t="s">
        <v>2555</v>
      </c>
      <c r="D162" s="6" t="s">
        <v>2556</v>
      </c>
      <c r="E162" s="6" t="s">
        <v>2233</v>
      </c>
      <c r="F162" s="6" t="s">
        <v>2226</v>
      </c>
      <c r="G162" s="6" t="s">
        <v>2258</v>
      </c>
      <c r="H162" s="7">
        <v>3240</v>
      </c>
      <c r="I162" s="8">
        <f>SUMIF(Cargas!$C$6:$C$1064,C162,Cargas!$O$6:$O$1064)</f>
        <v>0</v>
      </c>
      <c r="J162" s="17">
        <f t="shared" si="2"/>
        <v>3240</v>
      </c>
      <c r="K162" s="46">
        <v>1355852</v>
      </c>
      <c r="L162" s="34">
        <v>176512</v>
      </c>
    </row>
    <row r="163" hidden="1">
      <c r="B163" s="64">
        <v>43732</v>
      </c>
      <c r="C163" s="9" t="s">
        <v>2493</v>
      </c>
      <c r="D163" s="6" t="s">
        <v>2494</v>
      </c>
      <c r="E163" s="6" t="s">
        <v>2233</v>
      </c>
      <c r="F163" s="6" t="s">
        <v>2226</v>
      </c>
      <c r="G163" s="6" t="s">
        <v>2227</v>
      </c>
      <c r="H163" s="7">
        <v>3150</v>
      </c>
      <c r="I163" s="8">
        <f>SUMIF(Cargas!$C$6:$C$1064,C163,Cargas!$O$6:$O$1064)</f>
        <v>0</v>
      </c>
      <c r="J163" s="17">
        <f t="shared" si="2"/>
        <v>3150</v>
      </c>
      <c r="K163" s="34">
        <v>1355853</v>
      </c>
      <c r="L163" s="34">
        <v>176616</v>
      </c>
    </row>
    <row r="164" hidden="1">
      <c r="A164" s="0" t="s">
        <v>0</v>
      </c>
      <c r="B164" s="64">
        <v>43733</v>
      </c>
      <c r="C164" s="9" t="s">
        <v>2557</v>
      </c>
      <c r="D164" s="6" t="s">
        <v>2558</v>
      </c>
      <c r="E164" s="6" t="s">
        <v>2559</v>
      </c>
      <c r="F164" s="6" t="s">
        <v>978</v>
      </c>
      <c r="G164" s="6" t="s">
        <v>2560</v>
      </c>
      <c r="H164" s="7">
        <v>1104</v>
      </c>
      <c r="I164" s="8">
        <f>SUMIF(Cargas!$C$6:$C$1064,C164,Cargas!$O$6:$O$1064)</f>
        <v>0</v>
      </c>
      <c r="J164" s="17">
        <f t="shared" si="2"/>
        <v>1104</v>
      </c>
      <c r="K164" s="34">
        <v>1356080</v>
      </c>
      <c r="L164" s="34">
        <v>169061</v>
      </c>
    </row>
    <row r="165" hidden="1">
      <c r="B165" s="64">
        <v>43737</v>
      </c>
      <c r="C165" s="9" t="s">
        <v>2561</v>
      </c>
      <c r="D165" s="6" t="s">
        <v>2562</v>
      </c>
      <c r="E165" s="6" t="s">
        <v>2220</v>
      </c>
      <c r="F165" s="6" t="s">
        <v>2221</v>
      </c>
      <c r="G165" s="6" t="s">
        <v>2222</v>
      </c>
      <c r="H165" s="7">
        <v>4320</v>
      </c>
      <c r="I165" s="8">
        <f>SUMIF(Cargas!$C$6:$C$1064,C165,Cargas!$O$6:$O$1064)</f>
        <v>0</v>
      </c>
      <c r="J165" s="17">
        <f t="shared" si="2"/>
        <v>4320</v>
      </c>
      <c r="K165" s="46">
        <v>1355855</v>
      </c>
      <c r="L165" s="34">
        <v>193149</v>
      </c>
    </row>
    <row r="166" hidden="1">
      <c r="B166" s="64">
        <v>43739</v>
      </c>
      <c r="C166" s="9" t="s">
        <v>2563</v>
      </c>
      <c r="D166" s="6" t="s">
        <v>2564</v>
      </c>
      <c r="E166" s="6" t="s">
        <v>2233</v>
      </c>
      <c r="F166" s="6" t="s">
        <v>2226</v>
      </c>
      <c r="G166" s="6" t="s">
        <v>2258</v>
      </c>
      <c r="H166" s="7">
        <v>3240</v>
      </c>
      <c r="I166" s="8">
        <f>SUMIF(Cargas!$C$6:$C$1064,C166,Cargas!$O$6:$O$1064)</f>
        <v>0</v>
      </c>
      <c r="J166" s="17">
        <f t="shared" si="2"/>
        <v>3240</v>
      </c>
      <c r="K166" s="46">
        <v>1356377</v>
      </c>
      <c r="L166" s="34">
        <v>181387</v>
      </c>
    </row>
    <row r="167" hidden="1">
      <c r="B167" s="64">
        <v>43739</v>
      </c>
      <c r="C167" s="9" t="s">
        <v>2565</v>
      </c>
      <c r="D167" s="6" t="s">
        <v>2566</v>
      </c>
      <c r="E167" s="6" t="s">
        <v>2220</v>
      </c>
      <c r="F167" s="6" t="s">
        <v>2226</v>
      </c>
      <c r="G167" s="6" t="s">
        <v>2282</v>
      </c>
      <c r="H167" s="7">
        <v>2160</v>
      </c>
      <c r="I167" s="8">
        <f>SUMIF(Cargas!$C$6:$C$1064,C167,Cargas!$O$6:$O$1064)</f>
        <v>0</v>
      </c>
      <c r="J167" s="17">
        <f t="shared" si="2"/>
        <v>2160</v>
      </c>
      <c r="K167" s="46">
        <v>1355854</v>
      </c>
      <c r="L167" s="34">
        <v>180465</v>
      </c>
    </row>
    <row r="168" hidden="1">
      <c r="B168" s="64">
        <v>43739</v>
      </c>
      <c r="C168" s="9" t="s">
        <v>2567</v>
      </c>
      <c r="D168" s="6" t="s">
        <v>2568</v>
      </c>
      <c r="E168" s="6" t="s">
        <v>2233</v>
      </c>
      <c r="F168" s="6" t="s">
        <v>2226</v>
      </c>
      <c r="G168" s="6" t="s">
        <v>2227</v>
      </c>
      <c r="H168" s="7">
        <v>3150</v>
      </c>
      <c r="I168" s="8">
        <f>SUMIF(Cargas!$C$6:$C$1064,C168,Cargas!$O$6:$O$1064)</f>
        <v>0</v>
      </c>
      <c r="J168" s="17">
        <f t="shared" si="2"/>
        <v>3150</v>
      </c>
      <c r="K168" s="34">
        <v>1356378</v>
      </c>
      <c r="L168" s="34">
        <v>182245</v>
      </c>
    </row>
    <row r="169" hidden="1">
      <c r="A169" s="0" t="s">
        <v>0</v>
      </c>
      <c r="B169" s="64">
        <v>43740</v>
      </c>
      <c r="C169" s="9" t="s">
        <v>2569</v>
      </c>
      <c r="D169" s="6" t="s">
        <v>2570</v>
      </c>
      <c r="E169" s="6" t="s">
        <v>2559</v>
      </c>
      <c r="F169" s="6" t="s">
        <v>978</v>
      </c>
      <c r="G169" s="6" t="s">
        <v>2560</v>
      </c>
      <c r="H169" s="7">
        <v>1104</v>
      </c>
      <c r="I169" s="8">
        <f>SUMIF(Cargas!$C$6:$C$1064,C169,Cargas!$O$6:$O$1064)</f>
        <v>0</v>
      </c>
      <c r="J169" s="17">
        <f t="shared" si="2"/>
        <v>1104</v>
      </c>
      <c r="K169" s="34">
        <v>1356533</v>
      </c>
      <c r="L169" s="34">
        <v>173622</v>
      </c>
    </row>
    <row r="170" hidden="1">
      <c r="A170" s="0" t="s">
        <v>0</v>
      </c>
      <c r="B170" s="64">
        <v>43743</v>
      </c>
      <c r="C170" s="9" t="s">
        <v>2571</v>
      </c>
      <c r="D170" s="6" t="s">
        <v>2572</v>
      </c>
      <c r="E170" s="6" t="s">
        <v>2573</v>
      </c>
      <c r="F170" s="6" t="s">
        <v>2221</v>
      </c>
      <c r="G170" s="6" t="s">
        <v>2222</v>
      </c>
      <c r="H170" s="7">
        <v>2288</v>
      </c>
      <c r="I170" s="8">
        <f>SUMIF(Cargas!$C$6:$C$1064,C170,Cargas!$O$6:$O$1064)</f>
        <v>0</v>
      </c>
      <c r="J170" s="17">
        <f t="shared" si="2"/>
        <v>2288</v>
      </c>
      <c r="K170" s="34">
        <v>1356534</v>
      </c>
      <c r="L170" s="34">
        <v>194818</v>
      </c>
    </row>
    <row r="171" hidden="1">
      <c r="B171" s="64">
        <v>43745</v>
      </c>
      <c r="C171" s="9" t="s">
        <v>2574</v>
      </c>
      <c r="D171" s="6" t="s">
        <v>2575</v>
      </c>
      <c r="E171" s="6" t="s">
        <v>2220</v>
      </c>
      <c r="F171" s="6" t="s">
        <v>2221</v>
      </c>
      <c r="G171" s="6" t="s">
        <v>2222</v>
      </c>
      <c r="H171" s="7">
        <v>4320</v>
      </c>
      <c r="I171" s="8">
        <f>SUMIF(Cargas!$C$6:$C$1064,C171,Cargas!$O$6:$O$1064)</f>
        <v>0</v>
      </c>
      <c r="J171" s="17">
        <f t="shared" si="2"/>
        <v>4320</v>
      </c>
      <c r="K171" s="46">
        <v>1356513</v>
      </c>
      <c r="L171" s="34">
        <v>197751</v>
      </c>
    </row>
    <row r="172" hidden="1">
      <c r="B172" s="64">
        <v>43746</v>
      </c>
      <c r="C172" s="9" t="s">
        <v>2576</v>
      </c>
      <c r="D172" s="6" t="s">
        <v>2577</v>
      </c>
      <c r="E172" s="6" t="s">
        <v>2225</v>
      </c>
      <c r="F172" s="6" t="s">
        <v>2226</v>
      </c>
      <c r="G172" s="6" t="s">
        <v>2227</v>
      </c>
      <c r="H172" s="7">
        <v>1680</v>
      </c>
      <c r="I172" s="8">
        <f>SUMIF(Cargas!$C$6:$C$1064,C172,Cargas!$O$6:$O$1064)</f>
        <v>0</v>
      </c>
      <c r="J172" s="17">
        <f t="shared" si="2"/>
        <v>1680</v>
      </c>
      <c r="K172" s="46">
        <v>1356401</v>
      </c>
      <c r="L172" s="34">
        <v>184088</v>
      </c>
    </row>
    <row r="173" hidden="1">
      <c r="B173" s="64">
        <v>43746</v>
      </c>
      <c r="C173" s="9" t="s">
        <v>2578</v>
      </c>
      <c r="D173" s="6" t="s">
        <v>2579</v>
      </c>
      <c r="E173" s="6" t="s">
        <v>2233</v>
      </c>
      <c r="F173" s="6" t="s">
        <v>2226</v>
      </c>
      <c r="G173" s="6" t="s">
        <v>2258</v>
      </c>
      <c r="H173" s="7">
        <v>3240</v>
      </c>
      <c r="I173" s="8">
        <f>SUMIF(Cargas!$C$6:$C$1064,C173,Cargas!$O$6:$O$1064)</f>
        <v>0</v>
      </c>
      <c r="J173" s="17">
        <f t="shared" si="2"/>
        <v>3240</v>
      </c>
      <c r="K173" s="46">
        <v>1356858</v>
      </c>
      <c r="L173" s="34">
        <v>187166</v>
      </c>
    </row>
    <row r="174" hidden="1">
      <c r="B174" s="64">
        <v>43746</v>
      </c>
      <c r="C174" s="9" t="s">
        <v>2580</v>
      </c>
      <c r="D174" s="6" t="s">
        <v>2581</v>
      </c>
      <c r="E174" s="6" t="s">
        <v>2233</v>
      </c>
      <c r="F174" s="6" t="s">
        <v>2226</v>
      </c>
      <c r="G174" s="6" t="s">
        <v>2227</v>
      </c>
      <c r="H174" s="7">
        <v>3150</v>
      </c>
      <c r="I174" s="8">
        <f>SUMIF(Cargas!$C$6:$C$1064,C174,Cargas!$O$6:$O$1064)</f>
        <v>0</v>
      </c>
      <c r="J174" s="17">
        <f t="shared" si="2"/>
        <v>3150</v>
      </c>
      <c r="K174" s="34">
        <v>1356861</v>
      </c>
      <c r="L174" s="34">
        <v>187165</v>
      </c>
    </row>
    <row r="175" hidden="1">
      <c r="A175" s="0" t="s">
        <v>0</v>
      </c>
      <c r="B175" s="64">
        <v>43747</v>
      </c>
      <c r="C175" s="9" t="s">
        <v>2582</v>
      </c>
      <c r="D175" s="6" t="s">
        <v>2583</v>
      </c>
      <c r="E175" s="6" t="s">
        <v>865</v>
      </c>
      <c r="F175" s="6" t="s">
        <v>978</v>
      </c>
      <c r="G175" s="6" t="s">
        <v>2584</v>
      </c>
      <c r="H175" s="7">
        <v>1000</v>
      </c>
      <c r="I175" s="8">
        <f>SUMIF(Cargas!$C$6:$C$1064,C175,Cargas!$O$6:$O$1064)</f>
        <v>0</v>
      </c>
      <c r="J175" s="17">
        <f t="shared" si="2"/>
        <v>1000</v>
      </c>
      <c r="K175" s="34">
        <v>1357050</v>
      </c>
      <c r="L175" s="34">
        <v>181180</v>
      </c>
      <c r="M175" s="0" t="s">
        <v>865</v>
      </c>
    </row>
    <row r="176" hidden="1">
      <c r="A176" s="0" t="s">
        <v>0</v>
      </c>
      <c r="B176" s="64">
        <v>43747</v>
      </c>
      <c r="C176" s="9" t="s">
        <v>2585</v>
      </c>
      <c r="D176" s="6" t="s">
        <v>2586</v>
      </c>
      <c r="E176" s="6" t="s">
        <v>2559</v>
      </c>
      <c r="F176" s="6" t="s">
        <v>978</v>
      </c>
      <c r="G176" s="6" t="s">
        <v>2560</v>
      </c>
      <c r="H176" s="7">
        <v>1104</v>
      </c>
      <c r="I176" s="8">
        <f>SUMIF(Cargas!$C$6:$C$1064,C176,Cargas!$O$6:$O$1064)</f>
        <v>0</v>
      </c>
      <c r="J176" s="17">
        <f t="shared" si="2"/>
        <v>1104</v>
      </c>
      <c r="K176" s="34">
        <v>1357048</v>
      </c>
      <c r="L176" s="34">
        <v>178294</v>
      </c>
    </row>
    <row r="177" hidden="1">
      <c r="A177" s="0" t="s">
        <v>0</v>
      </c>
      <c r="B177" s="64">
        <v>43747</v>
      </c>
      <c r="C177" s="9" t="s">
        <v>2587</v>
      </c>
      <c r="D177" s="6" t="s">
        <v>2588</v>
      </c>
      <c r="E177" s="6" t="s">
        <v>2316</v>
      </c>
      <c r="F177" s="6" t="s">
        <v>978</v>
      </c>
      <c r="G177" s="6" t="s">
        <v>2349</v>
      </c>
      <c r="H177" s="7">
        <v>1000</v>
      </c>
      <c r="I177" s="8">
        <f>SUMIF(Cargas!$C$6:$C$1064,C177,Cargas!$O$6:$O$1064)</f>
        <v>0</v>
      </c>
      <c r="J177" s="17">
        <f t="shared" si="2"/>
        <v>1000</v>
      </c>
      <c r="K177" s="34">
        <v>1357051</v>
      </c>
      <c r="L177" s="34">
        <v>181288</v>
      </c>
      <c r="M177" s="0" t="s">
        <v>2316</v>
      </c>
    </row>
    <row r="178" hidden="1">
      <c r="B178" s="64">
        <v>43751</v>
      </c>
      <c r="C178" s="9" t="s">
        <v>2589</v>
      </c>
      <c r="D178" s="6" t="s">
        <v>2590</v>
      </c>
      <c r="E178" s="6" t="s">
        <v>2220</v>
      </c>
      <c r="F178" s="6" t="s">
        <v>2221</v>
      </c>
      <c r="G178" s="6" t="s">
        <v>2222</v>
      </c>
      <c r="H178" s="7">
        <v>2160</v>
      </c>
      <c r="I178" s="8">
        <f>SUMIF(Cargas!$C$6:$C$1064,C178,Cargas!$O$6:$O$1064)</f>
        <v>0</v>
      </c>
      <c r="J178" s="17">
        <f t="shared" si="2"/>
        <v>2160</v>
      </c>
      <c r="K178" s="46">
        <v>1357045</v>
      </c>
      <c r="L178" s="34">
        <v>202460</v>
      </c>
    </row>
    <row r="179" hidden="1">
      <c r="B179" s="64">
        <v>43753</v>
      </c>
      <c r="C179" s="9" t="s">
        <v>2591</v>
      </c>
      <c r="D179" s="6" t="s">
        <v>2592</v>
      </c>
      <c r="E179" s="6" t="s">
        <v>2233</v>
      </c>
      <c r="F179" s="6" t="s">
        <v>2226</v>
      </c>
      <c r="G179" s="6" t="s">
        <v>2227</v>
      </c>
      <c r="H179" s="7">
        <v>3240</v>
      </c>
      <c r="I179" s="8">
        <f>SUMIF(Cargas!$C$6:$C$1064,C179,Cargas!$O$6:$O$1064)</f>
        <v>0</v>
      </c>
      <c r="J179" s="17">
        <f t="shared" si="2"/>
        <v>3240</v>
      </c>
      <c r="K179" s="46">
        <v>1357405</v>
      </c>
      <c r="L179" s="34">
        <v>193058</v>
      </c>
    </row>
    <row r="180" hidden="1">
      <c r="A180" s="0" t="s">
        <v>0</v>
      </c>
      <c r="B180" s="64">
        <v>43754</v>
      </c>
      <c r="C180" s="9" t="s">
        <v>2593</v>
      </c>
      <c r="D180" s="6" t="s">
        <v>2594</v>
      </c>
      <c r="E180" s="6" t="s">
        <v>865</v>
      </c>
      <c r="F180" s="6" t="s">
        <v>978</v>
      </c>
      <c r="G180" s="6" t="s">
        <v>2584</v>
      </c>
      <c r="H180" s="7">
        <v>1000</v>
      </c>
      <c r="I180" s="8">
        <f>SUMIF(Cargas!$C$6:$C$1064,C180,Cargas!$O$6:$O$1064)</f>
        <v>0</v>
      </c>
      <c r="J180" s="17">
        <f t="shared" si="2"/>
        <v>1000</v>
      </c>
      <c r="K180" s="34">
        <v>1357561</v>
      </c>
      <c r="L180" s="34">
        <v>186140</v>
      </c>
      <c r="M180" s="0" t="s">
        <v>865</v>
      </c>
    </row>
    <row r="181" hidden="1">
      <c r="A181" s="0" t="s">
        <v>0</v>
      </c>
      <c r="B181" s="64">
        <v>43754</v>
      </c>
      <c r="C181" s="9" t="s">
        <v>2595</v>
      </c>
      <c r="D181" s="6" t="s">
        <v>2596</v>
      </c>
      <c r="E181" s="6" t="s">
        <v>2559</v>
      </c>
      <c r="F181" s="6" t="s">
        <v>978</v>
      </c>
      <c r="G181" s="6" t="s">
        <v>2560</v>
      </c>
      <c r="H181" s="7">
        <v>1104</v>
      </c>
      <c r="I181" s="8">
        <f>SUMIF(Cargas!$C$6:$C$1064,C181,Cargas!$O$6:$O$1064)</f>
        <v>0</v>
      </c>
      <c r="J181" s="17">
        <f t="shared" si="2"/>
        <v>1104</v>
      </c>
      <c r="K181" s="34">
        <v>1357560</v>
      </c>
      <c r="L181" s="34">
        <v>183205</v>
      </c>
    </row>
    <row r="182" hidden="1">
      <c r="B182" s="64">
        <v>43758</v>
      </c>
      <c r="C182" s="9" t="s">
        <v>2597</v>
      </c>
      <c r="D182" s="6" t="s">
        <v>2598</v>
      </c>
      <c r="E182" s="6" t="s">
        <v>2220</v>
      </c>
      <c r="F182" s="6" t="s">
        <v>2221</v>
      </c>
      <c r="G182" s="6" t="s">
        <v>2222</v>
      </c>
      <c r="H182" s="7">
        <v>2160</v>
      </c>
      <c r="I182" s="8">
        <f>SUMIF(Cargas!$C$6:$C$1064,C182,Cargas!$O$6:$O$1064)</f>
        <v>0</v>
      </c>
      <c r="J182" s="17">
        <f t="shared" si="2"/>
        <v>2160</v>
      </c>
      <c r="K182" s="46">
        <v>1360985</v>
      </c>
      <c r="L182" s="34">
        <v>207457</v>
      </c>
    </row>
    <row r="183" hidden="1">
      <c r="B183" s="64">
        <v>43758</v>
      </c>
      <c r="C183" s="9" t="s">
        <v>2599</v>
      </c>
      <c r="D183" s="6" t="s">
        <v>2600</v>
      </c>
      <c r="E183" s="6" t="s">
        <v>2220</v>
      </c>
      <c r="F183" s="6" t="s">
        <v>2221</v>
      </c>
      <c r="G183" s="6" t="s">
        <v>2222</v>
      </c>
      <c r="H183" s="7">
        <v>4320</v>
      </c>
      <c r="I183" s="8">
        <f>SUMIF(Cargas!$C$6:$C$1064,C183,Cargas!$O$6:$O$1064)</f>
        <v>0</v>
      </c>
      <c r="J183" s="17">
        <f t="shared" si="2"/>
        <v>4320</v>
      </c>
      <c r="K183" s="46">
        <v>1357547</v>
      </c>
      <c r="L183" s="34">
        <v>207504</v>
      </c>
    </row>
    <row r="184" hidden="1">
      <c r="B184" s="64">
        <v>43760</v>
      </c>
      <c r="C184" s="9" t="s">
        <v>2601</v>
      </c>
      <c r="D184" s="6" t="s">
        <v>2602</v>
      </c>
      <c r="E184" s="6" t="s">
        <v>2225</v>
      </c>
      <c r="F184" s="6" t="s">
        <v>2226</v>
      </c>
      <c r="G184" s="6" t="s">
        <v>2227</v>
      </c>
      <c r="H184" s="7">
        <v>1680</v>
      </c>
      <c r="I184" s="8">
        <f>SUMIF(Cargas!$C$6:$C$1064,C184,Cargas!$O$6:$O$1064)</f>
        <v>0</v>
      </c>
      <c r="J184" s="17">
        <f t="shared" si="2"/>
        <v>1680</v>
      </c>
      <c r="K184" s="46">
        <v>1357830</v>
      </c>
      <c r="L184" s="34">
        <v>196779</v>
      </c>
    </row>
    <row r="185" hidden="1">
      <c r="B185" s="64">
        <v>43760</v>
      </c>
      <c r="C185" s="9" t="s">
        <v>2603</v>
      </c>
      <c r="D185" s="6" t="s">
        <v>2604</v>
      </c>
      <c r="E185" s="6" t="s">
        <v>2233</v>
      </c>
      <c r="F185" s="6" t="s">
        <v>2226</v>
      </c>
      <c r="G185" s="6" t="s">
        <v>2227</v>
      </c>
      <c r="H185" s="7">
        <v>3240</v>
      </c>
      <c r="I185" s="8">
        <f>SUMIF(Cargas!$C$6:$C$1064,C185,Cargas!$O$6:$O$1064)</f>
        <v>0</v>
      </c>
      <c r="J185" s="17">
        <f t="shared" si="2"/>
        <v>3240</v>
      </c>
      <c r="K185" s="46">
        <v>1357796</v>
      </c>
      <c r="L185" s="34">
        <v>196796</v>
      </c>
    </row>
    <row r="186" hidden="1">
      <c r="B186" s="64">
        <v>43760</v>
      </c>
      <c r="C186" s="9" t="s">
        <v>2605</v>
      </c>
      <c r="D186" s="6" t="s">
        <v>2606</v>
      </c>
      <c r="E186" s="6" t="s">
        <v>2233</v>
      </c>
      <c r="F186" s="6" t="s">
        <v>2226</v>
      </c>
      <c r="G186" s="6" t="s">
        <v>2227</v>
      </c>
      <c r="H186" s="7">
        <v>3150</v>
      </c>
      <c r="I186" s="8">
        <f>SUMIF(Cargas!$C$6:$C$1064,C186,Cargas!$O$6:$O$1064)</f>
        <v>0</v>
      </c>
      <c r="J186" s="17">
        <f t="shared" si="2"/>
        <v>3150</v>
      </c>
      <c r="K186" s="34">
        <v>1357797</v>
      </c>
      <c r="L186" s="34">
        <v>197827</v>
      </c>
    </row>
    <row r="187" hidden="1" ht="15.75" customHeight="1">
      <c r="A187" s="0" t="s">
        <v>0</v>
      </c>
      <c r="B187" s="64">
        <v>43763</v>
      </c>
      <c r="C187" s="9" t="s">
        <v>2607</v>
      </c>
      <c r="D187" s="6" t="s">
        <v>2608</v>
      </c>
      <c r="E187" s="6" t="s">
        <v>2230</v>
      </c>
      <c r="F187" s="6" t="s">
        <v>2221</v>
      </c>
      <c r="G187" s="6" t="s">
        <v>2222</v>
      </c>
      <c r="H187" s="7">
        <v>2310</v>
      </c>
      <c r="I187" s="8">
        <f>SUMIF(Cargas!$C$6:$C$1064,C187,Cargas!$O$6:$O$1064)</f>
        <v>0</v>
      </c>
      <c r="J187" s="17">
        <f t="shared" si="2"/>
        <v>2310</v>
      </c>
      <c r="K187" s="34">
        <v>1356763</v>
      </c>
      <c r="L187" s="34">
        <v>203238</v>
      </c>
    </row>
    <row r="188" hidden="1">
      <c r="B188" s="64">
        <v>43765</v>
      </c>
      <c r="C188" s="9" t="s">
        <v>2609</v>
      </c>
      <c r="D188" s="6" t="s">
        <v>2610</v>
      </c>
      <c r="E188" s="6" t="s">
        <v>2220</v>
      </c>
      <c r="F188" s="6" t="s">
        <v>2221</v>
      </c>
      <c r="G188" s="6" t="s">
        <v>2222</v>
      </c>
      <c r="H188" s="7">
        <v>4320</v>
      </c>
      <c r="I188" s="8">
        <f>SUMIF(Cargas!$C$6:$C$1064,C188,Cargas!$O$6:$O$1064)</f>
        <v>0</v>
      </c>
      <c r="J188" s="17">
        <f t="shared" si="2"/>
        <v>4320</v>
      </c>
      <c r="K188" s="46">
        <v>1358034</v>
      </c>
      <c r="L188" s="34">
        <v>213152</v>
      </c>
    </row>
    <row r="189" hidden="1">
      <c r="B189" s="64">
        <v>43767</v>
      </c>
      <c r="C189" s="9" t="s">
        <v>2611</v>
      </c>
      <c r="D189" s="6" t="s">
        <v>2612</v>
      </c>
      <c r="E189" s="6" t="s">
        <v>2233</v>
      </c>
      <c r="F189" s="6" t="s">
        <v>2226</v>
      </c>
      <c r="G189" s="6" t="s">
        <v>2227</v>
      </c>
      <c r="H189" s="7">
        <v>3240</v>
      </c>
      <c r="I189" s="8">
        <f>SUMIF(Cargas!$C$6:$C$1064,C189,Cargas!$O$6:$O$1064)</f>
        <v>0</v>
      </c>
      <c r="J189" s="17">
        <f t="shared" si="2"/>
        <v>3240</v>
      </c>
      <c r="K189" s="46">
        <v>1358182</v>
      </c>
      <c r="L189" s="34">
        <v>201723</v>
      </c>
    </row>
    <row r="190" hidden="1">
      <c r="B190" s="64">
        <v>43767</v>
      </c>
      <c r="C190" s="9" t="s">
        <v>2613</v>
      </c>
      <c r="D190" s="6" t="s">
        <v>2614</v>
      </c>
      <c r="E190" s="6" t="s">
        <v>2233</v>
      </c>
      <c r="F190" s="6" t="s">
        <v>2226</v>
      </c>
      <c r="G190" s="6" t="s">
        <v>2227</v>
      </c>
      <c r="H190" s="7">
        <v>3150</v>
      </c>
      <c r="I190" s="8">
        <f>SUMIF(Cargas!$C$6:$C$1064,C190,Cargas!$O$6:$O$1064)</f>
        <v>0</v>
      </c>
      <c r="J190" s="17">
        <f t="shared" si="2"/>
        <v>3150</v>
      </c>
      <c r="K190" s="34">
        <v>1358183</v>
      </c>
      <c r="L190" s="34">
        <v>201725</v>
      </c>
    </row>
    <row r="191" hidden="1">
      <c r="B191" s="64">
        <v>43772</v>
      </c>
      <c r="C191" s="9" t="s">
        <v>2615</v>
      </c>
      <c r="D191" s="6" t="s">
        <v>2616</v>
      </c>
      <c r="E191" s="6" t="s">
        <v>2220</v>
      </c>
      <c r="F191" s="6" t="s">
        <v>2221</v>
      </c>
      <c r="G191" s="6" t="s">
        <v>2222</v>
      </c>
      <c r="H191" s="7">
        <v>4320</v>
      </c>
      <c r="I191" s="8">
        <f>SUMIF(Cargas!$C$6:$C$1064,C191,Cargas!$O$6:$O$1064)</f>
        <v>0</v>
      </c>
      <c r="J191" s="17">
        <f t="shared" si="2"/>
        <v>4320</v>
      </c>
      <c r="K191" s="46">
        <v>1358581</v>
      </c>
      <c r="L191" s="34">
        <v>217124</v>
      </c>
    </row>
    <row r="192" hidden="1">
      <c r="B192" s="64">
        <v>43774</v>
      </c>
      <c r="C192" s="9" t="s">
        <v>2617</v>
      </c>
      <c r="D192" s="6" t="s">
        <v>2618</v>
      </c>
      <c r="E192" s="6" t="s">
        <v>2225</v>
      </c>
      <c r="F192" s="6" t="s">
        <v>2226</v>
      </c>
      <c r="G192" s="6" t="s">
        <v>2227</v>
      </c>
      <c r="H192" s="7">
        <v>1680</v>
      </c>
      <c r="I192" s="8">
        <f>SUMIF(Cargas!$C$6:$C$1064,C192,Cargas!$O$6:$O$1064)</f>
        <v>0</v>
      </c>
      <c r="J192" s="17">
        <f t="shared" si="2"/>
        <v>1680</v>
      </c>
      <c r="K192" s="46">
        <v>1358956</v>
      </c>
      <c r="L192" s="34">
        <v>206293</v>
      </c>
    </row>
    <row r="193" hidden="1">
      <c r="A193" s="0" t="s">
        <v>0</v>
      </c>
      <c r="B193" s="64">
        <v>43775</v>
      </c>
      <c r="C193" s="9" t="s">
        <v>2619</v>
      </c>
      <c r="D193" s="6" t="s">
        <v>2620</v>
      </c>
      <c r="E193" s="6" t="s">
        <v>2257</v>
      </c>
      <c r="F193" s="6" t="s">
        <v>2226</v>
      </c>
      <c r="G193" s="6" t="s">
        <v>2258</v>
      </c>
      <c r="H193" s="7">
        <v>1320</v>
      </c>
      <c r="I193" s="8">
        <f>SUMIF(Cargas!$C$6:$C$1064,C193,Cargas!$O$6:$O$1064)</f>
        <v>0</v>
      </c>
      <c r="J193" s="17">
        <f t="shared" si="2"/>
        <v>1320</v>
      </c>
      <c r="K193" s="34">
        <v>1358965</v>
      </c>
      <c r="L193" s="34">
        <v>196872</v>
      </c>
    </row>
    <row r="194" hidden="1">
      <c r="B194" s="64">
        <v>43775</v>
      </c>
      <c r="C194" s="9" t="s">
        <v>2621</v>
      </c>
      <c r="D194" s="6" t="s">
        <v>2622</v>
      </c>
      <c r="E194" s="6" t="s">
        <v>2233</v>
      </c>
      <c r="F194" s="6" t="s">
        <v>2226</v>
      </c>
      <c r="G194" s="6" t="s">
        <v>2227</v>
      </c>
      <c r="H194" s="7">
        <v>3240</v>
      </c>
      <c r="I194" s="8">
        <f>SUMIF(Cargas!$C$6:$C$1064,C194,Cargas!$O$6:$O$1064)</f>
        <v>0</v>
      </c>
      <c r="J194" s="17">
        <f t="shared" si="2"/>
        <v>3240</v>
      </c>
      <c r="K194" s="46">
        <v>1358730</v>
      </c>
      <c r="L194" s="34">
        <v>206294</v>
      </c>
    </row>
    <row r="195" hidden="1">
      <c r="B195" s="64">
        <v>43775</v>
      </c>
      <c r="C195" s="9" t="s">
        <v>2623</v>
      </c>
      <c r="D195" s="6" t="s">
        <v>2624</v>
      </c>
      <c r="E195" s="6" t="s">
        <v>2233</v>
      </c>
      <c r="F195" s="6" t="s">
        <v>2226</v>
      </c>
      <c r="G195" s="6" t="s">
        <v>2227</v>
      </c>
      <c r="H195" s="7">
        <v>3150</v>
      </c>
      <c r="I195" s="8">
        <f>SUMIF(Cargas!$C$6:$C$1064,C195,Cargas!$O$6:$O$1064)</f>
        <v>0</v>
      </c>
      <c r="J195" s="17">
        <f t="shared" si="2"/>
        <v>3150</v>
      </c>
      <c r="K195" s="34">
        <v>1358731</v>
      </c>
      <c r="L195" s="34">
        <v>206296</v>
      </c>
    </row>
    <row r="196" hidden="1">
      <c r="A196" s="0" t="s">
        <v>0</v>
      </c>
      <c r="B196" s="64">
        <v>43776</v>
      </c>
      <c r="C196" s="9" t="s">
        <v>2625</v>
      </c>
      <c r="D196" s="6" t="s">
        <v>2626</v>
      </c>
      <c r="E196" s="6" t="s">
        <v>2230</v>
      </c>
      <c r="F196" s="6" t="s">
        <v>2221</v>
      </c>
      <c r="G196" s="6" t="s">
        <v>2222</v>
      </c>
      <c r="H196" s="7">
        <v>2310</v>
      </c>
      <c r="I196" s="8">
        <f>SUMIF(Cargas!$C$6:$C$1064,C196,Cargas!$O$6:$O$1064)</f>
        <v>0</v>
      </c>
      <c r="J196" s="17">
        <f t="shared" si="2"/>
        <v>2310</v>
      </c>
      <c r="K196" s="34">
        <v>1358959</v>
      </c>
      <c r="L196" s="34">
        <v>215251</v>
      </c>
    </row>
    <row r="197" hidden="1">
      <c r="B197" s="64">
        <v>43778</v>
      </c>
      <c r="C197" s="9" t="s">
        <v>2627</v>
      </c>
      <c r="D197" s="6" t="s">
        <v>2628</v>
      </c>
      <c r="E197" s="6" t="s">
        <v>2220</v>
      </c>
      <c r="F197" s="6" t="s">
        <v>2221</v>
      </c>
      <c r="G197" s="6" t="s">
        <v>2222</v>
      </c>
      <c r="H197" s="7">
        <v>4320</v>
      </c>
      <c r="I197" s="8">
        <f>SUMIF(Cargas!$C$6:$C$1064,C197,Cargas!$O$6:$O$1064)</f>
        <v>0</v>
      </c>
      <c r="J197" s="17">
        <f ref="J197:J260" t="shared" si="3">IF(ABS(H197-I197)&lt;20,0,H197-I197)</f>
        <v>4320</v>
      </c>
      <c r="K197" s="46">
        <v>1359173</v>
      </c>
      <c r="L197" s="34">
        <v>227136</v>
      </c>
    </row>
    <row r="198" hidden="1">
      <c r="B198" s="64">
        <v>43782</v>
      </c>
      <c r="C198" s="9" t="s">
        <v>2629</v>
      </c>
      <c r="D198" s="6" t="s">
        <v>2630</v>
      </c>
      <c r="E198" s="6" t="s">
        <v>2233</v>
      </c>
      <c r="F198" s="6" t="s">
        <v>2226</v>
      </c>
      <c r="G198" s="6" t="s">
        <v>2227</v>
      </c>
      <c r="H198" s="7">
        <v>3240</v>
      </c>
      <c r="I198" s="8">
        <f>SUMIF(Cargas!$C$6:$C$1064,C198,Cargas!$O$6:$O$1064)</f>
        <v>0</v>
      </c>
      <c r="J198" s="17">
        <f t="shared" si="3"/>
        <v>3240</v>
      </c>
      <c r="K198" s="46">
        <v>1359528</v>
      </c>
      <c r="L198" s="34">
        <v>211627</v>
      </c>
    </row>
    <row r="199" hidden="1">
      <c r="B199" s="64">
        <v>43782</v>
      </c>
      <c r="C199" s="9" t="s">
        <v>2631</v>
      </c>
      <c r="D199" s="6" t="s">
        <v>2632</v>
      </c>
      <c r="E199" s="6" t="s">
        <v>2233</v>
      </c>
      <c r="F199" s="6" t="s">
        <v>2226</v>
      </c>
      <c r="G199" s="6" t="s">
        <v>2227</v>
      </c>
      <c r="H199" s="7">
        <v>3240</v>
      </c>
      <c r="I199" s="8">
        <f>SUMIF(Cargas!$C$6:$C$1064,C199,Cargas!$O$6:$O$1064)</f>
        <v>0</v>
      </c>
      <c r="J199" s="17">
        <f t="shared" si="3"/>
        <v>3240</v>
      </c>
      <c r="K199" s="46">
        <v>1359057</v>
      </c>
      <c r="L199" s="34">
        <v>211626</v>
      </c>
    </row>
    <row r="200" hidden="1" ht="15.75" customHeight="1">
      <c r="B200" s="64">
        <v>43782</v>
      </c>
      <c r="C200" s="9" t="s">
        <v>2633</v>
      </c>
      <c r="D200" s="6" t="s">
        <v>2634</v>
      </c>
      <c r="E200" s="6" t="s">
        <v>2233</v>
      </c>
      <c r="F200" s="6" t="s">
        <v>2226</v>
      </c>
      <c r="G200" s="6" t="s">
        <v>2227</v>
      </c>
      <c r="H200" s="7">
        <v>3150</v>
      </c>
      <c r="I200" s="8">
        <f>SUMIF(Cargas!$C$6:$C$1064,C200,Cargas!$O$6:$O$1064)</f>
        <v>0</v>
      </c>
      <c r="J200" s="17">
        <f t="shared" si="3"/>
        <v>3150</v>
      </c>
      <c r="K200" s="34">
        <v>1359058</v>
      </c>
      <c r="L200" s="34">
        <v>211628</v>
      </c>
    </row>
    <row r="201" hidden="1">
      <c r="A201" s="0" t="s">
        <v>0</v>
      </c>
      <c r="B201" s="64">
        <v>43783</v>
      </c>
      <c r="C201" s="9" t="s">
        <v>2635</v>
      </c>
      <c r="D201" s="6" t="s">
        <v>2636</v>
      </c>
      <c r="E201" s="6" t="s">
        <v>2573</v>
      </c>
      <c r="F201" s="6" t="s">
        <v>2221</v>
      </c>
      <c r="G201" s="6" t="s">
        <v>2222</v>
      </c>
      <c r="H201" s="7">
        <v>2288</v>
      </c>
      <c r="I201" s="8">
        <f>SUMIF(Cargas!$C$6:$C$1064,C201,Cargas!$O$6:$O$1064)</f>
        <v>0</v>
      </c>
      <c r="J201" s="17">
        <f t="shared" si="3"/>
        <v>2288</v>
      </c>
      <c r="K201" s="34">
        <v>1359904</v>
      </c>
      <c r="L201" s="34">
        <v>220001</v>
      </c>
    </row>
    <row r="202" hidden="1">
      <c r="B202" s="64">
        <v>43785</v>
      </c>
      <c r="C202" s="9" t="s">
        <v>2637</v>
      </c>
      <c r="D202" s="6" t="s">
        <v>2638</v>
      </c>
      <c r="E202" s="6" t="s">
        <v>2220</v>
      </c>
      <c r="F202" s="6" t="s">
        <v>2221</v>
      </c>
      <c r="G202" s="6" t="s">
        <v>2222</v>
      </c>
      <c r="H202" s="7">
        <v>4320</v>
      </c>
      <c r="I202" s="8">
        <f>SUMIF(Cargas!$C$6:$C$1064,C202,Cargas!$O$6:$O$1064)</f>
        <v>0</v>
      </c>
      <c r="J202" s="17">
        <f t="shared" si="3"/>
        <v>4320</v>
      </c>
      <c r="K202" s="46">
        <v>1359690</v>
      </c>
      <c r="L202" s="34">
        <v>228100</v>
      </c>
    </row>
    <row r="203" hidden="1">
      <c r="A203" s="0" t="s">
        <v>0</v>
      </c>
      <c r="B203" s="64">
        <v>43787</v>
      </c>
      <c r="C203" s="9" t="s">
        <v>2639</v>
      </c>
      <c r="D203" s="6" t="s">
        <v>2640</v>
      </c>
      <c r="E203" s="6" t="s">
        <v>2230</v>
      </c>
      <c r="F203" s="6" t="s">
        <v>2221</v>
      </c>
      <c r="G203" s="6" t="s">
        <v>2222</v>
      </c>
      <c r="H203" s="7">
        <v>2310</v>
      </c>
      <c r="I203" s="8">
        <f>SUMIF(Cargas!$C$6:$C$1064,C203,Cargas!$O$6:$O$1064)</f>
        <v>0</v>
      </c>
      <c r="J203" s="17">
        <f t="shared" si="3"/>
        <v>2310</v>
      </c>
      <c r="K203" s="34">
        <v>1359903</v>
      </c>
      <c r="L203" s="34">
        <v>224481</v>
      </c>
    </row>
    <row r="204" hidden="1">
      <c r="A204" s="0" t="s">
        <v>0</v>
      </c>
      <c r="B204" s="64">
        <v>43787</v>
      </c>
      <c r="C204" s="9" t="s">
        <v>2641</v>
      </c>
      <c r="D204" s="6" t="s">
        <v>2642</v>
      </c>
      <c r="E204" s="6" t="s">
        <v>2643</v>
      </c>
      <c r="F204" s="6" t="s">
        <v>2221</v>
      </c>
      <c r="G204" s="6" t="s">
        <v>2222</v>
      </c>
      <c r="H204" s="7">
        <v>2184</v>
      </c>
      <c r="I204" s="8">
        <f>SUMIF(Cargas!$C$6:$C$1064,C204,Cargas!$O$6:$O$1064)</f>
        <v>0</v>
      </c>
      <c r="J204" s="17">
        <f t="shared" si="3"/>
        <v>2184</v>
      </c>
      <c r="K204" s="34">
        <v>1359494</v>
      </c>
      <c r="L204" s="34">
        <v>225066</v>
      </c>
    </row>
    <row r="205" hidden="1">
      <c r="B205" s="64">
        <v>43788</v>
      </c>
      <c r="C205" s="9" t="s">
        <v>2644</v>
      </c>
      <c r="D205" s="6" t="s">
        <v>2645</v>
      </c>
      <c r="E205" s="6" t="s">
        <v>2225</v>
      </c>
      <c r="F205" s="6" t="s">
        <v>2226</v>
      </c>
      <c r="G205" s="6" t="s">
        <v>2227</v>
      </c>
      <c r="H205" s="7">
        <v>1680</v>
      </c>
      <c r="I205" s="8">
        <f>SUMIF(Cargas!$C$6:$C$1064,C205,Cargas!$O$6:$O$1064)</f>
        <v>0</v>
      </c>
      <c r="J205" s="17">
        <f t="shared" si="3"/>
        <v>1680</v>
      </c>
      <c r="K205" s="46">
        <v>1359942</v>
      </c>
      <c r="L205" s="34">
        <v>216393</v>
      </c>
    </row>
    <row r="206" hidden="1">
      <c r="B206" s="64">
        <v>43789</v>
      </c>
      <c r="C206" s="9" t="s">
        <v>2646</v>
      </c>
      <c r="D206" s="6" t="s">
        <v>2647</v>
      </c>
      <c r="E206" s="6" t="s">
        <v>2233</v>
      </c>
      <c r="F206" s="6" t="s">
        <v>2226</v>
      </c>
      <c r="G206" s="6" t="s">
        <v>2227</v>
      </c>
      <c r="H206" s="7">
        <v>3240</v>
      </c>
      <c r="I206" s="8">
        <f>SUMIF(Cargas!$C$6:$C$1064,C206,Cargas!$O$6:$O$1064)</f>
        <v>0</v>
      </c>
      <c r="J206" s="17">
        <f t="shared" si="3"/>
        <v>3240</v>
      </c>
      <c r="K206" s="46">
        <v>1359059</v>
      </c>
      <c r="L206" s="34">
        <v>215448</v>
      </c>
    </row>
    <row r="207" hidden="1">
      <c r="B207" s="64">
        <v>43789</v>
      </c>
      <c r="C207" s="9" t="s">
        <v>2648</v>
      </c>
      <c r="D207" s="6" t="s">
        <v>2649</v>
      </c>
      <c r="E207" s="6" t="s">
        <v>2220</v>
      </c>
      <c r="F207" s="6" t="s">
        <v>2226</v>
      </c>
      <c r="G207" s="6" t="s">
        <v>2227</v>
      </c>
      <c r="H207" s="7">
        <v>3240</v>
      </c>
      <c r="I207" s="8">
        <f>SUMIF(Cargas!$C$6:$C$1064,C207,Cargas!$O$6:$O$1064)</f>
        <v>0</v>
      </c>
      <c r="J207" s="17">
        <f t="shared" si="3"/>
        <v>3240</v>
      </c>
      <c r="K207" s="46">
        <v>1360186</v>
      </c>
      <c r="L207" s="34">
        <v>216395</v>
      </c>
    </row>
    <row r="208" hidden="1">
      <c r="B208" s="64">
        <v>43789</v>
      </c>
      <c r="C208" s="9" t="s">
        <v>2650</v>
      </c>
      <c r="D208" s="6" t="s">
        <v>2651</v>
      </c>
      <c r="E208" s="6" t="s">
        <v>2233</v>
      </c>
      <c r="F208" s="6" t="s">
        <v>2226</v>
      </c>
      <c r="G208" s="6" t="s">
        <v>2227</v>
      </c>
      <c r="H208" s="7">
        <v>3150</v>
      </c>
      <c r="I208" s="8">
        <f>SUMIF(Cargas!$C$6:$C$1064,C208,Cargas!$O$6:$O$1064)</f>
        <v>0</v>
      </c>
      <c r="J208" s="17">
        <f t="shared" si="3"/>
        <v>3150</v>
      </c>
      <c r="K208" s="34">
        <v>1359060</v>
      </c>
      <c r="L208" s="34">
        <v>216394</v>
      </c>
    </row>
    <row r="209" hidden="1">
      <c r="B209" s="64">
        <v>43792</v>
      </c>
      <c r="C209" s="9" t="s">
        <v>2652</v>
      </c>
      <c r="D209" s="6" t="s">
        <v>2653</v>
      </c>
      <c r="E209" s="6" t="s">
        <v>2220</v>
      </c>
      <c r="F209" s="6" t="s">
        <v>2221</v>
      </c>
      <c r="G209" s="6" t="s">
        <v>2222</v>
      </c>
      <c r="H209" s="7">
        <v>4320</v>
      </c>
      <c r="I209" s="8">
        <f>SUMIF(Cargas!$C$6:$C$1064,C209,Cargas!$O$6:$O$1064)</f>
        <v>0</v>
      </c>
      <c r="J209" s="17">
        <f t="shared" si="3"/>
        <v>4320</v>
      </c>
      <c r="K209" s="46">
        <v>1360185</v>
      </c>
      <c r="L209" s="34">
        <v>230635</v>
      </c>
    </row>
    <row r="210" hidden="1">
      <c r="B210" s="64">
        <v>43795</v>
      </c>
      <c r="C210" s="9" t="s">
        <v>2654</v>
      </c>
      <c r="D210" s="6" t="s">
        <v>2655</v>
      </c>
      <c r="E210" s="6" t="s">
        <v>2225</v>
      </c>
      <c r="F210" s="6" t="s">
        <v>2226</v>
      </c>
      <c r="G210" s="6" t="s">
        <v>2227</v>
      </c>
      <c r="H210" s="7">
        <v>1680</v>
      </c>
      <c r="I210" s="8">
        <f>SUMIF(Cargas!$C$6:$C$1064,C210,Cargas!$O$6:$O$1064)</f>
        <v>0</v>
      </c>
      <c r="J210" s="17">
        <f t="shared" si="3"/>
        <v>1680</v>
      </c>
      <c r="K210" s="46">
        <v>1359943</v>
      </c>
      <c r="L210" s="34">
        <v>221465</v>
      </c>
    </row>
    <row r="211" hidden="1">
      <c r="B211" s="64">
        <v>43796</v>
      </c>
      <c r="C211" s="9" t="s">
        <v>2656</v>
      </c>
      <c r="D211" s="6" t="s">
        <v>2657</v>
      </c>
      <c r="E211" s="6" t="s">
        <v>2233</v>
      </c>
      <c r="F211" s="6" t="s">
        <v>2226</v>
      </c>
      <c r="G211" s="6" t="s">
        <v>2227</v>
      </c>
      <c r="H211" s="7">
        <v>3240</v>
      </c>
      <c r="I211" s="8">
        <f>SUMIF(Cargas!$C$6:$C$1064,C211,Cargas!$O$6:$O$1064)</f>
        <v>0</v>
      </c>
      <c r="J211" s="17">
        <f t="shared" si="3"/>
        <v>3240</v>
      </c>
      <c r="K211" s="46">
        <v>1359065</v>
      </c>
      <c r="L211" s="34">
        <v>220327</v>
      </c>
    </row>
    <row r="212" hidden="1">
      <c r="B212" s="64">
        <v>43796</v>
      </c>
      <c r="C212" s="9" t="s">
        <v>2658</v>
      </c>
      <c r="D212" s="6" t="s">
        <v>2659</v>
      </c>
      <c r="E212" s="6" t="s">
        <v>2220</v>
      </c>
      <c r="F212" s="6" t="s">
        <v>2226</v>
      </c>
      <c r="G212" s="6" t="s">
        <v>2227</v>
      </c>
      <c r="H212" s="7">
        <v>2160</v>
      </c>
      <c r="I212" s="8">
        <f>SUMIF(Cargas!$C$6:$C$1064,C212,Cargas!$O$6:$O$1064)</f>
        <v>0</v>
      </c>
      <c r="J212" s="17">
        <f t="shared" si="3"/>
        <v>2160</v>
      </c>
      <c r="K212" s="46">
        <v>1360722</v>
      </c>
      <c r="L212" s="34">
        <v>220326</v>
      </c>
    </row>
    <row r="213" hidden="1">
      <c r="B213" s="64">
        <v>43796</v>
      </c>
      <c r="C213" s="9" t="s">
        <v>2660</v>
      </c>
      <c r="D213" s="6" t="s">
        <v>2661</v>
      </c>
      <c r="E213" s="6" t="s">
        <v>2233</v>
      </c>
      <c r="F213" s="6" t="s">
        <v>2226</v>
      </c>
      <c r="G213" s="6" t="s">
        <v>2227</v>
      </c>
      <c r="H213" s="7">
        <v>3150</v>
      </c>
      <c r="I213" s="8">
        <f>SUMIF(Cargas!$C$6:$C$1064,C213,Cargas!$O$6:$O$1064)</f>
        <v>0</v>
      </c>
      <c r="J213" s="17">
        <f t="shared" si="3"/>
        <v>3150</v>
      </c>
      <c r="K213" s="34">
        <v>1359066</v>
      </c>
      <c r="L213" s="34">
        <v>220328</v>
      </c>
    </row>
    <row r="214" hidden="1">
      <c r="B214" s="64">
        <v>43800</v>
      </c>
      <c r="C214" s="9" t="s">
        <v>2662</v>
      </c>
      <c r="D214" s="6" t="s">
        <v>2663</v>
      </c>
      <c r="E214" s="6" t="s">
        <v>2220</v>
      </c>
      <c r="F214" s="6" t="s">
        <v>2221</v>
      </c>
      <c r="G214" s="6" t="s">
        <v>2222</v>
      </c>
      <c r="H214" s="7">
        <v>4320</v>
      </c>
      <c r="I214" s="8">
        <f>SUMIF(Cargas!$C$6:$C$1064,C214,Cargas!$O$6:$O$1064)</f>
        <v>0</v>
      </c>
      <c r="J214" s="17">
        <f t="shared" si="3"/>
        <v>4320</v>
      </c>
      <c r="K214" s="46">
        <v>1360723</v>
      </c>
      <c r="L214" s="34">
        <v>1754</v>
      </c>
    </row>
    <row r="215" hidden="1">
      <c r="B215" s="64">
        <v>43802</v>
      </c>
      <c r="C215" s="9" t="s">
        <v>2664</v>
      </c>
      <c r="D215" s="6" t="s">
        <v>2665</v>
      </c>
      <c r="E215" s="6" t="s">
        <v>2233</v>
      </c>
      <c r="F215" s="6" t="s">
        <v>2226</v>
      </c>
      <c r="G215" s="6" t="s">
        <v>2227</v>
      </c>
      <c r="H215" s="7">
        <v>3240</v>
      </c>
      <c r="I215" s="8">
        <f>SUMIF(Cargas!$C$6:$C$1064,C215,Cargas!$O$6:$O$1064)</f>
        <v>0</v>
      </c>
      <c r="J215" s="17">
        <f t="shared" si="3"/>
        <v>3240</v>
      </c>
      <c r="K215" s="46">
        <v>1359067</v>
      </c>
      <c r="L215" s="34">
        <v>226064</v>
      </c>
    </row>
    <row r="216" hidden="1">
      <c r="B216" s="64">
        <v>43802</v>
      </c>
      <c r="C216" s="9" t="s">
        <v>2666</v>
      </c>
      <c r="D216" s="6" t="s">
        <v>2667</v>
      </c>
      <c r="E216" s="6" t="s">
        <v>2233</v>
      </c>
      <c r="F216" s="6" t="s">
        <v>2226</v>
      </c>
      <c r="G216" s="6" t="s">
        <v>2227</v>
      </c>
      <c r="H216" s="7">
        <v>3150</v>
      </c>
      <c r="I216" s="8">
        <f>SUMIF(Cargas!$C$6:$C$1064,C216,Cargas!$O$6:$O$1064)</f>
        <v>0</v>
      </c>
      <c r="J216" s="17">
        <f t="shared" si="3"/>
        <v>3150</v>
      </c>
      <c r="K216" s="34">
        <v>1359068</v>
      </c>
      <c r="L216" s="34">
        <v>224985</v>
      </c>
    </row>
    <row r="217" hidden="1">
      <c r="A217" s="0" t="s">
        <v>0</v>
      </c>
      <c r="B217" s="64">
        <v>43805</v>
      </c>
      <c r="C217" s="9" t="s">
        <v>2668</v>
      </c>
      <c r="D217" s="6" t="s">
        <v>2669</v>
      </c>
      <c r="E217" s="6" t="s">
        <v>2670</v>
      </c>
      <c r="F217" s="6" t="s">
        <v>2226</v>
      </c>
      <c r="G217" s="6" t="s">
        <v>2258</v>
      </c>
      <c r="H217" s="7">
        <v>1408</v>
      </c>
      <c r="I217" s="8">
        <f>SUMIF(Cargas!$C$6:$C$1064,C217,Cargas!$O$6:$O$1064)</f>
        <v>0</v>
      </c>
      <c r="J217" s="17">
        <f t="shared" si="3"/>
        <v>1408</v>
      </c>
      <c r="K217" s="34">
        <v>1361452</v>
      </c>
      <c r="L217" s="34">
        <v>216980</v>
      </c>
    </row>
    <row r="218" hidden="1">
      <c r="B218" s="64">
        <v>43806</v>
      </c>
      <c r="C218" s="9" t="s">
        <v>2671</v>
      </c>
      <c r="D218" s="6" t="s">
        <v>2672</v>
      </c>
      <c r="E218" s="6" t="s">
        <v>2220</v>
      </c>
      <c r="F218" s="6" t="s">
        <v>2221</v>
      </c>
      <c r="G218" s="6" t="s">
        <v>2222</v>
      </c>
      <c r="H218" s="7">
        <v>4320</v>
      </c>
      <c r="I218" s="8">
        <f>SUMIF(Cargas!$C$6:$C$1064,C218,Cargas!$O$6:$O$1064)</f>
        <v>0</v>
      </c>
      <c r="J218" s="17">
        <f t="shared" si="3"/>
        <v>4320</v>
      </c>
      <c r="K218" s="46">
        <v>1361125</v>
      </c>
      <c r="L218" s="34">
        <v>9698</v>
      </c>
    </row>
    <row r="219" hidden="1">
      <c r="B219" s="64">
        <v>43806</v>
      </c>
      <c r="C219" s="9" t="s">
        <v>2673</v>
      </c>
      <c r="D219" s="6" t="s">
        <v>2674</v>
      </c>
      <c r="E219" s="6" t="s">
        <v>2220</v>
      </c>
      <c r="F219" s="6" t="s">
        <v>2226</v>
      </c>
      <c r="G219" s="6" t="s">
        <v>2227</v>
      </c>
      <c r="H219" s="7">
        <v>4320</v>
      </c>
      <c r="I219" s="8">
        <f>SUMIF(Cargas!$C$6:$C$1064,C219,Cargas!$O$6:$O$1064)</f>
        <v>0</v>
      </c>
      <c r="J219" s="17">
        <f t="shared" si="3"/>
        <v>4320</v>
      </c>
      <c r="K219" s="46">
        <v>1361126</v>
      </c>
      <c r="L219" s="34">
        <v>224983</v>
      </c>
    </row>
    <row r="220" hidden="1">
      <c r="B220" s="64">
        <v>43809</v>
      </c>
      <c r="C220" s="9" t="s">
        <v>2675</v>
      </c>
      <c r="D220" s="6" t="s">
        <v>2676</v>
      </c>
      <c r="E220" s="6" t="s">
        <v>2225</v>
      </c>
      <c r="F220" s="6" t="s">
        <v>2226</v>
      </c>
      <c r="G220" s="6" t="s">
        <v>2227</v>
      </c>
      <c r="H220" s="7">
        <v>1680</v>
      </c>
      <c r="I220" s="8">
        <f>SUMIF(Cargas!$C$6:$C$1064,C220,Cargas!$O$6:$O$1064)</f>
        <v>0</v>
      </c>
      <c r="J220" s="17">
        <f t="shared" si="3"/>
        <v>1680</v>
      </c>
      <c r="K220" s="46">
        <v>1359944</v>
      </c>
      <c r="L220" s="34">
        <v>231007</v>
      </c>
    </row>
    <row r="221" hidden="1">
      <c r="B221" s="64">
        <v>43810</v>
      </c>
      <c r="C221" s="9" t="s">
        <v>2677</v>
      </c>
      <c r="D221" s="6" t="s">
        <v>2678</v>
      </c>
      <c r="E221" s="6" t="s">
        <v>2233</v>
      </c>
      <c r="F221" s="6" t="s">
        <v>2226</v>
      </c>
      <c r="G221" s="6" t="s">
        <v>2227</v>
      </c>
      <c r="H221" s="7">
        <v>3240</v>
      </c>
      <c r="I221" s="8">
        <f>SUMIF(Cargas!$C$6:$C$1064,C221,Cargas!$O$6:$O$1064)</f>
        <v>0</v>
      </c>
      <c r="J221" s="17">
        <f t="shared" si="3"/>
        <v>3240</v>
      </c>
      <c r="K221" s="46">
        <v>1359100</v>
      </c>
      <c r="L221" s="34">
        <v>230605</v>
      </c>
    </row>
    <row r="222" hidden="1">
      <c r="B222" s="64">
        <v>43810</v>
      </c>
      <c r="C222" s="9" t="s">
        <v>2679</v>
      </c>
      <c r="D222" s="6" t="s">
        <v>2680</v>
      </c>
      <c r="E222" s="6" t="s">
        <v>2233</v>
      </c>
      <c r="F222" s="6" t="s">
        <v>2226</v>
      </c>
      <c r="G222" s="6" t="s">
        <v>2227</v>
      </c>
      <c r="H222" s="7">
        <v>3150</v>
      </c>
      <c r="I222" s="8">
        <f>SUMIF(Cargas!$C$6:$C$1064,C222,Cargas!$O$6:$O$1064)</f>
        <v>0</v>
      </c>
      <c r="J222" s="17">
        <f t="shared" si="3"/>
        <v>3150</v>
      </c>
      <c r="K222" s="34">
        <v>1359101</v>
      </c>
      <c r="L222" s="34">
        <v>230606</v>
      </c>
    </row>
    <row r="223" hidden="1">
      <c r="A223" s="0" t="s">
        <v>0</v>
      </c>
      <c r="B223" s="64">
        <v>43811</v>
      </c>
      <c r="C223" s="9" t="s">
        <v>2681</v>
      </c>
      <c r="D223" s="6" t="s">
        <v>2682</v>
      </c>
      <c r="E223" s="6" t="s">
        <v>865</v>
      </c>
      <c r="F223" s="6" t="s">
        <v>978</v>
      </c>
      <c r="G223" s="6"/>
      <c r="H223" s="7">
        <v>3000</v>
      </c>
      <c r="I223" s="8">
        <f>SUMIF(Cargas!$C$6:$C$1064,C223,Cargas!$O$6:$O$1064)</f>
        <v>0</v>
      </c>
      <c r="J223" s="17">
        <f t="shared" si="3"/>
        <v>3000</v>
      </c>
      <c r="K223" s="34">
        <v>1361990</v>
      </c>
      <c r="L223" s="34">
        <v>221651</v>
      </c>
      <c r="M223" s="0" t="s">
        <v>865</v>
      </c>
    </row>
    <row r="224" hidden="1">
      <c r="A224" s="0" t="s">
        <v>0</v>
      </c>
      <c r="B224" s="64">
        <v>43811</v>
      </c>
      <c r="C224" s="9" t="s">
        <v>2683</v>
      </c>
      <c r="D224" s="6" t="s">
        <v>2684</v>
      </c>
      <c r="E224" s="6" t="s">
        <v>865</v>
      </c>
      <c r="F224" s="6" t="s">
        <v>978</v>
      </c>
      <c r="G224" s="6"/>
      <c r="H224" s="7">
        <v>2000</v>
      </c>
      <c r="I224" s="8">
        <f>SUMIF(Cargas!$C$6:$C$1064,C224,Cargas!$O$6:$O$1064)</f>
        <v>0</v>
      </c>
      <c r="J224" s="17">
        <f t="shared" si="3"/>
        <v>2000</v>
      </c>
      <c r="K224" s="34">
        <v>1362050</v>
      </c>
      <c r="L224" s="34">
        <v>221689</v>
      </c>
      <c r="M224" s="0" t="s">
        <v>2316</v>
      </c>
    </row>
    <row r="225" hidden="1">
      <c r="B225" s="64">
        <v>43813</v>
      </c>
      <c r="C225" s="9" t="s">
        <v>2685</v>
      </c>
      <c r="D225" s="6" t="s">
        <v>2686</v>
      </c>
      <c r="E225" s="6" t="s">
        <v>2220</v>
      </c>
      <c r="F225" s="6" t="s">
        <v>2221</v>
      </c>
      <c r="G225" s="6" t="s">
        <v>2222</v>
      </c>
      <c r="H225" s="7">
        <v>4320</v>
      </c>
      <c r="I225" s="8">
        <f>SUMIF(Cargas!$C$6:$C$1064,C225,Cargas!$O$6:$O$1064)</f>
        <v>0</v>
      </c>
      <c r="J225" s="17">
        <f t="shared" si="3"/>
        <v>4320</v>
      </c>
      <c r="K225" s="46">
        <v>1361708</v>
      </c>
      <c r="L225" s="34">
        <v>9668</v>
      </c>
    </row>
    <row r="226" hidden="1">
      <c r="B226" s="64">
        <v>43817</v>
      </c>
      <c r="C226" s="9" t="s">
        <v>2687</v>
      </c>
      <c r="D226" s="6" t="s">
        <v>2688</v>
      </c>
      <c r="E226" s="6" t="s">
        <v>2233</v>
      </c>
      <c r="F226" s="6" t="s">
        <v>2226</v>
      </c>
      <c r="G226" s="6" t="s">
        <v>2227</v>
      </c>
      <c r="H226" s="7">
        <v>3240</v>
      </c>
      <c r="I226" s="8">
        <f>SUMIF(Cargas!$C$6:$C$1064,C226,Cargas!$O$6:$O$1064)</f>
        <v>0</v>
      </c>
      <c r="J226" s="17">
        <f t="shared" si="3"/>
        <v>3240</v>
      </c>
      <c r="K226" s="46">
        <v>1359103</v>
      </c>
      <c r="L226" s="34">
        <v>1146</v>
      </c>
    </row>
    <row r="227" hidden="1">
      <c r="B227" s="64">
        <v>43817</v>
      </c>
      <c r="C227" s="9" t="s">
        <v>2689</v>
      </c>
      <c r="D227" s="6" t="s">
        <v>2690</v>
      </c>
      <c r="E227" s="6" t="s">
        <v>2233</v>
      </c>
      <c r="F227" s="6" t="s">
        <v>2226</v>
      </c>
      <c r="G227" s="6" t="s">
        <v>2227</v>
      </c>
      <c r="H227" s="7">
        <v>3150</v>
      </c>
      <c r="I227" s="8">
        <f>SUMIF(Cargas!$C$6:$C$1064,C227,Cargas!$O$6:$O$1064)</f>
        <v>0</v>
      </c>
      <c r="J227" s="17">
        <f t="shared" si="3"/>
        <v>3150</v>
      </c>
      <c r="K227" s="34">
        <v>1359104</v>
      </c>
      <c r="L227" s="34">
        <v>1147</v>
      </c>
    </row>
    <row r="228" hidden="1">
      <c r="B228" s="64">
        <v>43820</v>
      </c>
      <c r="C228" s="9" t="s">
        <v>2691</v>
      </c>
      <c r="D228" s="6" t="s">
        <v>2692</v>
      </c>
      <c r="E228" s="6" t="s">
        <v>2220</v>
      </c>
      <c r="F228" s="6" t="s">
        <v>2221</v>
      </c>
      <c r="G228" s="6" t="s">
        <v>2222</v>
      </c>
      <c r="H228" s="7">
        <v>4320</v>
      </c>
      <c r="I228" s="8">
        <f>SUMIF(Cargas!$C$6:$C$1064,C228,Cargas!$O$6:$O$1064)</f>
        <v>0</v>
      </c>
      <c r="J228" s="17">
        <f t="shared" si="3"/>
        <v>4320</v>
      </c>
      <c r="K228" s="46">
        <v>1362252</v>
      </c>
      <c r="L228" s="34">
        <v>15566</v>
      </c>
    </row>
    <row r="229" hidden="1">
      <c r="B229" s="64">
        <v>43822</v>
      </c>
      <c r="C229" s="9" t="s">
        <v>2693</v>
      </c>
      <c r="D229" s="6" t="s">
        <v>2694</v>
      </c>
      <c r="E229" s="6" t="s">
        <v>2225</v>
      </c>
      <c r="F229" s="6" t="s">
        <v>2226</v>
      </c>
      <c r="G229" s="6" t="s">
        <v>2227</v>
      </c>
      <c r="H229" s="7">
        <v>1680</v>
      </c>
      <c r="I229" s="8">
        <f>SUMIF(Cargas!$C$6:$C$1064,C229,Cargas!$O$6:$O$1064)</f>
        <v>0</v>
      </c>
      <c r="J229" s="17">
        <f t="shared" si="3"/>
        <v>1680</v>
      </c>
      <c r="K229" s="46">
        <v>1359945</v>
      </c>
      <c r="L229" s="34">
        <v>4693</v>
      </c>
    </row>
    <row r="230" hidden="1">
      <c r="B230" s="64">
        <v>43822</v>
      </c>
      <c r="C230" s="9" t="s">
        <v>2695</v>
      </c>
      <c r="D230" s="6" t="s">
        <v>2696</v>
      </c>
      <c r="E230" s="6" t="s">
        <v>2697</v>
      </c>
      <c r="F230" s="6" t="s">
        <v>2226</v>
      </c>
      <c r="G230" s="6" t="s">
        <v>2227</v>
      </c>
      <c r="H230" s="7">
        <v>3240</v>
      </c>
      <c r="I230" s="8">
        <f>SUMIF(Cargas!$C$6:$C$1064,C230,Cargas!$O$6:$O$1064)</f>
        <v>0</v>
      </c>
      <c r="J230" s="17">
        <f t="shared" si="3"/>
        <v>3240</v>
      </c>
      <c r="K230" s="46">
        <v>1359115</v>
      </c>
      <c r="L230" s="34">
        <v>3459</v>
      </c>
    </row>
    <row r="231" hidden="1">
      <c r="B231" s="64">
        <v>43822</v>
      </c>
      <c r="C231" s="9" t="s">
        <v>2698</v>
      </c>
      <c r="D231" s="6" t="s">
        <v>2699</v>
      </c>
      <c r="E231" s="6" t="s">
        <v>2697</v>
      </c>
      <c r="F231" s="6" t="s">
        <v>2226</v>
      </c>
      <c r="G231" s="6" t="s">
        <v>2227</v>
      </c>
      <c r="H231" s="7">
        <v>3150</v>
      </c>
      <c r="I231" s="8">
        <f>SUMIF(Cargas!$C$6:$C$1064,C231,Cargas!$O$6:$O$1064)</f>
        <v>0</v>
      </c>
      <c r="J231" s="17">
        <f t="shared" si="3"/>
        <v>3150</v>
      </c>
      <c r="K231" s="34">
        <v>1359116</v>
      </c>
      <c r="L231" s="34">
        <v>3460</v>
      </c>
    </row>
    <row r="232" hidden="1">
      <c r="A232" s="0" t="s">
        <v>0</v>
      </c>
      <c r="B232" s="64">
        <v>43822</v>
      </c>
      <c r="C232" s="9" t="s">
        <v>2700</v>
      </c>
      <c r="D232" s="6" t="s">
        <v>2701</v>
      </c>
      <c r="E232" s="6" t="s">
        <v>2573</v>
      </c>
      <c r="F232" s="6" t="s">
        <v>2221</v>
      </c>
      <c r="G232" s="6" t="s">
        <v>2222</v>
      </c>
      <c r="H232" s="7">
        <v>2310</v>
      </c>
      <c r="I232" s="8">
        <f>SUMIF(Cargas!$C$6:$C$1064,C232,Cargas!$O$6:$O$1064)</f>
        <v>0</v>
      </c>
      <c r="J232" s="17">
        <f t="shared" si="3"/>
        <v>2310</v>
      </c>
      <c r="K232" s="34">
        <v>1362428</v>
      </c>
      <c r="L232" s="34">
        <v>13594</v>
      </c>
    </row>
    <row r="233" hidden="1">
      <c r="A233" s="0" t="s">
        <v>0</v>
      </c>
      <c r="B233" s="64">
        <v>43822</v>
      </c>
      <c r="C233" s="9" t="s">
        <v>2702</v>
      </c>
      <c r="D233" s="6" t="s">
        <v>2703</v>
      </c>
      <c r="E233" s="6" t="s">
        <v>2230</v>
      </c>
      <c r="F233" s="6" t="s">
        <v>2221</v>
      </c>
      <c r="G233" s="6" t="s">
        <v>2222</v>
      </c>
      <c r="H233" s="7">
        <v>2310</v>
      </c>
      <c r="I233" s="8">
        <f>SUMIF(Cargas!$C$6:$C$1064,C233,Cargas!$O$6:$O$1064)</f>
        <v>0</v>
      </c>
      <c r="J233" s="17">
        <f t="shared" si="3"/>
        <v>2310</v>
      </c>
      <c r="K233" s="34">
        <v>1362699</v>
      </c>
      <c r="L233" s="34">
        <v>13593</v>
      </c>
    </row>
    <row r="234" hidden="1">
      <c r="B234" s="64">
        <v>43827</v>
      </c>
      <c r="C234" s="9" t="s">
        <v>2704</v>
      </c>
      <c r="D234" s="6" t="s">
        <v>2705</v>
      </c>
      <c r="E234" s="6" t="s">
        <v>2220</v>
      </c>
      <c r="F234" s="6" t="s">
        <v>2221</v>
      </c>
      <c r="G234" s="6" t="s">
        <v>2222</v>
      </c>
      <c r="H234" s="7">
        <v>4320</v>
      </c>
      <c r="I234" s="8">
        <f>SUMIF(Cargas!$C$6:$C$1064,C234,Cargas!$O$6:$O$1064)</f>
        <v>0</v>
      </c>
      <c r="J234" s="17">
        <f t="shared" si="3"/>
        <v>4320</v>
      </c>
      <c r="K234" s="46">
        <v>1362252</v>
      </c>
      <c r="L234" s="34">
        <v>23220</v>
      </c>
    </row>
    <row r="235" hidden="1">
      <c r="B235" s="64">
        <v>43828</v>
      </c>
      <c r="C235" s="9" t="s">
        <v>2706</v>
      </c>
      <c r="D235" s="6" t="s">
        <v>2224</v>
      </c>
      <c r="E235" s="6" t="s">
        <v>2225</v>
      </c>
      <c r="F235" s="6" t="s">
        <v>2226</v>
      </c>
      <c r="G235" s="6" t="s">
        <v>2227</v>
      </c>
      <c r="H235" s="7">
        <v>1680</v>
      </c>
      <c r="I235" s="8">
        <f>SUMIF(Cargas!$C$6:$C$1064,C235,Cargas!$O$6:$O$1064)</f>
        <v>0</v>
      </c>
      <c r="J235" s="17">
        <f t="shared" si="3"/>
        <v>1680</v>
      </c>
      <c r="K235" s="46">
        <v>1362479</v>
      </c>
      <c r="L235" s="34">
        <v>7050</v>
      </c>
    </row>
    <row r="236" hidden="1">
      <c r="B236" s="64">
        <v>43828</v>
      </c>
      <c r="C236" s="9" t="s">
        <v>2707</v>
      </c>
      <c r="D236" s="6" t="s">
        <v>993</v>
      </c>
      <c r="E236" s="6" t="s">
        <v>2697</v>
      </c>
      <c r="F236" s="6" t="s">
        <v>2226</v>
      </c>
      <c r="G236" s="6" t="s">
        <v>2227</v>
      </c>
      <c r="H236" s="7">
        <v>3240</v>
      </c>
      <c r="I236" s="8">
        <f>SUMIF(Cargas!$C$6:$C$1064,C236,Cargas!$O$6:$O$1064)</f>
        <v>0</v>
      </c>
      <c r="J236" s="17">
        <f t="shared" si="3"/>
        <v>3240</v>
      </c>
      <c r="K236" s="46">
        <v>1362857</v>
      </c>
      <c r="L236" s="34">
        <v>6266</v>
      </c>
    </row>
    <row r="237" hidden="1">
      <c r="B237" s="64">
        <v>43828</v>
      </c>
      <c r="C237" s="9" t="s">
        <v>2708</v>
      </c>
      <c r="D237" s="6" t="s">
        <v>2232</v>
      </c>
      <c r="E237" s="6" t="s">
        <v>2697</v>
      </c>
      <c r="F237" s="6" t="s">
        <v>2226</v>
      </c>
      <c r="G237" s="6" t="s">
        <v>2227</v>
      </c>
      <c r="H237" s="7">
        <v>2100</v>
      </c>
      <c r="I237" s="8">
        <f>SUMIF(Cargas!$C$6:$C$1064,C237,Cargas!$O$6:$O$1064)</f>
        <v>0</v>
      </c>
      <c r="J237" s="17">
        <f t="shared" si="3"/>
        <v>2100</v>
      </c>
      <c r="K237" s="34">
        <v>1362858</v>
      </c>
      <c r="L237" s="34">
        <v>6267</v>
      </c>
    </row>
    <row r="238" hidden="1">
      <c r="A238" s="0" t="s">
        <v>0</v>
      </c>
      <c r="B238" s="64">
        <v>43828</v>
      </c>
      <c r="C238" s="9" t="s">
        <v>2709</v>
      </c>
      <c r="D238" s="6" t="s">
        <v>2710</v>
      </c>
      <c r="E238" s="6" t="s">
        <v>2230</v>
      </c>
      <c r="F238" s="6" t="s">
        <v>2221</v>
      </c>
      <c r="G238" s="6" t="s">
        <v>2222</v>
      </c>
      <c r="H238" s="7">
        <v>2310</v>
      </c>
      <c r="I238" s="8">
        <f>SUMIF(Cargas!$C$6:$C$1064,C238,Cargas!$O$6:$O$1064)</f>
        <v>0</v>
      </c>
      <c r="J238" s="17">
        <f t="shared" si="3"/>
        <v>2310</v>
      </c>
      <c r="K238" s="34">
        <v>1361451</v>
      </c>
      <c r="L238" s="34">
        <v>2696</v>
      </c>
    </row>
    <row r="239" hidden="1">
      <c r="A239" s="0" t="s">
        <v>0</v>
      </c>
      <c r="B239" s="64">
        <v>43832</v>
      </c>
      <c r="C239" s="9" t="s">
        <v>2711</v>
      </c>
      <c r="D239" s="6" t="s">
        <v>2256</v>
      </c>
      <c r="E239" s="6" t="s">
        <v>2712</v>
      </c>
      <c r="F239" s="6" t="s">
        <v>2226</v>
      </c>
      <c r="G239" s="6" t="s">
        <v>2258</v>
      </c>
      <c r="H239" s="7">
        <v>1536</v>
      </c>
      <c r="I239" s="8">
        <f>SUMIF(Cargas!$C$6:$C$1064,C239,Cargas!$O$6:$O$1064)</f>
        <v>0</v>
      </c>
      <c r="J239" s="17">
        <f t="shared" si="3"/>
        <v>1536</v>
      </c>
      <c r="K239" s="34">
        <v>1363239</v>
      </c>
      <c r="L239" s="34">
        <v>1266</v>
      </c>
    </row>
    <row r="240" hidden="1">
      <c r="A240" s="0" t="s">
        <v>0</v>
      </c>
      <c r="B240" s="64">
        <v>43840</v>
      </c>
      <c r="C240" s="9" t="s">
        <v>2713</v>
      </c>
      <c r="D240" s="6" t="s">
        <v>2229</v>
      </c>
      <c r="E240" s="6" t="s">
        <v>2573</v>
      </c>
      <c r="F240" s="6" t="s">
        <v>2221</v>
      </c>
      <c r="G240" s="6" t="s">
        <v>2222</v>
      </c>
      <c r="H240" s="7">
        <v>2310</v>
      </c>
      <c r="I240" s="8">
        <f>SUMIF(Cargas!$C$6:$C$1064,C240,Cargas!$O$6:$O$1064)</f>
        <v>0</v>
      </c>
      <c r="J240" s="17">
        <f t="shared" si="3"/>
        <v>2310</v>
      </c>
      <c r="K240" s="34">
        <v>1363601</v>
      </c>
      <c r="L240" s="34">
        <v>24050</v>
      </c>
    </row>
    <row r="241" hidden="1">
      <c r="A241" s="0" t="s">
        <v>0</v>
      </c>
      <c r="B241" s="64">
        <v>43843</v>
      </c>
      <c r="C241" s="9" t="s">
        <v>2714</v>
      </c>
      <c r="D241" s="6" t="s">
        <v>2252</v>
      </c>
      <c r="E241" s="6" t="s">
        <v>2230</v>
      </c>
      <c r="F241" s="6" t="s">
        <v>2221</v>
      </c>
      <c r="G241" s="6" t="s">
        <v>2222</v>
      </c>
      <c r="H241" s="7">
        <v>2310</v>
      </c>
      <c r="I241" s="8">
        <f>SUMIF(Cargas!$C$6:$C$1064,C241,Cargas!$O$6:$O$1064)</f>
        <v>0</v>
      </c>
      <c r="J241" s="17">
        <f t="shared" si="3"/>
        <v>2310</v>
      </c>
      <c r="K241" s="34">
        <v>1363710</v>
      </c>
      <c r="L241" s="34">
        <v>27612</v>
      </c>
    </row>
    <row r="242" hidden="1">
      <c r="B242" s="64">
        <v>43844</v>
      </c>
      <c r="C242" s="9" t="s">
        <v>2715</v>
      </c>
      <c r="D242" s="6" t="s">
        <v>2246</v>
      </c>
      <c r="E242" s="6" t="s">
        <v>2225</v>
      </c>
      <c r="F242" s="6" t="s">
        <v>2226</v>
      </c>
      <c r="G242" s="6" t="s">
        <v>2227</v>
      </c>
      <c r="H242" s="7">
        <v>1680</v>
      </c>
      <c r="I242" s="8">
        <f>SUMIF(Cargas!$C$6:$C$1064,C242,Cargas!$O$6:$O$1064)</f>
        <v>0</v>
      </c>
      <c r="J242" s="17">
        <f t="shared" si="3"/>
        <v>1680</v>
      </c>
      <c r="K242" s="46">
        <v>1362482</v>
      </c>
      <c r="L242" s="34">
        <v>16789</v>
      </c>
    </row>
    <row r="243" hidden="1">
      <c r="B243" s="64">
        <v>43844</v>
      </c>
      <c r="C243" s="9" t="s">
        <v>2716</v>
      </c>
      <c r="D243" s="6" t="s">
        <v>2242</v>
      </c>
      <c r="E243" s="6" t="s">
        <v>2697</v>
      </c>
      <c r="F243" s="6" t="s">
        <v>2226</v>
      </c>
      <c r="G243" s="6" t="s">
        <v>2227</v>
      </c>
      <c r="H243" s="7">
        <v>3240</v>
      </c>
      <c r="I243" s="8">
        <f>SUMIF(Cargas!$C$6:$C$1064,C243,Cargas!$O$6:$O$1064)</f>
        <v>0</v>
      </c>
      <c r="J243" s="17">
        <f t="shared" si="3"/>
        <v>3240</v>
      </c>
      <c r="K243" s="46">
        <v>1362862</v>
      </c>
      <c r="L243" s="34">
        <v>17861</v>
      </c>
    </row>
    <row r="244" hidden="1">
      <c r="B244" s="64">
        <v>43844</v>
      </c>
      <c r="C244" s="9" t="s">
        <v>2717</v>
      </c>
      <c r="D244" s="6" t="s">
        <v>2240</v>
      </c>
      <c r="E244" s="6" t="s">
        <v>2697</v>
      </c>
      <c r="F244" s="6" t="s">
        <v>2226</v>
      </c>
      <c r="G244" s="6" t="s">
        <v>2227</v>
      </c>
      <c r="H244" s="7">
        <v>3150</v>
      </c>
      <c r="I244" s="8">
        <f>SUMIF(Cargas!$C$6:$C$1064,C244,Cargas!$O$6:$O$1064)</f>
        <v>0</v>
      </c>
      <c r="J244" s="17">
        <f t="shared" si="3"/>
        <v>3150</v>
      </c>
      <c r="K244" s="34">
        <v>1362863</v>
      </c>
      <c r="L244" s="34">
        <v>17863</v>
      </c>
    </row>
    <row r="245" hidden="1">
      <c r="B245" s="64">
        <v>43848</v>
      </c>
      <c r="C245" s="9" t="s">
        <v>2718</v>
      </c>
      <c r="D245" s="6" t="s">
        <v>2219</v>
      </c>
      <c r="E245" s="6" t="s">
        <v>2719</v>
      </c>
      <c r="F245" s="6" t="s">
        <v>2221</v>
      </c>
      <c r="G245" s="6" t="s">
        <v>2222</v>
      </c>
      <c r="H245" s="7">
        <v>2160</v>
      </c>
      <c r="I245" s="8">
        <f>SUMIF(Cargas!$C$6:$C$1064,C245,Cargas!$O$6:$O$1064)</f>
        <v>0</v>
      </c>
      <c r="J245" s="17">
        <f t="shared" si="3"/>
        <v>2160</v>
      </c>
      <c r="K245" s="46">
        <v>1363770</v>
      </c>
      <c r="L245" s="34">
        <v>30095</v>
      </c>
    </row>
    <row r="246" hidden="1">
      <c r="B246" s="64">
        <v>43851</v>
      </c>
      <c r="C246" s="9" t="s">
        <v>2720</v>
      </c>
      <c r="D246" s="6" t="s">
        <v>2268</v>
      </c>
      <c r="E246" s="6" t="s">
        <v>2225</v>
      </c>
      <c r="F246" s="6" t="s">
        <v>2226</v>
      </c>
      <c r="G246" s="6" t="s">
        <v>2227</v>
      </c>
      <c r="H246" s="7">
        <v>1680</v>
      </c>
      <c r="I246" s="8">
        <f>SUMIF(Cargas!$C$6:$C$1064,C246,Cargas!$O$6:$O$1064)</f>
        <v>0</v>
      </c>
      <c r="J246" s="17">
        <f t="shared" si="3"/>
        <v>1680</v>
      </c>
      <c r="K246" s="46">
        <v>1363632</v>
      </c>
      <c r="L246" s="34">
        <v>21566</v>
      </c>
    </row>
    <row r="247" hidden="1">
      <c r="B247" s="64">
        <v>43851</v>
      </c>
      <c r="C247" s="9" t="s">
        <v>2721</v>
      </c>
      <c r="D247" s="6" t="s">
        <v>2250</v>
      </c>
      <c r="E247" s="6" t="s">
        <v>2697</v>
      </c>
      <c r="F247" s="6" t="s">
        <v>2226</v>
      </c>
      <c r="G247" s="6" t="s">
        <v>2227</v>
      </c>
      <c r="H247" s="7">
        <v>3240</v>
      </c>
      <c r="I247" s="8">
        <f>SUMIF(Cargas!$C$6:$C$1064,C247,Cargas!$O$6:$O$1064)</f>
        <v>0</v>
      </c>
      <c r="J247" s="17">
        <f t="shared" si="3"/>
        <v>3240</v>
      </c>
      <c r="K247" s="46">
        <v>1362864</v>
      </c>
      <c r="L247" s="34">
        <v>21749</v>
      </c>
    </row>
    <row r="248" hidden="1">
      <c r="B248" s="64">
        <v>43851</v>
      </c>
      <c r="C248" s="9" t="s">
        <v>2722</v>
      </c>
      <c r="D248" s="6" t="s">
        <v>2248</v>
      </c>
      <c r="E248" s="6" t="s">
        <v>2697</v>
      </c>
      <c r="F248" s="6" t="s">
        <v>2226</v>
      </c>
      <c r="G248" s="6" t="s">
        <v>2227</v>
      </c>
      <c r="H248" s="7">
        <v>3150</v>
      </c>
      <c r="I248" s="8">
        <f>SUMIF(Cargas!$C$6:$C$1064,C248,Cargas!$O$6:$O$1064)</f>
        <v>0</v>
      </c>
      <c r="J248" s="17">
        <f t="shared" si="3"/>
        <v>3150</v>
      </c>
      <c r="K248" s="34">
        <v>1362865</v>
      </c>
      <c r="L248" s="34">
        <v>21752</v>
      </c>
    </row>
    <row r="249" hidden="1">
      <c r="A249" s="0" t="s">
        <v>0</v>
      </c>
      <c r="B249" s="64">
        <v>43853</v>
      </c>
      <c r="C249" s="9" t="s">
        <v>2723</v>
      </c>
      <c r="D249" s="6" t="s">
        <v>2281</v>
      </c>
      <c r="E249" s="6" t="s">
        <v>2670</v>
      </c>
      <c r="F249" s="6" t="s">
        <v>2226</v>
      </c>
      <c r="G249" s="6" t="s">
        <v>2258</v>
      </c>
      <c r="H249" s="7">
        <v>1408</v>
      </c>
      <c r="I249" s="8">
        <f>SUMIF(Cargas!$C$6:$C$1064,C249,Cargas!$O$6:$O$1064)</f>
        <v>0</v>
      </c>
      <c r="J249" s="17">
        <f t="shared" si="3"/>
        <v>1408</v>
      </c>
      <c r="K249" s="34">
        <v>1364426</v>
      </c>
      <c r="L249" s="34">
        <v>14001</v>
      </c>
    </row>
    <row r="250" hidden="1">
      <c r="A250" s="0" t="s">
        <v>0</v>
      </c>
      <c r="B250" s="64">
        <v>43853</v>
      </c>
      <c r="C250" s="9" t="s">
        <v>2724</v>
      </c>
      <c r="D250" s="6" t="s">
        <v>2301</v>
      </c>
      <c r="E250" s="6" t="s">
        <v>2712</v>
      </c>
      <c r="F250" s="6" t="s">
        <v>2226</v>
      </c>
      <c r="G250" s="6" t="s">
        <v>2258</v>
      </c>
      <c r="H250" s="7">
        <v>1536</v>
      </c>
      <c r="I250" s="8">
        <f>SUMIF(Cargas!$C$6:$C$1064,C250,Cargas!$O$6:$O$1064)</f>
        <v>0</v>
      </c>
      <c r="J250" s="17">
        <f t="shared" si="3"/>
        <v>1536</v>
      </c>
      <c r="K250" s="34">
        <v>1366053</v>
      </c>
      <c r="L250" s="34">
        <v>29132</v>
      </c>
    </row>
    <row r="251" hidden="1">
      <c r="B251" s="64">
        <v>43855</v>
      </c>
      <c r="C251" s="9" t="s">
        <v>2725</v>
      </c>
      <c r="D251" s="6" t="s">
        <v>2236</v>
      </c>
      <c r="E251" s="6" t="s">
        <v>2719</v>
      </c>
      <c r="F251" s="6" t="s">
        <v>2221</v>
      </c>
      <c r="G251" s="6" t="s">
        <v>2222</v>
      </c>
      <c r="H251" s="7">
        <v>2160</v>
      </c>
      <c r="I251" s="8">
        <f>SUMIF(Cargas!$C$6:$C$1064,C251,Cargas!$O$6:$O$1064)</f>
        <v>0</v>
      </c>
      <c r="J251" s="17">
        <f t="shared" si="3"/>
        <v>2160</v>
      </c>
      <c r="K251" s="46">
        <v>1364229</v>
      </c>
      <c r="L251" s="34">
        <v>45401</v>
      </c>
    </row>
    <row r="252" hidden="1">
      <c r="B252" s="64">
        <v>43862</v>
      </c>
      <c r="C252" s="9" t="s">
        <v>2726</v>
      </c>
      <c r="D252" s="6" t="s">
        <v>2238</v>
      </c>
      <c r="E252" s="6" t="s">
        <v>2719</v>
      </c>
      <c r="F252" s="6" t="s">
        <v>2221</v>
      </c>
      <c r="G252" s="6" t="s">
        <v>2222</v>
      </c>
      <c r="H252" s="7">
        <v>2160</v>
      </c>
      <c r="I252" s="8">
        <f>SUMIF(Cargas!$C$6:$C$1064,C252,Cargas!$O$6:$O$1064)</f>
        <v>0</v>
      </c>
      <c r="J252" s="17">
        <f t="shared" si="3"/>
        <v>2160</v>
      </c>
      <c r="K252" s="46">
        <v>1364754</v>
      </c>
      <c r="L252" s="34">
        <v>38131</v>
      </c>
    </row>
    <row r="253" hidden="1">
      <c r="A253" s="0" t="s">
        <v>0</v>
      </c>
      <c r="B253" s="64">
        <v>43868</v>
      </c>
      <c r="C253" s="9" t="s">
        <v>2727</v>
      </c>
      <c r="D253" s="6" t="s">
        <v>2572</v>
      </c>
      <c r="E253" s="6" t="s">
        <v>2573</v>
      </c>
      <c r="F253" s="6" t="s">
        <v>2221</v>
      </c>
      <c r="G253" s="6" t="s">
        <v>2222</v>
      </c>
      <c r="H253" s="7">
        <v>2310</v>
      </c>
      <c r="I253" s="8">
        <f>SUMIF(Cargas!$C$6:$C$1064,C253,Cargas!$O$6:$O$1064)</f>
        <v>0</v>
      </c>
      <c r="J253" s="17">
        <f t="shared" si="3"/>
        <v>2310</v>
      </c>
      <c r="K253" s="34">
        <v>1325618</v>
      </c>
      <c r="L253" s="34">
        <v>39163</v>
      </c>
    </row>
    <row r="254" hidden="1">
      <c r="B254" s="64">
        <v>43868</v>
      </c>
      <c r="C254" s="9" t="s">
        <v>2728</v>
      </c>
      <c r="D254" s="6" t="s">
        <v>2244</v>
      </c>
      <c r="E254" s="6" t="s">
        <v>2719</v>
      </c>
      <c r="F254" s="6" t="s">
        <v>2221</v>
      </c>
      <c r="G254" s="6" t="s">
        <v>2222</v>
      </c>
      <c r="H254" s="7">
        <v>2160</v>
      </c>
      <c r="I254" s="8">
        <f>SUMIF(Cargas!$C$6:$C$1064,C254,Cargas!$O$6:$O$1064)</f>
        <v>0</v>
      </c>
      <c r="J254" s="17">
        <f t="shared" si="3"/>
        <v>2160</v>
      </c>
      <c r="K254" s="46">
        <v>1365076</v>
      </c>
      <c r="L254" s="34">
        <v>45401</v>
      </c>
    </row>
    <row r="255" hidden="1">
      <c r="B255" s="64">
        <v>43872</v>
      </c>
      <c r="C255" s="9" t="s">
        <v>2729</v>
      </c>
      <c r="D255" s="6" t="s">
        <v>2270</v>
      </c>
      <c r="E255" s="6" t="s">
        <v>2697</v>
      </c>
      <c r="F255" s="6" t="s">
        <v>2226</v>
      </c>
      <c r="G255" s="6" t="s">
        <v>2227</v>
      </c>
      <c r="H255" s="7">
        <v>2160</v>
      </c>
      <c r="I255" s="8">
        <f>SUMIF(Cargas!$C$6:$C$1064,C255,Cargas!$O$6:$O$1064)</f>
        <v>0</v>
      </c>
      <c r="J255" s="17">
        <f t="shared" si="3"/>
        <v>2160</v>
      </c>
      <c r="K255" s="46">
        <v>1362870</v>
      </c>
      <c r="L255" s="34">
        <v>30858</v>
      </c>
    </row>
    <row r="256" hidden="1">
      <c r="B256" s="64">
        <v>43876</v>
      </c>
      <c r="C256" s="9" t="s">
        <v>2730</v>
      </c>
      <c r="D256" s="6" t="s">
        <v>2254</v>
      </c>
      <c r="E256" s="6" t="s">
        <v>2719</v>
      </c>
      <c r="F256" s="6" t="s">
        <v>2221</v>
      </c>
      <c r="G256" s="6" t="s">
        <v>2222</v>
      </c>
      <c r="H256" s="7">
        <v>2160</v>
      </c>
      <c r="I256" s="8">
        <f>SUMIF(Cargas!$C$6:$C$1064,C256,Cargas!$O$6:$O$1064)</f>
        <v>0</v>
      </c>
      <c r="J256" s="17">
        <f t="shared" si="3"/>
        <v>2160</v>
      </c>
      <c r="K256" s="46">
        <v>1365077</v>
      </c>
      <c r="L256" s="34">
        <v>51989</v>
      </c>
    </row>
    <row r="257" hidden="1">
      <c r="B257" s="64">
        <v>43879</v>
      </c>
      <c r="C257" s="9" t="s">
        <v>2731</v>
      </c>
      <c r="D257" s="6" t="s">
        <v>2276</v>
      </c>
      <c r="E257" s="6" t="s">
        <v>2697</v>
      </c>
      <c r="F257" s="6" t="s">
        <v>2226</v>
      </c>
      <c r="G257" s="6" t="s">
        <v>2227</v>
      </c>
      <c r="H257" s="7">
        <v>3150</v>
      </c>
      <c r="I257" s="8">
        <f>SUMIF(Cargas!$C$6:$C$1064,C257,Cargas!$O$6:$O$1064)</f>
        <v>0</v>
      </c>
      <c r="J257" s="17">
        <f t="shared" si="3"/>
        <v>3150</v>
      </c>
      <c r="K257" s="34">
        <v>1362873</v>
      </c>
      <c r="L257" s="34">
        <v>38417</v>
      </c>
    </row>
    <row r="258" hidden="1">
      <c r="B258" s="64">
        <v>43879</v>
      </c>
      <c r="C258" s="9" t="s">
        <v>2732</v>
      </c>
      <c r="D258" s="6" t="s">
        <v>2272</v>
      </c>
      <c r="E258" s="6" t="s">
        <v>2719</v>
      </c>
      <c r="F258" s="6" t="s">
        <v>2226</v>
      </c>
      <c r="G258" s="6" t="s">
        <v>2227</v>
      </c>
      <c r="H258" s="7">
        <v>4320</v>
      </c>
      <c r="I258" s="8">
        <f>SUMIF(Cargas!$C$6:$C$1064,C258,Cargas!$O$6:$O$1064)</f>
        <v>0</v>
      </c>
      <c r="J258" s="17">
        <f t="shared" si="3"/>
        <v>4320</v>
      </c>
      <c r="K258" s="46">
        <v>1365180</v>
      </c>
      <c r="L258" s="34">
        <v>41226</v>
      </c>
    </row>
    <row r="259" hidden="1">
      <c r="B259" s="64">
        <v>43879</v>
      </c>
      <c r="C259" s="9" t="s">
        <v>2733</v>
      </c>
      <c r="D259" s="6" t="s">
        <v>2279</v>
      </c>
      <c r="E259" s="6" t="s">
        <v>2697</v>
      </c>
      <c r="F259" s="6" t="s">
        <v>2226</v>
      </c>
      <c r="G259" s="6" t="s">
        <v>2227</v>
      </c>
      <c r="H259" s="7">
        <v>3240</v>
      </c>
      <c r="I259" s="8">
        <f>SUMIF(Cargas!$C$6:$C$1064,C259,Cargas!$O$6:$O$1064)</f>
        <v>0</v>
      </c>
      <c r="J259" s="17">
        <f t="shared" si="3"/>
        <v>3240</v>
      </c>
      <c r="K259" s="46">
        <v>1362872</v>
      </c>
      <c r="L259" s="34">
        <v>43076</v>
      </c>
    </row>
    <row r="260" hidden="1">
      <c r="B260" s="64">
        <v>43883</v>
      </c>
      <c r="C260" s="9" t="s">
        <v>2734</v>
      </c>
      <c r="D260" s="6" t="s">
        <v>2266</v>
      </c>
      <c r="E260" s="6" t="s">
        <v>2719</v>
      </c>
      <c r="F260" s="6" t="s">
        <v>2221</v>
      </c>
      <c r="G260" s="6" t="s">
        <v>2222</v>
      </c>
      <c r="H260" s="7">
        <v>2160</v>
      </c>
      <c r="I260" s="8">
        <f>SUMIF(Cargas!$C$6:$C$1064,C260,Cargas!$O$6:$O$1064)</f>
        <v>0</v>
      </c>
      <c r="J260" s="17">
        <f t="shared" si="3"/>
        <v>2160</v>
      </c>
      <c r="K260" s="46">
        <v>1365078</v>
      </c>
      <c r="L260" s="34">
        <v>51991</v>
      </c>
    </row>
    <row r="261" hidden="1">
      <c r="A261" s="0" t="s">
        <v>0</v>
      </c>
      <c r="B261" s="64">
        <v>43886</v>
      </c>
      <c r="C261" s="9" t="s">
        <v>2735</v>
      </c>
      <c r="D261" s="6" t="s">
        <v>962</v>
      </c>
      <c r="E261" s="6" t="s">
        <v>2712</v>
      </c>
      <c r="F261" s="6" t="s">
        <v>2226</v>
      </c>
      <c r="G261" s="6" t="s">
        <v>2258</v>
      </c>
      <c r="H261" s="7">
        <v>2112</v>
      </c>
      <c r="I261" s="8">
        <f>SUMIF(Cargas!$C$6:$C$1064,C261,Cargas!$O$6:$O$1064)</f>
        <v>0</v>
      </c>
      <c r="J261" s="17">
        <f ref="J261:J324" t="shared" si="4">IF(ABS(H261-I261)&lt;20,0,H261-I261)</f>
        <v>2112</v>
      </c>
      <c r="K261" s="34">
        <v>1366426</v>
      </c>
      <c r="L261" s="34">
        <v>32834</v>
      </c>
    </row>
    <row r="262" hidden="1">
      <c r="B262" s="64">
        <v>43886</v>
      </c>
      <c r="C262" s="9" t="s">
        <v>2736</v>
      </c>
      <c r="D262" s="6" t="s">
        <v>2289</v>
      </c>
      <c r="E262" s="6" t="s">
        <v>2697</v>
      </c>
      <c r="F262" s="6" t="s">
        <v>2226</v>
      </c>
      <c r="G262" s="6" t="s">
        <v>2227</v>
      </c>
      <c r="H262" s="7">
        <v>3240</v>
      </c>
      <c r="I262" s="8">
        <f>SUMIF(Cargas!$C$6:$C$1064,C262,Cargas!$O$6:$O$1064)</f>
        <v>0</v>
      </c>
      <c r="J262" s="17">
        <f t="shared" si="4"/>
        <v>3240</v>
      </c>
      <c r="K262" s="46">
        <v>1365079</v>
      </c>
      <c r="L262" s="34">
        <v>38270</v>
      </c>
    </row>
    <row r="263" hidden="1">
      <c r="B263" s="64">
        <v>43886</v>
      </c>
      <c r="C263" s="9" t="s">
        <v>2737</v>
      </c>
      <c r="D263" s="6" t="s">
        <v>2287</v>
      </c>
      <c r="E263" s="6" t="s">
        <v>2697</v>
      </c>
      <c r="F263" s="6" t="s">
        <v>2226</v>
      </c>
      <c r="G263" s="6" t="s">
        <v>2227</v>
      </c>
      <c r="H263" s="7">
        <v>3150</v>
      </c>
      <c r="I263" s="8">
        <f>SUMIF(Cargas!$C$6:$C$1064,C263,Cargas!$O$6:$O$1064)</f>
        <v>0</v>
      </c>
      <c r="J263" s="17">
        <f t="shared" si="4"/>
        <v>3150</v>
      </c>
      <c r="K263" s="34">
        <v>1365080</v>
      </c>
      <c r="L263" s="34">
        <v>38271</v>
      </c>
    </row>
    <row r="264" hidden="1">
      <c r="B264" s="64">
        <v>43886</v>
      </c>
      <c r="C264" s="9" t="s">
        <v>2738</v>
      </c>
      <c r="D264" s="6" t="s">
        <v>2291</v>
      </c>
      <c r="E264" s="6" t="s">
        <v>2719</v>
      </c>
      <c r="F264" s="6" t="s">
        <v>2226</v>
      </c>
      <c r="G264" s="6" t="s">
        <v>2227</v>
      </c>
      <c r="H264" s="7">
        <v>4320</v>
      </c>
      <c r="I264" s="8">
        <f>SUMIF(Cargas!$C$6:$C$1064,C264,Cargas!$O$6:$O$1064)</f>
        <v>0</v>
      </c>
      <c r="J264" s="17">
        <f t="shared" si="4"/>
        <v>4320</v>
      </c>
      <c r="K264" s="46">
        <v>1365473</v>
      </c>
      <c r="L264" s="34">
        <v>38272</v>
      </c>
    </row>
    <row r="265" hidden="1">
      <c r="B265" s="64">
        <v>43886</v>
      </c>
      <c r="C265" s="9" t="s">
        <v>2739</v>
      </c>
      <c r="D265" s="6" t="s">
        <v>2274</v>
      </c>
      <c r="E265" s="6" t="s">
        <v>2225</v>
      </c>
      <c r="F265" s="6" t="s">
        <v>2226</v>
      </c>
      <c r="G265" s="6" t="s">
        <v>2227</v>
      </c>
      <c r="H265" s="7">
        <v>1680</v>
      </c>
      <c r="I265" s="8">
        <f>SUMIF(Cargas!$C$6:$C$1064,C265,Cargas!$O$6:$O$1064)</f>
        <v>0</v>
      </c>
      <c r="J265" s="17">
        <f t="shared" si="4"/>
        <v>1680</v>
      </c>
      <c r="K265" s="46">
        <v>1365096</v>
      </c>
      <c r="L265" s="34">
        <v>38418</v>
      </c>
    </row>
    <row r="266" hidden="1">
      <c r="B266" s="64">
        <v>43890</v>
      </c>
      <c r="C266" s="9" t="s">
        <v>2740</v>
      </c>
      <c r="D266" s="6" t="s">
        <v>2285</v>
      </c>
      <c r="E266" s="6" t="s">
        <v>2719</v>
      </c>
      <c r="F266" s="6" t="s">
        <v>2221</v>
      </c>
      <c r="G266" s="6" t="s">
        <v>2222</v>
      </c>
      <c r="H266" s="7">
        <v>2160</v>
      </c>
      <c r="I266" s="8">
        <f>SUMIF(Cargas!$C$6:$C$1064,C266,Cargas!$O$6:$O$1064)</f>
        <v>0</v>
      </c>
      <c r="J266" s="17">
        <f t="shared" si="4"/>
        <v>2160</v>
      </c>
      <c r="K266" s="46">
        <v>1366299</v>
      </c>
      <c r="L266" s="34">
        <v>52473</v>
      </c>
    </row>
    <row r="267" hidden="1">
      <c r="B267" s="64">
        <v>43893</v>
      </c>
      <c r="C267" s="9" t="s">
        <v>2741</v>
      </c>
      <c r="D267" s="6" t="s">
        <v>2299</v>
      </c>
      <c r="E267" s="6" t="s">
        <v>2697</v>
      </c>
      <c r="F267" s="6" t="s">
        <v>2226</v>
      </c>
      <c r="G267" s="6" t="s">
        <v>2227</v>
      </c>
      <c r="H267" s="7">
        <v>3240</v>
      </c>
      <c r="I267" s="8">
        <f>SUMIF(Cargas!$C$6:$C$1064,C267,Cargas!$O$6:$O$1064)</f>
        <v>0</v>
      </c>
      <c r="J267" s="17">
        <f t="shared" si="4"/>
        <v>3240</v>
      </c>
      <c r="K267" s="46">
        <v>1365081</v>
      </c>
      <c r="L267" s="34">
        <v>48552</v>
      </c>
    </row>
    <row r="268" hidden="1">
      <c r="B268" s="64">
        <v>43893</v>
      </c>
      <c r="C268" s="9" t="s">
        <v>2742</v>
      </c>
      <c r="D268" s="6" t="s">
        <v>2297</v>
      </c>
      <c r="E268" s="6" t="s">
        <v>2697</v>
      </c>
      <c r="F268" s="6" t="s">
        <v>2226</v>
      </c>
      <c r="G268" s="6" t="s">
        <v>2227</v>
      </c>
      <c r="H268" s="7">
        <v>3150</v>
      </c>
      <c r="I268" s="8">
        <f>SUMIF(Cargas!$C$6:$C$1064,C268,Cargas!$O$6:$O$1064)</f>
        <v>0</v>
      </c>
      <c r="J268" s="17">
        <f t="shared" si="4"/>
        <v>3150</v>
      </c>
      <c r="K268" s="34">
        <v>1362867</v>
      </c>
      <c r="L268" s="34">
        <v>48553</v>
      </c>
    </row>
    <row r="269" hidden="1">
      <c r="B269" s="64">
        <v>43897</v>
      </c>
      <c r="C269" s="9" t="s">
        <v>2743</v>
      </c>
      <c r="D269" s="6" t="s">
        <v>2295</v>
      </c>
      <c r="E269" s="6" t="s">
        <v>2719</v>
      </c>
      <c r="F269" s="6" t="s">
        <v>2221</v>
      </c>
      <c r="G269" s="6" t="s">
        <v>2222</v>
      </c>
      <c r="H269" s="7">
        <v>4320</v>
      </c>
      <c r="I269" s="8">
        <f>SUMIF(Cargas!$C$6:$C$1064,C269,Cargas!$O$6:$O$1064)</f>
        <v>0</v>
      </c>
      <c r="J269" s="17">
        <f t="shared" si="4"/>
        <v>4320</v>
      </c>
      <c r="K269" s="46">
        <v>1366485</v>
      </c>
      <c r="L269" s="34">
        <v>58974</v>
      </c>
    </row>
    <row r="270" hidden="1">
      <c r="B270" s="64">
        <v>43899</v>
      </c>
      <c r="C270" s="9" t="s">
        <v>2744</v>
      </c>
      <c r="D270" s="6" t="s">
        <v>2293</v>
      </c>
      <c r="E270" s="6" t="s">
        <v>2225</v>
      </c>
      <c r="F270" s="6" t="s">
        <v>2226</v>
      </c>
      <c r="G270" s="6" t="s">
        <v>2227</v>
      </c>
      <c r="H270" s="7">
        <v>1680</v>
      </c>
      <c r="I270" s="8">
        <f>SUMIF(Cargas!$C$6:$C$1064,C270,Cargas!$O$6:$O$1064)</f>
        <v>0</v>
      </c>
      <c r="J270" s="17">
        <f t="shared" si="4"/>
        <v>1680</v>
      </c>
      <c r="K270" s="46">
        <v>1366589</v>
      </c>
      <c r="L270" s="34">
        <v>46892</v>
      </c>
    </row>
    <row r="271" hidden="1">
      <c r="B271" s="64">
        <v>43899</v>
      </c>
      <c r="C271" s="9" t="s">
        <v>2745</v>
      </c>
      <c r="D271" s="6" t="s">
        <v>2311</v>
      </c>
      <c r="E271" s="6" t="s">
        <v>2697</v>
      </c>
      <c r="F271" s="6" t="s">
        <v>2226</v>
      </c>
      <c r="G271" s="6" t="s">
        <v>2227</v>
      </c>
      <c r="H271" s="7">
        <v>3150</v>
      </c>
      <c r="I271" s="8">
        <f>SUMIF(Cargas!$C$6:$C$1064,C271,Cargas!$O$6:$O$1064)</f>
        <v>0</v>
      </c>
      <c r="J271" s="17">
        <f t="shared" si="4"/>
        <v>3150</v>
      </c>
      <c r="K271" s="34">
        <v>1362867</v>
      </c>
      <c r="L271" s="34">
        <v>46903</v>
      </c>
    </row>
    <row r="272" hidden="1">
      <c r="B272" s="64">
        <v>43899</v>
      </c>
      <c r="C272" s="9" t="s">
        <v>2746</v>
      </c>
      <c r="D272" s="6" t="s">
        <v>2307</v>
      </c>
      <c r="E272" s="6" t="s">
        <v>2719</v>
      </c>
      <c r="F272" s="6" t="s">
        <v>2226</v>
      </c>
      <c r="G272" s="6" t="s">
        <v>2227</v>
      </c>
      <c r="H272" s="7">
        <v>2160</v>
      </c>
      <c r="I272" s="8">
        <f>SUMIF(Cargas!$C$6:$C$1064,C272,Cargas!$O$6:$O$1064)</f>
        <v>0</v>
      </c>
      <c r="J272" s="17">
        <f t="shared" si="4"/>
        <v>2160</v>
      </c>
      <c r="K272" s="46">
        <v>1366486</v>
      </c>
      <c r="L272" s="34">
        <v>47083</v>
      </c>
    </row>
    <row r="273" hidden="1">
      <c r="B273" s="64">
        <v>43899</v>
      </c>
      <c r="C273" s="9" t="s">
        <v>2747</v>
      </c>
      <c r="D273" s="6" t="s">
        <v>2313</v>
      </c>
      <c r="E273" s="6" t="s">
        <v>2697</v>
      </c>
      <c r="F273" s="6" t="s">
        <v>2226</v>
      </c>
      <c r="G273" s="6" t="s">
        <v>2227</v>
      </c>
      <c r="H273" s="7">
        <v>3240</v>
      </c>
      <c r="I273" s="8">
        <f>SUMIF(Cargas!$C$6:$C$1064,C273,Cargas!$O$6:$O$1064)</f>
        <v>0</v>
      </c>
      <c r="J273" s="17">
        <f t="shared" si="4"/>
        <v>3240</v>
      </c>
      <c r="K273" s="46">
        <v>1365082</v>
      </c>
      <c r="L273" s="34">
        <v>53283</v>
      </c>
    </row>
    <row r="274" hidden="1">
      <c r="B274" s="64">
        <v>43904</v>
      </c>
      <c r="C274" s="9" t="s">
        <v>2748</v>
      </c>
      <c r="D274" s="6" t="s">
        <v>2309</v>
      </c>
      <c r="E274" s="6" t="s">
        <v>2719</v>
      </c>
      <c r="F274" s="6" t="s">
        <v>2221</v>
      </c>
      <c r="G274" s="6" t="s">
        <v>2222</v>
      </c>
      <c r="H274" s="7">
        <v>2160</v>
      </c>
      <c r="I274" s="8">
        <f>SUMIF(Cargas!$C$6:$C$1064,C274,Cargas!$O$6:$O$1064)</f>
        <v>0</v>
      </c>
      <c r="J274" s="17">
        <f t="shared" si="4"/>
        <v>2160</v>
      </c>
      <c r="K274" s="46">
        <v>1367160</v>
      </c>
      <c r="L274" s="34">
        <v>58973</v>
      </c>
    </row>
    <row r="275" hidden="1">
      <c r="B275" s="64">
        <v>43911</v>
      </c>
      <c r="C275" s="9" t="s">
        <v>2749</v>
      </c>
      <c r="D275" s="6" t="s">
        <v>2329</v>
      </c>
      <c r="E275" s="6" t="s">
        <v>2697</v>
      </c>
      <c r="F275" s="6" t="s">
        <v>2226</v>
      </c>
      <c r="G275" s="6" t="s">
        <v>2227</v>
      </c>
      <c r="H275" s="7">
        <v>3240</v>
      </c>
      <c r="I275" s="8">
        <f>SUMIF(Cargas!$C$6:$C$1064,C275,Cargas!$O$6:$O$1064)</f>
        <v>0</v>
      </c>
      <c r="J275" s="17">
        <f t="shared" si="4"/>
        <v>3240</v>
      </c>
      <c r="K275" s="46">
        <v>1365084</v>
      </c>
      <c r="L275" s="34">
        <v>47082</v>
      </c>
    </row>
    <row r="276" hidden="1">
      <c r="B276" s="64">
        <v>43911</v>
      </c>
      <c r="C276" s="9" t="s">
        <v>2750</v>
      </c>
      <c r="D276" s="6" t="s">
        <v>2304</v>
      </c>
      <c r="E276" s="6" t="s">
        <v>2225</v>
      </c>
      <c r="F276" s="6" t="s">
        <v>2226</v>
      </c>
      <c r="G276" s="6" t="s">
        <v>2227</v>
      </c>
      <c r="H276" s="7">
        <v>1680</v>
      </c>
      <c r="I276" s="8">
        <f>SUMIF(Cargas!$C$6:$C$1064,C276,Cargas!$O$6:$O$1064)</f>
        <v>0</v>
      </c>
      <c r="J276" s="17">
        <f t="shared" si="4"/>
        <v>1680</v>
      </c>
      <c r="K276" s="46">
        <v>1367709</v>
      </c>
      <c r="L276" s="34">
        <v>52985</v>
      </c>
    </row>
    <row r="277" hidden="1">
      <c r="B277" s="64">
        <v>43911</v>
      </c>
      <c r="C277" s="9" t="s">
        <v>2751</v>
      </c>
      <c r="D277" s="6" t="s">
        <v>2325</v>
      </c>
      <c r="E277" s="6" t="s">
        <v>2719</v>
      </c>
      <c r="F277" s="6" t="s">
        <v>2226</v>
      </c>
      <c r="G277" s="6" t="s">
        <v>2227</v>
      </c>
      <c r="H277" s="7">
        <v>2160</v>
      </c>
      <c r="I277" s="8">
        <f>SUMIF(Cargas!$C$6:$C$1064,C277,Cargas!$O$6:$O$1064)</f>
        <v>0</v>
      </c>
      <c r="J277" s="17">
        <f t="shared" si="4"/>
        <v>2160</v>
      </c>
      <c r="K277" s="46">
        <v>1367711</v>
      </c>
      <c r="L277" s="34">
        <v>53019</v>
      </c>
    </row>
    <row r="278" hidden="1">
      <c r="B278" s="64">
        <v>43911</v>
      </c>
      <c r="C278" s="9" t="s">
        <v>2752</v>
      </c>
      <c r="D278" s="6" t="s">
        <v>2327</v>
      </c>
      <c r="E278" s="6" t="s">
        <v>2697</v>
      </c>
      <c r="F278" s="6" t="s">
        <v>2226</v>
      </c>
      <c r="G278" s="6" t="s">
        <v>2227</v>
      </c>
      <c r="H278" s="7">
        <v>3150</v>
      </c>
      <c r="I278" s="8">
        <f>SUMIF(Cargas!$C$6:$C$1064,C278,Cargas!$O$6:$O$1064)</f>
        <v>0</v>
      </c>
      <c r="J278" s="17">
        <f t="shared" si="4"/>
        <v>3150</v>
      </c>
      <c r="K278" s="34">
        <v>1365085</v>
      </c>
      <c r="L278" s="34">
        <v>53284</v>
      </c>
    </row>
    <row r="279" hidden="1">
      <c r="B279" s="64">
        <v>43911</v>
      </c>
      <c r="C279" s="9" t="s">
        <v>2753</v>
      </c>
      <c r="D279" s="6" t="s">
        <v>2319</v>
      </c>
      <c r="E279" s="6" t="s">
        <v>2719</v>
      </c>
      <c r="F279" s="6" t="s">
        <v>2221</v>
      </c>
      <c r="G279" s="6" t="s">
        <v>2222</v>
      </c>
      <c r="H279" s="7">
        <v>2160</v>
      </c>
      <c r="I279" s="8">
        <f>SUMIF(Cargas!$C$6:$C$1064,C279,Cargas!$O$6:$O$1064)</f>
        <v>0</v>
      </c>
      <c r="J279" s="17">
        <f t="shared" si="4"/>
        <v>2160</v>
      </c>
      <c r="K279" s="46">
        <v>1367710</v>
      </c>
      <c r="L279" s="34">
        <v>64209</v>
      </c>
    </row>
    <row r="280" hidden="1">
      <c r="A280" s="0" t="s">
        <v>0</v>
      </c>
      <c r="B280" s="64">
        <v>43913</v>
      </c>
      <c r="C280" s="9" t="s">
        <v>2754</v>
      </c>
      <c r="D280" s="6" t="s">
        <v>2412</v>
      </c>
      <c r="E280" s="6" t="s">
        <v>2712</v>
      </c>
      <c r="F280" s="6" t="s">
        <v>2226</v>
      </c>
      <c r="G280" s="6" t="s">
        <v>2258</v>
      </c>
      <c r="H280" s="7">
        <v>2112</v>
      </c>
      <c r="I280" s="8">
        <f>SUMIF(Cargas!$C$6:$C$1064,C280,Cargas!$O$6:$O$1064)</f>
        <v>0</v>
      </c>
      <c r="J280" s="17">
        <f t="shared" si="4"/>
        <v>2112</v>
      </c>
      <c r="K280" s="34">
        <v>1368137</v>
      </c>
      <c r="L280" s="34">
        <v>49084</v>
      </c>
    </row>
    <row r="281" hidden="1">
      <c r="B281" s="64">
        <v>43914</v>
      </c>
      <c r="C281" s="9" t="s">
        <v>2755</v>
      </c>
      <c r="D281" s="6" t="s">
        <v>2333</v>
      </c>
      <c r="E281" s="6" t="s">
        <v>2697</v>
      </c>
      <c r="F281" s="6" t="s">
        <v>2226</v>
      </c>
      <c r="G281" s="6" t="s">
        <v>2227</v>
      </c>
      <c r="H281" s="7">
        <v>3240</v>
      </c>
      <c r="I281" s="8">
        <f>SUMIF(Cargas!$C$6:$C$1064,C281,Cargas!$O$6:$O$1064)</f>
        <v>0</v>
      </c>
      <c r="J281" s="17">
        <f t="shared" si="4"/>
        <v>3240</v>
      </c>
      <c r="K281" s="46">
        <v>1362866</v>
      </c>
      <c r="L281" s="34">
        <v>53017</v>
      </c>
    </row>
    <row r="282" hidden="1">
      <c r="B282" s="64">
        <v>43914</v>
      </c>
      <c r="C282" s="9" t="s">
        <v>2756</v>
      </c>
      <c r="D282" s="6" t="s">
        <v>2339</v>
      </c>
      <c r="E282" s="6" t="s">
        <v>2697</v>
      </c>
      <c r="F282" s="6" t="s">
        <v>2226</v>
      </c>
      <c r="G282" s="6" t="s">
        <v>2227</v>
      </c>
      <c r="H282" s="7">
        <v>3150</v>
      </c>
      <c r="I282" s="8">
        <f>SUMIF(Cargas!$C$6:$C$1064,C282,Cargas!$O$6:$O$1064)</f>
        <v>0</v>
      </c>
      <c r="J282" s="17">
        <f t="shared" si="4"/>
        <v>3150</v>
      </c>
      <c r="K282" s="34">
        <v>1365087</v>
      </c>
      <c r="L282" s="34">
        <v>53018</v>
      </c>
    </row>
    <row r="283" hidden="1">
      <c r="B283" s="64">
        <v>43918</v>
      </c>
      <c r="C283" s="9" t="s">
        <v>2757</v>
      </c>
      <c r="D283" s="6" t="s">
        <v>2331</v>
      </c>
      <c r="E283" s="6" t="s">
        <v>2719</v>
      </c>
      <c r="F283" s="6" t="s">
        <v>2221</v>
      </c>
      <c r="G283" s="6" t="s">
        <v>2222</v>
      </c>
      <c r="H283" s="7">
        <v>2160</v>
      </c>
      <c r="I283" s="8">
        <f>SUMIF(Cargas!$C$6:$C$1064,C283,Cargas!$O$6:$O$1064)</f>
        <v>0</v>
      </c>
      <c r="J283" s="17">
        <f t="shared" si="4"/>
        <v>2160</v>
      </c>
      <c r="K283" s="46">
        <v>1368216</v>
      </c>
      <c r="L283" s="34">
        <v>64210</v>
      </c>
    </row>
    <row r="284" hidden="1">
      <c r="A284" s="0" t="s">
        <v>0</v>
      </c>
      <c r="B284" s="64">
        <v>43923</v>
      </c>
      <c r="C284" s="9" t="s">
        <v>2758</v>
      </c>
      <c r="D284" s="6" t="s">
        <v>2373</v>
      </c>
      <c r="E284" s="6" t="s">
        <v>2377</v>
      </c>
      <c r="F284" s="6" t="s">
        <v>2226</v>
      </c>
      <c r="G284" s="6" t="s">
        <v>2258</v>
      </c>
      <c r="H284" s="7">
        <v>2208</v>
      </c>
      <c r="I284" s="8">
        <f>SUMIF(Cargas!$C$6:$C$1064,C284,Cargas!$O$6:$O$1064)</f>
        <v>0</v>
      </c>
      <c r="J284" s="17">
        <f t="shared" si="4"/>
        <v>2208</v>
      </c>
      <c r="K284" s="34">
        <v>1368646</v>
      </c>
      <c r="L284" s="34">
        <v>52501</v>
      </c>
    </row>
    <row r="285" hidden="1">
      <c r="B285" s="64">
        <v>43926</v>
      </c>
      <c r="C285" s="9" t="s">
        <v>2759</v>
      </c>
      <c r="D285" s="6" t="s">
        <v>2335</v>
      </c>
      <c r="E285" s="6" t="s">
        <v>2719</v>
      </c>
      <c r="F285" s="6" t="s">
        <v>2221</v>
      </c>
      <c r="G285" s="6" t="s">
        <v>2222</v>
      </c>
      <c r="H285" s="7">
        <v>2160</v>
      </c>
      <c r="I285" s="8">
        <f>SUMIF(Cargas!$C$6:$C$1064,C285,Cargas!$O$6:$O$1064)</f>
        <v>0</v>
      </c>
      <c r="J285" s="17">
        <f t="shared" si="4"/>
        <v>2160</v>
      </c>
      <c r="K285" s="46">
        <v>1368639</v>
      </c>
      <c r="L285" s="34">
        <v>67990</v>
      </c>
    </row>
    <row r="286" hidden="1">
      <c r="A286" s="0" t="s">
        <v>0</v>
      </c>
      <c r="B286" s="64">
        <v>43935</v>
      </c>
      <c r="C286" s="9" t="s">
        <v>2760</v>
      </c>
      <c r="D286" s="6" t="s">
        <v>2761</v>
      </c>
      <c r="E286" s="6" t="s">
        <v>2762</v>
      </c>
      <c r="F286" s="6" t="s">
        <v>2226</v>
      </c>
      <c r="G286" s="6" t="s">
        <v>2227</v>
      </c>
      <c r="H286" s="7">
        <v>2172</v>
      </c>
      <c r="I286" s="8">
        <f>SUMIF(Cargas!$C$6:$C$1064,C286,Cargas!$O$6:$O$1064)</f>
        <v>0</v>
      </c>
      <c r="J286" s="17">
        <f t="shared" si="4"/>
        <v>2172</v>
      </c>
      <c r="K286" s="34" t="s">
        <v>2763</v>
      </c>
      <c r="L286" s="34">
        <v>58381</v>
      </c>
    </row>
    <row r="287" hidden="1">
      <c r="B287" s="64">
        <v>43935</v>
      </c>
      <c r="C287" s="9" t="s">
        <v>2764</v>
      </c>
      <c r="D287" s="6" t="s">
        <v>2337</v>
      </c>
      <c r="E287" s="6" t="s">
        <v>2697</v>
      </c>
      <c r="F287" s="6" t="s">
        <v>2226</v>
      </c>
      <c r="G287" s="6" t="s">
        <v>2227</v>
      </c>
      <c r="H287" s="7">
        <v>3240</v>
      </c>
      <c r="I287" s="8">
        <f>SUMIF(Cargas!$C$6:$C$1064,C287,Cargas!$O$6:$O$1064)</f>
        <v>0</v>
      </c>
      <c r="J287" s="17">
        <f t="shared" si="4"/>
        <v>3240</v>
      </c>
      <c r="K287" s="46">
        <v>1365092</v>
      </c>
      <c r="L287" s="34">
        <v>66311</v>
      </c>
    </row>
    <row r="288" hidden="1">
      <c r="A288" s="0" t="s">
        <v>0</v>
      </c>
      <c r="B288" s="64">
        <v>43937</v>
      </c>
      <c r="C288" s="9" t="s">
        <v>2765</v>
      </c>
      <c r="D288" s="6" t="s">
        <v>2376</v>
      </c>
      <c r="E288" s="6" t="s">
        <v>2452</v>
      </c>
      <c r="F288" s="6" t="s">
        <v>2226</v>
      </c>
      <c r="G288" s="6" t="s">
        <v>2258</v>
      </c>
      <c r="H288" s="7">
        <v>2288</v>
      </c>
      <c r="I288" s="8">
        <f>SUMIF(Cargas!$C$6:$C$1064,C288,Cargas!$O$6:$O$1064)</f>
        <v>0</v>
      </c>
      <c r="J288" s="17">
        <f t="shared" si="4"/>
        <v>2288</v>
      </c>
      <c r="K288" s="34">
        <v>1369684</v>
      </c>
      <c r="L288" s="34">
        <v>58842</v>
      </c>
    </row>
    <row r="289" hidden="1">
      <c r="A289" s="0" t="s">
        <v>0</v>
      </c>
      <c r="B289" s="64">
        <v>43938</v>
      </c>
      <c r="C289" s="9" t="s">
        <v>2766</v>
      </c>
      <c r="D289" s="6" t="s">
        <v>2767</v>
      </c>
      <c r="E289" s="6" t="s">
        <v>2762</v>
      </c>
      <c r="F289" s="6" t="s">
        <v>2226</v>
      </c>
      <c r="G289" s="6" t="s">
        <v>2258</v>
      </c>
      <c r="H289" s="7">
        <v>2172</v>
      </c>
      <c r="I289" s="8">
        <f>SUMIF(Cargas!$C$6:$C$1064,C289,Cargas!$O$6:$O$1064)</f>
        <v>0</v>
      </c>
      <c r="J289" s="17">
        <f t="shared" si="4"/>
        <v>2172</v>
      </c>
      <c r="K289" s="34" t="s">
        <v>2768</v>
      </c>
      <c r="L289" s="34">
        <v>61045</v>
      </c>
    </row>
    <row r="290" hidden="1">
      <c r="B290" s="64">
        <v>43940</v>
      </c>
      <c r="C290" s="9" t="s">
        <v>2769</v>
      </c>
      <c r="D290" s="6" t="s">
        <v>2351</v>
      </c>
      <c r="E290" s="6" t="s">
        <v>2697</v>
      </c>
      <c r="F290" s="6" t="s">
        <v>2226</v>
      </c>
      <c r="G290" s="6" t="s">
        <v>2227</v>
      </c>
      <c r="H290" s="7">
        <v>3240</v>
      </c>
      <c r="I290" s="8">
        <f>SUMIF(Cargas!$C$6:$C$1064,C290,Cargas!$O$6:$O$1064)</f>
        <v>0</v>
      </c>
      <c r="J290" s="17">
        <f t="shared" si="4"/>
        <v>3240</v>
      </c>
      <c r="K290" s="46">
        <v>1369857</v>
      </c>
      <c r="L290" s="34">
        <v>66313</v>
      </c>
    </row>
    <row r="291" hidden="1">
      <c r="B291" s="64">
        <v>43940</v>
      </c>
      <c r="C291" s="9" t="s">
        <v>2770</v>
      </c>
      <c r="D291" s="6" t="s">
        <v>2346</v>
      </c>
      <c r="E291" s="6" t="s">
        <v>2719</v>
      </c>
      <c r="F291" s="6" t="s">
        <v>2226</v>
      </c>
      <c r="G291" s="6" t="s">
        <v>2227</v>
      </c>
      <c r="H291" s="7">
        <v>2160</v>
      </c>
      <c r="I291" s="8">
        <f>SUMIF(Cargas!$C$6:$C$1064,C291,Cargas!$O$6:$O$1064)</f>
        <v>0</v>
      </c>
      <c r="J291" s="17">
        <f t="shared" si="4"/>
        <v>2160</v>
      </c>
      <c r="K291" s="46">
        <v>1369608</v>
      </c>
      <c r="L291" s="34">
        <v>66309</v>
      </c>
    </row>
    <row r="292" hidden="1">
      <c r="B292" s="64">
        <v>43940</v>
      </c>
      <c r="C292" s="9" t="s">
        <v>2771</v>
      </c>
      <c r="D292" s="6" t="s">
        <v>2341</v>
      </c>
      <c r="E292" s="6" t="s">
        <v>2697</v>
      </c>
      <c r="F292" s="6" t="s">
        <v>2226</v>
      </c>
      <c r="G292" s="6" t="s">
        <v>2227</v>
      </c>
      <c r="H292" s="7">
        <v>3150</v>
      </c>
      <c r="I292" s="8">
        <f>SUMIF(Cargas!$C$6:$C$1064,C292,Cargas!$O$6:$O$1064)</f>
        <v>0</v>
      </c>
      <c r="J292" s="17">
        <f t="shared" si="4"/>
        <v>3150</v>
      </c>
      <c r="K292" s="34">
        <v>1365093</v>
      </c>
      <c r="L292" s="34">
        <v>66312</v>
      </c>
    </row>
    <row r="293" hidden="1">
      <c r="A293" s="0" t="s">
        <v>0</v>
      </c>
      <c r="B293" s="64">
        <v>43943</v>
      </c>
      <c r="C293" s="9" t="s">
        <v>2772</v>
      </c>
      <c r="D293" s="6" t="s">
        <v>2773</v>
      </c>
      <c r="E293" s="6" t="s">
        <v>2762</v>
      </c>
      <c r="F293" s="6" t="s">
        <v>2226</v>
      </c>
      <c r="G293" s="6" t="s">
        <v>2227</v>
      </c>
      <c r="H293" s="7">
        <v>2172</v>
      </c>
      <c r="I293" s="8">
        <f>SUMIF(Cargas!$C$6:$C$1064,C293,Cargas!$O$6:$O$1064)</f>
        <v>0</v>
      </c>
      <c r="J293" s="17">
        <f t="shared" si="4"/>
        <v>2172</v>
      </c>
      <c r="K293" s="34" t="s">
        <v>2774</v>
      </c>
      <c r="L293" s="34">
        <v>61785</v>
      </c>
    </row>
    <row r="294" hidden="1">
      <c r="B294" s="64">
        <v>43949</v>
      </c>
      <c r="C294" s="9" t="s">
        <v>2775</v>
      </c>
      <c r="D294" s="6" t="s">
        <v>2367</v>
      </c>
      <c r="E294" s="6" t="s">
        <v>2697</v>
      </c>
      <c r="F294" s="6" t="s">
        <v>2226</v>
      </c>
      <c r="G294" s="6" t="s">
        <v>2227</v>
      </c>
      <c r="H294" s="7">
        <v>3240</v>
      </c>
      <c r="I294" s="8">
        <f>SUMIF(Cargas!$C$6:$C$1064,C294,Cargas!$O$6:$O$1064)</f>
        <v>0</v>
      </c>
      <c r="J294" s="17">
        <f t="shared" si="4"/>
        <v>3240</v>
      </c>
      <c r="K294" s="46">
        <v>1370996</v>
      </c>
      <c r="L294" s="34">
        <v>72097</v>
      </c>
    </row>
    <row r="295" hidden="1">
      <c r="B295" s="64">
        <v>43954</v>
      </c>
      <c r="C295" s="9" t="s">
        <v>2776</v>
      </c>
      <c r="D295" s="6" t="s">
        <v>2369</v>
      </c>
      <c r="E295" s="6" t="s">
        <v>2697</v>
      </c>
      <c r="F295" s="6" t="s">
        <v>2226</v>
      </c>
      <c r="G295" s="6" t="s">
        <v>2227</v>
      </c>
      <c r="H295" s="7">
        <v>3240</v>
      </c>
      <c r="I295" s="8">
        <f>SUMIF(Cargas!$C$6:$C$1064,C295,Cargas!$O$6:$O$1064)</f>
        <v>0</v>
      </c>
      <c r="J295" s="17">
        <f t="shared" si="4"/>
        <v>3240</v>
      </c>
      <c r="K295" s="46">
        <v>1370996</v>
      </c>
      <c r="L295" s="34">
        <v>72095</v>
      </c>
    </row>
    <row r="296" hidden="1">
      <c r="B296" s="64">
        <v>43954</v>
      </c>
      <c r="C296" s="9" t="s">
        <v>2777</v>
      </c>
      <c r="D296" s="6" t="s">
        <v>2361</v>
      </c>
      <c r="E296" s="6" t="s">
        <v>2778</v>
      </c>
      <c r="F296" s="6" t="s">
        <v>2226</v>
      </c>
      <c r="G296" s="6" t="s">
        <v>2227</v>
      </c>
      <c r="H296" s="7">
        <v>4320</v>
      </c>
      <c r="I296" s="8">
        <f>SUMIF(Cargas!$C$6:$C$1064,C296,Cargas!$O$6:$O$1064)</f>
        <v>0</v>
      </c>
      <c r="J296" s="17">
        <f t="shared" si="4"/>
        <v>4320</v>
      </c>
      <c r="K296" s="34">
        <v>1370596</v>
      </c>
      <c r="L296" s="34">
        <v>72098</v>
      </c>
    </row>
    <row r="297" hidden="1">
      <c r="A297" s="0" t="s">
        <v>0</v>
      </c>
      <c r="B297" s="64">
        <v>43956</v>
      </c>
      <c r="C297" s="9" t="s">
        <v>2779</v>
      </c>
      <c r="D297" s="6" t="s">
        <v>2398</v>
      </c>
      <c r="E297" s="6" t="s">
        <v>2780</v>
      </c>
      <c r="F297" s="6" t="s">
        <v>2226</v>
      </c>
      <c r="G297" s="6" t="s">
        <v>2227</v>
      </c>
      <c r="H297" s="7">
        <v>2288</v>
      </c>
      <c r="I297" s="8">
        <f>SUMIF(Cargas!$C$6:$C$1064,C297,Cargas!$O$6:$O$1064)</f>
        <v>0</v>
      </c>
      <c r="J297" s="17">
        <f t="shared" si="4"/>
        <v>2288</v>
      </c>
      <c r="K297" s="34">
        <v>1370636</v>
      </c>
      <c r="L297" s="34">
        <v>67892</v>
      </c>
    </row>
    <row r="298" hidden="1">
      <c r="B298" s="64">
        <v>43963</v>
      </c>
      <c r="C298" s="9" t="s">
        <v>2781</v>
      </c>
      <c r="D298" s="6" t="s">
        <v>2389</v>
      </c>
      <c r="E298" s="6" t="s">
        <v>2697</v>
      </c>
      <c r="F298" s="6" t="s">
        <v>2226</v>
      </c>
      <c r="G298" s="6" t="s">
        <v>2227</v>
      </c>
      <c r="H298" s="7">
        <v>3240</v>
      </c>
      <c r="I298" s="8">
        <f>SUMIF(Cargas!$C$6:$C$1064,C298,Cargas!$O$6:$O$1064)</f>
        <v>0</v>
      </c>
      <c r="J298" s="17">
        <f t="shared" si="4"/>
        <v>3240</v>
      </c>
      <c r="K298" s="46">
        <v>1371375</v>
      </c>
      <c r="L298" s="34">
        <v>80863</v>
      </c>
    </row>
    <row r="299" hidden="1">
      <c r="B299" s="64">
        <v>43963</v>
      </c>
      <c r="C299" s="9" t="s">
        <v>2782</v>
      </c>
      <c r="D299" s="6" t="s">
        <v>2353</v>
      </c>
      <c r="E299" s="6" t="s">
        <v>2697</v>
      </c>
      <c r="F299" s="6" t="s">
        <v>2226</v>
      </c>
      <c r="G299" s="6" t="s">
        <v>2227</v>
      </c>
      <c r="H299" s="7">
        <v>3150</v>
      </c>
      <c r="I299" s="8">
        <f>SUMIF(Cargas!$C$6:$C$1064,C299,Cargas!$O$6:$O$1064)</f>
        <v>0</v>
      </c>
      <c r="J299" s="17">
        <f t="shared" si="4"/>
        <v>3150</v>
      </c>
      <c r="K299" s="34">
        <v>1371376</v>
      </c>
      <c r="L299" s="34">
        <v>80864</v>
      </c>
    </row>
    <row r="300" hidden="1">
      <c r="B300" s="64">
        <v>43968</v>
      </c>
      <c r="C300" s="9" t="s">
        <v>2783</v>
      </c>
      <c r="D300" s="6" t="s">
        <v>2323</v>
      </c>
      <c r="E300" s="6" t="s">
        <v>2225</v>
      </c>
      <c r="F300" s="6" t="s">
        <v>2226</v>
      </c>
      <c r="G300" s="6" t="s">
        <v>2227</v>
      </c>
      <c r="H300" s="7">
        <v>1680</v>
      </c>
      <c r="I300" s="8">
        <f>SUMIF(Cargas!$C$6:$C$1064,C300,Cargas!$O$6:$O$1064)</f>
        <v>0</v>
      </c>
      <c r="J300" s="17">
        <f t="shared" si="4"/>
        <v>1680</v>
      </c>
      <c r="K300" s="46">
        <v>1371626</v>
      </c>
      <c r="L300" s="34">
        <v>80741</v>
      </c>
    </row>
    <row r="301" hidden="1">
      <c r="B301" s="64">
        <v>43968</v>
      </c>
      <c r="C301" s="9" t="s">
        <v>2784</v>
      </c>
      <c r="D301" s="6" t="s">
        <v>2371</v>
      </c>
      <c r="E301" s="6" t="s">
        <v>2778</v>
      </c>
      <c r="F301" s="6" t="s">
        <v>2226</v>
      </c>
      <c r="G301" s="6" t="s">
        <v>2227</v>
      </c>
      <c r="H301" s="7">
        <v>4320</v>
      </c>
      <c r="I301" s="8">
        <f>SUMIF(Cargas!$C$6:$C$1064,C301,Cargas!$O$6:$O$1064)</f>
        <v>0</v>
      </c>
      <c r="J301" s="17">
        <f t="shared" si="4"/>
        <v>4320</v>
      </c>
      <c r="K301" s="34">
        <v>1371617</v>
      </c>
      <c r="L301" s="34">
        <v>83085</v>
      </c>
    </row>
    <row r="302" hidden="1">
      <c r="A302" s="0" t="s">
        <v>0</v>
      </c>
      <c r="B302" s="64">
        <v>43970</v>
      </c>
      <c r="C302" s="9" t="s">
        <v>2785</v>
      </c>
      <c r="D302" s="6" t="s">
        <v>2393</v>
      </c>
      <c r="E302" s="6" t="s">
        <v>2452</v>
      </c>
      <c r="F302" s="6" t="s">
        <v>2226</v>
      </c>
      <c r="G302" s="6" t="s">
        <v>2258</v>
      </c>
      <c r="H302" s="7">
        <v>2288</v>
      </c>
      <c r="I302" s="8">
        <f>SUMIF(Cargas!$C$6:$C$1064,C302,Cargas!$O$6:$O$1064)</f>
        <v>0</v>
      </c>
      <c r="J302" s="17">
        <f t="shared" si="4"/>
        <v>2288</v>
      </c>
      <c r="K302" s="34">
        <v>1371866</v>
      </c>
      <c r="L302" s="34">
        <v>75015</v>
      </c>
    </row>
    <row r="303" hidden="1">
      <c r="B303" s="64">
        <v>43970</v>
      </c>
      <c r="C303" s="9" t="s">
        <v>2786</v>
      </c>
      <c r="D303" s="6" t="s">
        <v>2406</v>
      </c>
      <c r="E303" s="6" t="s">
        <v>2697</v>
      </c>
      <c r="F303" s="6" t="s">
        <v>2226</v>
      </c>
      <c r="G303" s="6" t="s">
        <v>2227</v>
      </c>
      <c r="H303" s="7">
        <v>3240</v>
      </c>
      <c r="I303" s="8">
        <f>SUMIF(Cargas!$C$6:$C$1064,C303,Cargas!$O$6:$O$1064)</f>
        <v>0</v>
      </c>
      <c r="J303" s="17">
        <f t="shared" si="4"/>
        <v>3240</v>
      </c>
      <c r="K303" s="46">
        <v>1372639</v>
      </c>
      <c r="L303" s="34">
        <v>83084</v>
      </c>
    </row>
    <row r="304" hidden="1">
      <c r="A304" s="0" t="s">
        <v>0</v>
      </c>
      <c r="B304" s="64">
        <v>43977</v>
      </c>
      <c r="C304" s="9" t="s">
        <v>2787</v>
      </c>
      <c r="D304" s="6" t="s">
        <v>2442</v>
      </c>
      <c r="E304" s="6" t="s">
        <v>2377</v>
      </c>
      <c r="F304" s="6" t="s">
        <v>2226</v>
      </c>
      <c r="G304" s="6" t="s">
        <v>2258</v>
      </c>
      <c r="H304" s="7">
        <v>2208</v>
      </c>
      <c r="I304" s="8">
        <f>SUMIF(Cargas!$C$6:$C$1064,C304,Cargas!$O$6:$O$1064)</f>
        <v>0</v>
      </c>
      <c r="J304" s="17">
        <f t="shared" si="4"/>
        <v>2208</v>
      </c>
      <c r="K304" s="34">
        <v>1371869</v>
      </c>
      <c r="L304" s="34">
        <v>78375</v>
      </c>
    </row>
    <row r="305" hidden="1">
      <c r="B305" s="64">
        <v>43977</v>
      </c>
      <c r="C305" s="9" t="s">
        <v>2788</v>
      </c>
      <c r="D305" s="6" t="s">
        <v>2385</v>
      </c>
      <c r="E305" s="6" t="s">
        <v>2697</v>
      </c>
      <c r="F305" s="6" t="s">
        <v>2226</v>
      </c>
      <c r="G305" s="6" t="s">
        <v>2227</v>
      </c>
      <c r="H305" s="7">
        <v>3150</v>
      </c>
      <c r="I305" s="8">
        <f>SUMIF(Cargas!$C$6:$C$1064,C305,Cargas!$O$6:$O$1064)</f>
        <v>0</v>
      </c>
      <c r="J305" s="17">
        <f t="shared" si="4"/>
        <v>3150</v>
      </c>
      <c r="K305" s="34">
        <v>1372179</v>
      </c>
      <c r="L305" s="34">
        <v>89229</v>
      </c>
    </row>
    <row r="306" hidden="1">
      <c r="B306" s="64">
        <v>43982</v>
      </c>
      <c r="C306" s="9" t="s">
        <v>2789</v>
      </c>
      <c r="D306" s="6" t="s">
        <v>2410</v>
      </c>
      <c r="E306" s="6" t="s">
        <v>2697</v>
      </c>
      <c r="F306" s="6" t="s">
        <v>2226</v>
      </c>
      <c r="G306" s="6" t="s">
        <v>2227</v>
      </c>
      <c r="H306" s="7">
        <v>3240</v>
      </c>
      <c r="I306" s="8">
        <f>SUMIF(Cargas!$C$6:$C$1064,C306,Cargas!$O$6:$O$1064)</f>
        <v>0</v>
      </c>
      <c r="J306" s="17">
        <f t="shared" si="4"/>
        <v>3240</v>
      </c>
      <c r="K306" s="46">
        <v>1372183</v>
      </c>
      <c r="L306" s="34">
        <v>89227</v>
      </c>
    </row>
    <row r="307" hidden="1">
      <c r="B307" s="64">
        <v>43982</v>
      </c>
      <c r="C307" s="9" t="s">
        <v>2790</v>
      </c>
      <c r="D307" s="6" t="s">
        <v>2391</v>
      </c>
      <c r="E307" s="6" t="s">
        <v>2778</v>
      </c>
      <c r="F307" s="6" t="s">
        <v>2226</v>
      </c>
      <c r="G307" s="6" t="s">
        <v>2227</v>
      </c>
      <c r="H307" s="7">
        <v>2160</v>
      </c>
      <c r="I307" s="8">
        <f>SUMIF(Cargas!$C$6:$C$1064,C307,Cargas!$O$6:$O$1064)</f>
        <v>0</v>
      </c>
      <c r="J307" s="17">
        <f t="shared" si="4"/>
        <v>2160</v>
      </c>
      <c r="K307" s="34">
        <v>1372673</v>
      </c>
      <c r="L307" s="34">
        <v>89228</v>
      </c>
    </row>
    <row r="308" hidden="1">
      <c r="B308" s="64">
        <v>43991</v>
      </c>
      <c r="C308" s="9" t="s">
        <v>2791</v>
      </c>
      <c r="D308" s="6" t="s">
        <v>2381</v>
      </c>
      <c r="E308" s="6" t="s">
        <v>2697</v>
      </c>
      <c r="F308" s="6" t="s">
        <v>2226</v>
      </c>
      <c r="G308" s="6" t="s">
        <v>2227</v>
      </c>
      <c r="H308" s="7">
        <v>2100</v>
      </c>
      <c r="I308" s="8">
        <f>SUMIF(Cargas!$C$6:$C$1064,C308,Cargas!$O$6:$O$1064)</f>
        <v>0</v>
      </c>
      <c r="J308" s="17">
        <f t="shared" si="4"/>
        <v>2100</v>
      </c>
      <c r="K308" s="34">
        <v>1372187</v>
      </c>
      <c r="L308" s="34">
        <v>101791</v>
      </c>
    </row>
    <row r="309" hidden="1">
      <c r="A309" s="0" t="s">
        <v>0</v>
      </c>
      <c r="B309" s="64">
        <v>43994</v>
      </c>
      <c r="C309" s="9" t="s">
        <v>2792</v>
      </c>
      <c r="D309" s="6" t="s">
        <v>2793</v>
      </c>
      <c r="E309" s="6" t="s">
        <v>2794</v>
      </c>
      <c r="F309" s="6" t="s">
        <v>2226</v>
      </c>
      <c r="G309" s="6" t="s">
        <v>2258</v>
      </c>
      <c r="H309" s="7">
        <v>1330</v>
      </c>
      <c r="I309" s="8">
        <f>SUMIF(Cargas!$C$6:$C$1064,C309,Cargas!$O$6:$O$1064)</f>
        <v>0</v>
      </c>
      <c r="J309" s="17">
        <f t="shared" si="4"/>
        <v>1330</v>
      </c>
      <c r="K309" s="34">
        <v>1374453</v>
      </c>
      <c r="L309" s="34">
        <v>88941</v>
      </c>
    </row>
    <row r="310" hidden="1">
      <c r="B310" s="64">
        <v>43997</v>
      </c>
      <c r="C310" s="9" t="s">
        <v>2795</v>
      </c>
      <c r="D310" s="6" t="s">
        <v>2416</v>
      </c>
      <c r="E310" s="6" t="s">
        <v>2697</v>
      </c>
      <c r="F310" s="6" t="s">
        <v>2226</v>
      </c>
      <c r="G310" s="6" t="s">
        <v>2227</v>
      </c>
      <c r="H310" s="7">
        <v>3240</v>
      </c>
      <c r="I310" s="8">
        <f>SUMIF(Cargas!$C$6:$C$1064,C310,Cargas!$O$6:$O$1064)</f>
        <v>0</v>
      </c>
      <c r="J310" s="17">
        <f t="shared" si="4"/>
        <v>3240</v>
      </c>
      <c r="K310" s="46">
        <v>1373709</v>
      </c>
      <c r="L310" s="34">
        <v>106104</v>
      </c>
    </row>
    <row r="311" hidden="1">
      <c r="B311" s="64">
        <v>43997</v>
      </c>
      <c r="C311" s="9" t="s">
        <v>2796</v>
      </c>
      <c r="D311" s="6" t="s">
        <v>2797</v>
      </c>
      <c r="E311" s="6" t="s">
        <v>2697</v>
      </c>
      <c r="F311" s="6" t="s">
        <v>2226</v>
      </c>
      <c r="G311" s="6" t="s">
        <v>2227</v>
      </c>
      <c r="H311" s="7">
        <v>1050</v>
      </c>
      <c r="I311" s="8">
        <f>SUMIF(Cargas!$C$6:$C$1064,C311,Cargas!$O$6:$O$1064)</f>
        <v>0</v>
      </c>
      <c r="J311" s="17">
        <f t="shared" si="4"/>
        <v>1050</v>
      </c>
      <c r="K311" s="34">
        <v>1372187</v>
      </c>
      <c r="L311" s="34">
        <v>103654</v>
      </c>
    </row>
    <row r="312" hidden="1" ht="13.5" customHeight="1">
      <c r="A312" s="0" t="s">
        <v>0</v>
      </c>
      <c r="B312" s="64">
        <v>43998</v>
      </c>
      <c r="C312" s="9" t="s">
        <v>2798</v>
      </c>
      <c r="D312" s="6" t="s">
        <v>2799</v>
      </c>
      <c r="E312" s="6" t="s">
        <v>2800</v>
      </c>
      <c r="F312" s="6" t="s">
        <v>2226</v>
      </c>
      <c r="G312" s="6" t="s">
        <v>2801</v>
      </c>
      <c r="H312" s="7">
        <v>2200</v>
      </c>
      <c r="I312" s="8">
        <f>SUMIF(Cargas!$C$6:$C$1064,C312,Cargas!$O$6:$O$1064)</f>
        <v>0</v>
      </c>
      <c r="J312" s="17">
        <f t="shared" si="4"/>
        <v>2200</v>
      </c>
      <c r="K312" s="34">
        <v>1373145</v>
      </c>
      <c r="L312" s="34">
        <v>88939</v>
      </c>
    </row>
    <row r="313" hidden="1">
      <c r="B313" s="64">
        <v>43999</v>
      </c>
      <c r="C313" s="9" t="s">
        <v>2802</v>
      </c>
      <c r="D313" s="6" t="s">
        <v>2400</v>
      </c>
      <c r="E313" s="6" t="s">
        <v>2778</v>
      </c>
      <c r="F313" s="6" t="s">
        <v>2226</v>
      </c>
      <c r="G313" s="6" t="s">
        <v>2227</v>
      </c>
      <c r="H313" s="7">
        <v>4320</v>
      </c>
      <c r="I313" s="8">
        <f>SUMIF(Cargas!$C$6:$C$1064,C313,Cargas!$O$6:$O$1064)</f>
        <v>0</v>
      </c>
      <c r="J313" s="17">
        <f t="shared" si="4"/>
        <v>4320</v>
      </c>
      <c r="K313" s="34">
        <v>1372676</v>
      </c>
      <c r="L313" s="34">
        <v>99582</v>
      </c>
    </row>
    <row r="314" hidden="1">
      <c r="B314" s="64">
        <v>44003</v>
      </c>
      <c r="C314" s="9" t="s">
        <v>2803</v>
      </c>
      <c r="D314" s="6" t="s">
        <v>2365</v>
      </c>
      <c r="E314" s="6" t="s">
        <v>2225</v>
      </c>
      <c r="F314" s="6" t="s">
        <v>2226</v>
      </c>
      <c r="G314" s="6" t="s">
        <v>2227</v>
      </c>
      <c r="H314" s="7">
        <v>1680</v>
      </c>
      <c r="I314" s="8">
        <f>SUMIF(Cargas!$C$6:$C$1064,C314,Cargas!$O$6:$O$1064)</f>
        <v>0</v>
      </c>
      <c r="J314" s="17">
        <f t="shared" si="4"/>
        <v>1680</v>
      </c>
      <c r="K314" s="46">
        <v>1373877</v>
      </c>
      <c r="L314" s="34">
        <v>102695</v>
      </c>
    </row>
    <row r="315" hidden="1">
      <c r="B315" s="64">
        <v>44003</v>
      </c>
      <c r="C315" s="9" t="s">
        <v>2804</v>
      </c>
      <c r="D315" s="6" t="s">
        <v>2424</v>
      </c>
      <c r="E315" s="6" t="s">
        <v>2697</v>
      </c>
      <c r="F315" s="6" t="s">
        <v>2226</v>
      </c>
      <c r="G315" s="6" t="s">
        <v>2227</v>
      </c>
      <c r="H315" s="7">
        <v>3240</v>
      </c>
      <c r="I315" s="8">
        <f>SUMIF(Cargas!$C$6:$C$1064,C315,Cargas!$O$6:$O$1064)</f>
        <v>0</v>
      </c>
      <c r="J315" s="17">
        <f t="shared" si="4"/>
        <v>3240</v>
      </c>
      <c r="K315" s="46">
        <v>1373711</v>
      </c>
      <c r="L315" s="34">
        <v>106103</v>
      </c>
    </row>
    <row r="316" hidden="1">
      <c r="B316" s="64">
        <v>44003</v>
      </c>
      <c r="C316" s="9" t="s">
        <v>2805</v>
      </c>
      <c r="D316" s="6" t="s">
        <v>2408</v>
      </c>
      <c r="E316" s="6" t="s">
        <v>2778</v>
      </c>
      <c r="F316" s="6" t="s">
        <v>2226</v>
      </c>
      <c r="G316" s="6" t="s">
        <v>2227</v>
      </c>
      <c r="H316" s="7">
        <v>2160</v>
      </c>
      <c r="I316" s="8">
        <f>SUMIF(Cargas!$C$6:$C$1064,C316,Cargas!$O$6:$O$1064)</f>
        <v>0</v>
      </c>
      <c r="J316" s="17">
        <f t="shared" si="4"/>
        <v>2160</v>
      </c>
      <c r="K316" s="34">
        <v>1373869</v>
      </c>
      <c r="L316" s="34">
        <v>102741</v>
      </c>
    </row>
    <row r="317" hidden="1">
      <c r="B317" s="64">
        <v>44003</v>
      </c>
      <c r="C317" s="9" t="s">
        <v>2806</v>
      </c>
      <c r="D317" s="6" t="s">
        <v>2387</v>
      </c>
      <c r="E317" s="6" t="s">
        <v>2697</v>
      </c>
      <c r="F317" s="6" t="s">
        <v>2226</v>
      </c>
      <c r="G317" s="6" t="s">
        <v>2227</v>
      </c>
      <c r="H317" s="7">
        <v>3150</v>
      </c>
      <c r="I317" s="8">
        <f>SUMIF(Cargas!$C$6:$C$1064,C317,Cargas!$O$6:$O$1064)</f>
        <v>0</v>
      </c>
      <c r="J317" s="17">
        <f t="shared" si="4"/>
        <v>3150</v>
      </c>
      <c r="K317" s="34">
        <v>1373710</v>
      </c>
      <c r="L317" s="34">
        <v>106256</v>
      </c>
    </row>
    <row r="318" hidden="1" ht="13.5" customHeight="1">
      <c r="A318" s="0" t="s">
        <v>0</v>
      </c>
      <c r="B318" s="64">
        <v>44005</v>
      </c>
      <c r="C318" s="9" t="s">
        <v>2807</v>
      </c>
      <c r="D318" s="6" t="s">
        <v>2808</v>
      </c>
      <c r="E318" s="6" t="s">
        <v>2794</v>
      </c>
      <c r="F318" s="6" t="s">
        <v>2226</v>
      </c>
      <c r="G318" s="6" t="s">
        <v>2258</v>
      </c>
      <c r="H318" s="7">
        <v>1250</v>
      </c>
      <c r="I318" s="8">
        <f>SUMIF(Cargas!$C$6:$C$1064,C318,Cargas!$O$6:$O$1064)</f>
        <v>0</v>
      </c>
      <c r="J318" s="17">
        <f t="shared" si="4"/>
        <v>1250</v>
      </c>
      <c r="K318" s="34">
        <v>1374566</v>
      </c>
      <c r="L318" s="34">
        <v>95327</v>
      </c>
    </row>
    <row r="319" hidden="1">
      <c r="A319" s="0" t="s">
        <v>0</v>
      </c>
      <c r="B319" s="64">
        <v>44005</v>
      </c>
      <c r="C319" s="9" t="s">
        <v>2809</v>
      </c>
      <c r="D319" s="6" t="s">
        <v>2451</v>
      </c>
      <c r="E319" s="6" t="s">
        <v>2377</v>
      </c>
      <c r="F319" s="6" t="s">
        <v>2226</v>
      </c>
      <c r="G319" s="6" t="s">
        <v>2258</v>
      </c>
      <c r="H319" s="7">
        <v>2208</v>
      </c>
      <c r="I319" s="8">
        <f>SUMIF(Cargas!$C$6:$C$1064,C319,Cargas!$O$6:$O$1064)</f>
        <v>0</v>
      </c>
      <c r="J319" s="17">
        <f t="shared" si="4"/>
        <v>2208</v>
      </c>
      <c r="K319" s="34">
        <v>1374782</v>
      </c>
      <c r="L319" s="34">
        <v>94845</v>
      </c>
    </row>
    <row r="320" hidden="1">
      <c r="A320" s="0" t="s">
        <v>0</v>
      </c>
      <c r="B320" s="64">
        <v>44006</v>
      </c>
      <c r="C320" s="9" t="s">
        <v>2810</v>
      </c>
      <c r="D320" s="6" t="s">
        <v>2811</v>
      </c>
      <c r="E320" s="6" t="s">
        <v>2812</v>
      </c>
      <c r="F320" s="6" t="s">
        <v>2226</v>
      </c>
      <c r="G320" s="6" t="s">
        <v>2813</v>
      </c>
      <c r="H320" s="7">
        <v>2800</v>
      </c>
      <c r="I320" s="8">
        <f>SUMIF(Cargas!$C$6:$C$1064,C320,Cargas!$O$6:$O$1064)</f>
        <v>0</v>
      </c>
      <c r="J320" s="17">
        <f t="shared" si="4"/>
        <v>2800</v>
      </c>
      <c r="K320" s="34">
        <v>1374835</v>
      </c>
      <c r="L320" s="34">
        <v>93503</v>
      </c>
    </row>
    <row r="321" hidden="1">
      <c r="A321" s="0" t="s">
        <v>0</v>
      </c>
      <c r="B321" s="64">
        <v>44006</v>
      </c>
      <c r="C321" s="9" t="s">
        <v>2814</v>
      </c>
      <c r="D321" s="6" t="s">
        <v>2815</v>
      </c>
      <c r="E321" s="6" t="s">
        <v>2794</v>
      </c>
      <c r="F321" s="6" t="s">
        <v>2226</v>
      </c>
      <c r="G321" s="6" t="s">
        <v>2227</v>
      </c>
      <c r="H321" s="7">
        <v>1250</v>
      </c>
      <c r="I321" s="8">
        <f>SUMIF(Cargas!$C$6:$C$1064,C321,Cargas!$O$6:$O$1064)</f>
        <v>0</v>
      </c>
      <c r="J321" s="17">
        <f t="shared" si="4"/>
        <v>1250</v>
      </c>
      <c r="K321" s="34">
        <v>1375026</v>
      </c>
      <c r="L321" s="34">
        <v>95872</v>
      </c>
    </row>
    <row r="322" hidden="1">
      <c r="A322" s="0" t="s">
        <v>0</v>
      </c>
      <c r="B322" s="64">
        <v>44008</v>
      </c>
      <c r="C322" s="9" t="s">
        <v>2816</v>
      </c>
      <c r="D322" s="6" t="s">
        <v>2817</v>
      </c>
      <c r="E322" s="6" t="s">
        <v>2812</v>
      </c>
      <c r="F322" s="6" t="s">
        <v>2226</v>
      </c>
      <c r="G322" s="6" t="s">
        <v>2818</v>
      </c>
      <c r="H322" s="7">
        <v>1400</v>
      </c>
      <c r="I322" s="8">
        <f>SUMIF(Cargas!$C$6:$C$1064,C322,Cargas!$O$6:$O$1064)</f>
        <v>0</v>
      </c>
      <c r="J322" s="17">
        <f t="shared" si="4"/>
        <v>1400</v>
      </c>
      <c r="K322" s="34">
        <v>1375367</v>
      </c>
      <c r="L322" s="34">
        <v>95431</v>
      </c>
    </row>
    <row r="323" hidden="1">
      <c r="A323" s="0" t="s">
        <v>0</v>
      </c>
      <c r="B323" s="64">
        <v>44008</v>
      </c>
      <c r="C323" s="9" t="s">
        <v>2819</v>
      </c>
      <c r="D323" s="6" t="s">
        <v>2820</v>
      </c>
      <c r="E323" s="6" t="s">
        <v>2812</v>
      </c>
      <c r="F323" s="6" t="s">
        <v>2226</v>
      </c>
      <c r="G323" s="6" t="s">
        <v>2818</v>
      </c>
      <c r="H323" s="7">
        <v>1400</v>
      </c>
      <c r="I323" s="8">
        <f>SUMIF(Cargas!$C$6:$C$1064,C323,Cargas!$O$6:$O$1064)</f>
        <v>0</v>
      </c>
      <c r="J323" s="17">
        <f t="shared" si="4"/>
        <v>1400</v>
      </c>
      <c r="K323" s="34">
        <v>1375368</v>
      </c>
      <c r="L323" s="34">
        <v>95149</v>
      </c>
    </row>
    <row r="324" hidden="1">
      <c r="A324" s="0" t="s">
        <v>0</v>
      </c>
      <c r="B324" s="64">
        <v>44008</v>
      </c>
      <c r="C324" s="9" t="s">
        <v>2821</v>
      </c>
      <c r="D324" s="6" t="s">
        <v>2822</v>
      </c>
      <c r="E324" s="6" t="s">
        <v>2812</v>
      </c>
      <c r="F324" s="6" t="s">
        <v>2226</v>
      </c>
      <c r="G324" s="6" t="s">
        <v>2818</v>
      </c>
      <c r="H324" s="7">
        <v>1400</v>
      </c>
      <c r="I324" s="8">
        <f>SUMIF(Cargas!$C$6:$C$1064,C324,Cargas!$O$6:$O$1064)</f>
        <v>0</v>
      </c>
      <c r="J324" s="17">
        <f t="shared" si="4"/>
        <v>1400</v>
      </c>
      <c r="K324" s="34">
        <v>1375369</v>
      </c>
      <c r="L324" s="34">
        <v>95432</v>
      </c>
    </row>
    <row r="325" hidden="1">
      <c r="A325" s="0" t="s">
        <v>0</v>
      </c>
      <c r="B325" s="64">
        <v>44008</v>
      </c>
      <c r="C325" s="9" t="s">
        <v>2823</v>
      </c>
      <c r="D325" s="6" t="s">
        <v>2824</v>
      </c>
      <c r="E325" s="6" t="s">
        <v>2812</v>
      </c>
      <c r="F325" s="6" t="s">
        <v>2226</v>
      </c>
      <c r="G325" s="6" t="s">
        <v>2818</v>
      </c>
      <c r="H325" s="7">
        <v>1400</v>
      </c>
      <c r="I325" s="8">
        <f>SUMIF(Cargas!$C$6:$C$1064,C325,Cargas!$O$6:$O$1064)</f>
        <v>0</v>
      </c>
      <c r="J325" s="17">
        <f ref="J325:J388" t="shared" si="5">IF(ABS(H325-I325)&lt;20,0,H325-I325)</f>
        <v>1400</v>
      </c>
      <c r="K325" s="34">
        <v>1375370</v>
      </c>
      <c r="L325" s="34">
        <v>96026</v>
      </c>
    </row>
    <row r="326" hidden="1">
      <c r="B326" s="64">
        <v>44016</v>
      </c>
      <c r="C326" s="9" t="s">
        <v>2825</v>
      </c>
      <c r="D326" s="6" t="s">
        <v>2404</v>
      </c>
      <c r="E326" s="6" t="s">
        <v>2225</v>
      </c>
      <c r="F326" s="6" t="s">
        <v>2226</v>
      </c>
      <c r="G326" s="6" t="s">
        <v>2227</v>
      </c>
      <c r="H326" s="7">
        <v>1680</v>
      </c>
      <c r="I326" s="8">
        <f>SUMIF(Cargas!$C$6:$C$1064,C326,Cargas!$O$6:$O$1064)</f>
        <v>0</v>
      </c>
      <c r="J326" s="17">
        <f t="shared" si="5"/>
        <v>1680</v>
      </c>
      <c r="K326" s="46">
        <v>1373877</v>
      </c>
      <c r="L326" s="34">
        <v>11258</v>
      </c>
    </row>
    <row r="327" hidden="1">
      <c r="B327" s="64">
        <v>44016</v>
      </c>
      <c r="C327" s="9" t="s">
        <v>2826</v>
      </c>
      <c r="D327" s="6" t="s">
        <v>2414</v>
      </c>
      <c r="E327" s="6" t="s">
        <v>2778</v>
      </c>
      <c r="F327" s="6" t="s">
        <v>2226</v>
      </c>
      <c r="G327" s="6" t="s">
        <v>2227</v>
      </c>
      <c r="H327" s="7">
        <v>4320</v>
      </c>
      <c r="I327" s="8">
        <f>SUMIF(Cargas!$C$6:$C$1064,C327,Cargas!$O$6:$O$1064)</f>
        <v>0</v>
      </c>
      <c r="J327" s="17">
        <f t="shared" si="5"/>
        <v>4320</v>
      </c>
      <c r="K327" s="34">
        <v>1373870</v>
      </c>
      <c r="L327" s="34">
        <v>111412</v>
      </c>
    </row>
    <row r="328" hidden="1">
      <c r="A328" s="0" t="s">
        <v>0</v>
      </c>
      <c r="B328" s="64">
        <v>44018</v>
      </c>
      <c r="C328" s="9" t="s">
        <v>2827</v>
      </c>
      <c r="D328" s="6" t="s">
        <v>2828</v>
      </c>
      <c r="E328" s="6" t="s">
        <v>2794</v>
      </c>
      <c r="F328" s="6" t="s">
        <v>2226</v>
      </c>
      <c r="G328" s="6" t="s">
        <v>2227</v>
      </c>
      <c r="H328" s="7">
        <v>2500</v>
      </c>
      <c r="I328" s="8">
        <f>SUMIF(Cargas!$C$6:$C$1064,C328,Cargas!$O$6:$O$1064)</f>
        <v>0</v>
      </c>
      <c r="J328" s="17">
        <f t="shared" si="5"/>
        <v>2500</v>
      </c>
      <c r="K328" s="34">
        <v>1375446</v>
      </c>
      <c r="L328" s="34">
        <v>103161</v>
      </c>
    </row>
    <row r="329" hidden="1">
      <c r="A329" s="0" t="s">
        <v>0</v>
      </c>
      <c r="B329" s="64">
        <v>44018</v>
      </c>
      <c r="C329" s="9" t="s">
        <v>2829</v>
      </c>
      <c r="D329" s="6" t="s">
        <v>2480</v>
      </c>
      <c r="E329" s="6" t="s">
        <v>2377</v>
      </c>
      <c r="F329" s="6" t="s">
        <v>2226</v>
      </c>
      <c r="G329" s="6" t="s">
        <v>2258</v>
      </c>
      <c r="H329" s="7">
        <v>2208</v>
      </c>
      <c r="I329" s="8">
        <f>SUMIF(Cargas!$C$6:$C$1064,C329,Cargas!$O$6:$O$1064)</f>
        <v>0</v>
      </c>
      <c r="J329" s="17">
        <f t="shared" si="5"/>
        <v>2208</v>
      </c>
      <c r="K329" s="34">
        <v>1375577</v>
      </c>
      <c r="L329" s="34">
        <v>102749</v>
      </c>
    </row>
    <row r="330" hidden="1" ht="13.5" customHeight="1">
      <c r="B330" s="64">
        <v>44019</v>
      </c>
      <c r="C330" s="9" t="s">
        <v>2830</v>
      </c>
      <c r="D330" s="6" t="s">
        <v>2402</v>
      </c>
      <c r="E330" s="6" t="s">
        <v>2697</v>
      </c>
      <c r="F330" s="6" t="s">
        <v>2226</v>
      </c>
      <c r="G330" s="6" t="s">
        <v>2227</v>
      </c>
      <c r="H330" s="7">
        <v>3150</v>
      </c>
      <c r="I330" s="8">
        <f>SUMIF(Cargas!$C$6:$C$1064,C330,Cargas!$O$6:$O$1064)</f>
        <v>0</v>
      </c>
      <c r="J330" s="17">
        <f t="shared" si="5"/>
        <v>3150</v>
      </c>
      <c r="K330" s="34">
        <v>1373712</v>
      </c>
      <c r="L330" s="34">
        <v>115072</v>
      </c>
    </row>
    <row r="331" hidden="1">
      <c r="B331" s="64">
        <v>44024</v>
      </c>
      <c r="C331" s="9" t="s">
        <v>2831</v>
      </c>
      <c r="D331" s="6" t="s">
        <v>2420</v>
      </c>
      <c r="E331" s="6" t="s">
        <v>2778</v>
      </c>
      <c r="F331" s="6" t="s">
        <v>2226</v>
      </c>
      <c r="G331" s="6" t="s">
        <v>2227</v>
      </c>
      <c r="H331" s="7">
        <v>2160</v>
      </c>
      <c r="I331" s="8">
        <f>SUMIF(Cargas!$C$6:$C$1064,C331,Cargas!$O$6:$O$1064)</f>
        <v>0</v>
      </c>
      <c r="J331" s="17">
        <f t="shared" si="5"/>
        <v>2160</v>
      </c>
      <c r="K331" s="34">
        <v>1373871</v>
      </c>
      <c r="L331" s="34">
        <v>115071</v>
      </c>
    </row>
    <row r="332" hidden="1">
      <c r="A332" s="0" t="s">
        <v>0</v>
      </c>
      <c r="B332" s="64">
        <v>44029</v>
      </c>
      <c r="C332" s="9" t="s">
        <v>2832</v>
      </c>
      <c r="D332" s="6" t="s">
        <v>2518</v>
      </c>
      <c r="E332" s="6" t="s">
        <v>2780</v>
      </c>
      <c r="F332" s="6" t="s">
        <v>2226</v>
      </c>
      <c r="G332" s="6" t="s">
        <v>2227</v>
      </c>
      <c r="H332" s="7">
        <v>2392</v>
      </c>
      <c r="I332" s="8">
        <f>SUMIF(Cargas!$C$6:$C$1064,C332,Cargas!$O$6:$O$1064)</f>
        <v>0</v>
      </c>
      <c r="J332" s="17">
        <f t="shared" si="5"/>
        <v>2392</v>
      </c>
      <c r="K332" s="34">
        <v>1376725</v>
      </c>
      <c r="L332" s="34">
        <v>108594</v>
      </c>
    </row>
    <row r="333" hidden="1">
      <c r="B333" s="64">
        <v>44033</v>
      </c>
      <c r="C333" s="9" t="s">
        <v>2833</v>
      </c>
      <c r="D333" s="6" t="s">
        <v>2428</v>
      </c>
      <c r="E333" s="6" t="s">
        <v>2778</v>
      </c>
      <c r="F333" s="6" t="s">
        <v>2226</v>
      </c>
      <c r="G333" s="6" t="s">
        <v>2227</v>
      </c>
      <c r="H333" s="7">
        <v>2160</v>
      </c>
      <c r="I333" s="8">
        <f>SUMIF(Cargas!$C$6:$C$1064,C333,Cargas!$O$6:$O$1064)</f>
        <v>0</v>
      </c>
      <c r="J333" s="17">
        <f t="shared" si="5"/>
        <v>2160</v>
      </c>
      <c r="K333" s="34">
        <v>1375925</v>
      </c>
      <c r="L333" s="34">
        <v>120135</v>
      </c>
    </row>
    <row r="334" hidden="1">
      <c r="A334" s="0" t="s">
        <v>0</v>
      </c>
      <c r="B334" s="64">
        <v>44034</v>
      </c>
      <c r="C334" s="9" t="s">
        <v>2834</v>
      </c>
      <c r="D334" s="6" t="s">
        <v>2540</v>
      </c>
      <c r="E334" s="6" t="s">
        <v>2377</v>
      </c>
      <c r="F334" s="6" t="s">
        <v>2226</v>
      </c>
      <c r="G334" s="6" t="s">
        <v>2258</v>
      </c>
      <c r="H334" s="7">
        <v>2208</v>
      </c>
      <c r="I334" s="8">
        <f>SUMIF(Cargas!$C$6:$C$1064,C334,Cargas!$O$6:$O$1064)</f>
        <v>0</v>
      </c>
      <c r="J334" s="17">
        <f t="shared" si="5"/>
        <v>2208</v>
      </c>
      <c r="K334" s="34">
        <v>1376774</v>
      </c>
      <c r="L334" s="34">
        <v>112067</v>
      </c>
    </row>
    <row r="335" hidden="1">
      <c r="A335" s="0" t="s">
        <v>0</v>
      </c>
      <c r="B335" s="64">
        <v>44034</v>
      </c>
      <c r="C335" s="9" t="s">
        <v>2835</v>
      </c>
      <c r="D335" s="6" t="s">
        <v>2836</v>
      </c>
      <c r="E335" s="6" t="s">
        <v>2800</v>
      </c>
      <c r="F335" s="6" t="s">
        <v>2226</v>
      </c>
      <c r="G335" s="6" t="s">
        <v>2801</v>
      </c>
      <c r="H335" s="7">
        <v>1232</v>
      </c>
      <c r="I335" s="8">
        <f>SUMIF(Cargas!$C$6:$C$1064,C335,Cargas!$O$6:$O$1064)</f>
        <v>0</v>
      </c>
      <c r="J335" s="17">
        <f t="shared" si="5"/>
        <v>1232</v>
      </c>
      <c r="K335" s="34">
        <v>1375767</v>
      </c>
      <c r="L335" s="34">
        <v>120168</v>
      </c>
    </row>
    <row r="336" hidden="1">
      <c r="B336" s="64">
        <v>44040</v>
      </c>
      <c r="C336" s="9" t="s">
        <v>2837</v>
      </c>
      <c r="D336" s="6" t="s">
        <v>2422</v>
      </c>
      <c r="E336" s="6" t="s">
        <v>2225</v>
      </c>
      <c r="F336" s="6" t="s">
        <v>2226</v>
      </c>
      <c r="G336" s="6" t="s">
        <v>2227</v>
      </c>
      <c r="H336" s="7">
        <v>1680</v>
      </c>
      <c r="I336" s="8">
        <f>SUMIF(Cargas!$C$6:$C$1064,C336,Cargas!$O$6:$O$1064)</f>
        <v>0</v>
      </c>
      <c r="J336" s="17">
        <f t="shared" si="5"/>
        <v>1680</v>
      </c>
      <c r="K336" s="46">
        <v>1376744</v>
      </c>
      <c r="L336" s="34">
        <v>121893</v>
      </c>
    </row>
    <row r="337" hidden="1">
      <c r="B337" s="64">
        <v>44040</v>
      </c>
      <c r="C337" s="9" t="s">
        <v>2838</v>
      </c>
      <c r="D337" s="6" t="s">
        <v>2436</v>
      </c>
      <c r="E337" s="6" t="s">
        <v>2697</v>
      </c>
      <c r="F337" s="6" t="s">
        <v>2226</v>
      </c>
      <c r="G337" s="6" t="s">
        <v>2227</v>
      </c>
      <c r="H337" s="7">
        <v>3240</v>
      </c>
      <c r="I337" s="8">
        <f>SUMIF(Cargas!$C$6:$C$1064,C337,Cargas!$O$6:$O$1064)</f>
        <v>0</v>
      </c>
      <c r="J337" s="17">
        <f t="shared" si="5"/>
        <v>3240</v>
      </c>
      <c r="K337" s="46">
        <v>1375327</v>
      </c>
      <c r="L337" s="34">
        <v>128270</v>
      </c>
    </row>
    <row r="338" hidden="1">
      <c r="B338" s="64">
        <v>44040</v>
      </c>
      <c r="C338" s="9" t="s">
        <v>2839</v>
      </c>
      <c r="D338" s="6" t="s">
        <v>2840</v>
      </c>
      <c r="E338" s="6" t="s">
        <v>2778</v>
      </c>
      <c r="F338" s="6" t="s">
        <v>2226</v>
      </c>
      <c r="G338" s="6" t="s">
        <v>2227</v>
      </c>
      <c r="H338" s="7">
        <v>2160</v>
      </c>
      <c r="I338" s="8">
        <f>SUMIF(Cargas!$C$6:$C$1064,C338,Cargas!$O$6:$O$1064)</f>
        <v>0</v>
      </c>
      <c r="J338" s="17">
        <f t="shared" si="5"/>
        <v>2160</v>
      </c>
      <c r="K338" s="34">
        <v>1375926</v>
      </c>
      <c r="L338" s="34">
        <v>122106</v>
      </c>
    </row>
    <row r="339" hidden="1">
      <c r="A339" s="0" t="s">
        <v>0</v>
      </c>
      <c r="B339" s="64">
        <v>44046</v>
      </c>
      <c r="C339" s="9" t="s">
        <v>2841</v>
      </c>
      <c r="D339" s="6" t="s">
        <v>2842</v>
      </c>
      <c r="E339" s="6" t="s">
        <v>2843</v>
      </c>
      <c r="F339" s="6" t="s">
        <v>2226</v>
      </c>
      <c r="G339" s="6" t="s">
        <v>2801</v>
      </c>
      <c r="H339" s="7">
        <v>1300</v>
      </c>
      <c r="I339" s="8">
        <f>SUMIF(Cargas!$C$6:$C$1064,C339,Cargas!$O$6:$O$1064)</f>
        <v>0</v>
      </c>
      <c r="J339" s="17">
        <f t="shared" si="5"/>
        <v>1300</v>
      </c>
      <c r="K339" s="34">
        <v>1376118</v>
      </c>
      <c r="L339" s="34">
        <v>117586</v>
      </c>
    </row>
    <row r="340" hidden="1">
      <c r="B340" s="64">
        <v>44047</v>
      </c>
      <c r="C340" s="9" t="s">
        <v>2844</v>
      </c>
      <c r="D340" s="6" t="s">
        <v>2440</v>
      </c>
      <c r="E340" s="6" t="s">
        <v>2778</v>
      </c>
      <c r="F340" s="6" t="s">
        <v>2226</v>
      </c>
      <c r="G340" s="6" t="s">
        <v>2227</v>
      </c>
      <c r="H340" s="7">
        <v>2160</v>
      </c>
      <c r="I340" s="8">
        <f>SUMIF(Cargas!$C$6:$C$1064,C340,Cargas!$O$6:$O$1064)</f>
        <v>0</v>
      </c>
      <c r="J340" s="17">
        <f t="shared" si="5"/>
        <v>2160</v>
      </c>
      <c r="K340" s="34">
        <v>1377710</v>
      </c>
      <c r="L340" s="34">
        <v>129873</v>
      </c>
    </row>
    <row r="341" hidden="1">
      <c r="B341" s="64">
        <v>44047</v>
      </c>
      <c r="C341" s="9" t="s">
        <v>2845</v>
      </c>
      <c r="D341" s="6" t="s">
        <v>2418</v>
      </c>
      <c r="E341" s="6" t="s">
        <v>2697</v>
      </c>
      <c r="F341" s="6" t="s">
        <v>2226</v>
      </c>
      <c r="G341" s="6" t="s">
        <v>2227</v>
      </c>
      <c r="H341" s="7">
        <v>3150</v>
      </c>
      <c r="I341" s="8">
        <f>SUMIF(Cargas!$C$6:$C$1064,C341,Cargas!$O$6:$O$1064)</f>
        <v>0</v>
      </c>
      <c r="J341" s="17">
        <f t="shared" si="5"/>
        <v>3150</v>
      </c>
      <c r="K341" s="34">
        <v>1375328</v>
      </c>
      <c r="L341" s="34">
        <v>129874</v>
      </c>
    </row>
    <row r="342" hidden="1">
      <c r="A342" s="0" t="s">
        <v>0</v>
      </c>
      <c r="B342" s="64">
        <v>44053</v>
      </c>
      <c r="C342" s="9" t="s">
        <v>982</v>
      </c>
      <c r="D342" s="6" t="s">
        <v>2846</v>
      </c>
      <c r="E342" s="6" t="s">
        <v>2843</v>
      </c>
      <c r="F342" s="6" t="s">
        <v>2226</v>
      </c>
      <c r="G342" s="6" t="s">
        <v>2801</v>
      </c>
      <c r="H342" s="7">
        <v>1740</v>
      </c>
      <c r="I342" s="8">
        <f>SUMIF(Cargas!$C$6:$C$1064,C342,Cargas!$O$6:$O$1064)</f>
        <v>1100</v>
      </c>
      <c r="J342" s="17">
        <f t="shared" si="5"/>
        <v>640</v>
      </c>
      <c r="K342" s="34">
        <v>1377098</v>
      </c>
      <c r="L342" s="34">
        <v>121953</v>
      </c>
    </row>
    <row r="343" hidden="1">
      <c r="B343" s="64">
        <v>44053</v>
      </c>
      <c r="C343" s="9" t="s">
        <v>2847</v>
      </c>
      <c r="D343" s="6" t="s">
        <v>2848</v>
      </c>
      <c r="E343" s="6" t="s">
        <v>2697</v>
      </c>
      <c r="F343" s="6" t="s">
        <v>2226</v>
      </c>
      <c r="G343" s="6" t="s">
        <v>2227</v>
      </c>
      <c r="H343" s="7">
        <v>3240</v>
      </c>
      <c r="I343" s="8">
        <f>SUMIF(Cargas!$C$6:$C$1064,C343,Cargas!$O$6:$O$1064)</f>
        <v>0</v>
      </c>
      <c r="J343" s="17">
        <f t="shared" si="5"/>
        <v>3240</v>
      </c>
      <c r="K343" s="46">
        <v>1378204</v>
      </c>
      <c r="L343" s="34">
        <v>131647</v>
      </c>
    </row>
    <row r="344" hidden="1">
      <c r="B344" s="64">
        <v>44053</v>
      </c>
      <c r="C344" s="9" t="s">
        <v>2849</v>
      </c>
      <c r="D344" s="6" t="s">
        <v>2444</v>
      </c>
      <c r="E344" s="6" t="s">
        <v>2778</v>
      </c>
      <c r="F344" s="6" t="s">
        <v>2226</v>
      </c>
      <c r="G344" s="6" t="s">
        <v>2258</v>
      </c>
      <c r="H344" s="7">
        <v>2160</v>
      </c>
      <c r="I344" s="8">
        <f>SUMIF(Cargas!$C$6:$C$1064,C344,Cargas!$O$6:$O$1064)</f>
        <v>0</v>
      </c>
      <c r="J344" s="17">
        <f t="shared" si="5"/>
        <v>2160</v>
      </c>
      <c r="K344" s="34">
        <v>1377111</v>
      </c>
      <c r="L344" s="34">
        <v>132090</v>
      </c>
    </row>
    <row r="345" hidden="1">
      <c r="B345" s="64">
        <v>44060</v>
      </c>
      <c r="C345" s="9" t="s">
        <v>2850</v>
      </c>
      <c r="D345" s="6" t="s">
        <v>2446</v>
      </c>
      <c r="E345" s="6" t="s">
        <v>2778</v>
      </c>
      <c r="F345" s="6" t="s">
        <v>2226</v>
      </c>
      <c r="G345" s="6" t="s">
        <v>2258</v>
      </c>
      <c r="H345" s="7">
        <v>2160</v>
      </c>
      <c r="I345" s="8">
        <f>SUMIF(Cargas!$C$6:$C$1064,C345,Cargas!$O$6:$O$1064)</f>
        <v>0</v>
      </c>
      <c r="J345" s="17">
        <f t="shared" si="5"/>
        <v>2160</v>
      </c>
      <c r="K345" s="34">
        <v>1377712</v>
      </c>
      <c r="L345" s="34">
        <v>140962</v>
      </c>
    </row>
    <row r="346" hidden="1">
      <c r="B346" s="64">
        <v>44061</v>
      </c>
      <c r="C346" s="9" t="s">
        <v>2851</v>
      </c>
      <c r="D346" s="6" t="s">
        <v>2426</v>
      </c>
      <c r="E346" s="6" t="s">
        <v>2697</v>
      </c>
      <c r="F346" s="6" t="s">
        <v>2226</v>
      </c>
      <c r="G346" s="6" t="s">
        <v>2227</v>
      </c>
      <c r="H346" s="7">
        <v>3150</v>
      </c>
      <c r="I346" s="8">
        <f>SUMIF(Cargas!$C$6:$C$1064,C346,Cargas!$O$6:$O$1064)</f>
        <v>0</v>
      </c>
      <c r="J346" s="17">
        <f t="shared" si="5"/>
        <v>3150</v>
      </c>
      <c r="K346" s="34">
        <v>1378205</v>
      </c>
      <c r="L346" s="34">
        <v>140963</v>
      </c>
    </row>
    <row r="347" hidden="1">
      <c r="A347" s="0" t="s">
        <v>0</v>
      </c>
      <c r="B347" s="64">
        <v>44074</v>
      </c>
      <c r="C347" s="9" t="s">
        <v>2852</v>
      </c>
      <c r="D347" s="6" t="s">
        <v>2853</v>
      </c>
      <c r="E347" s="6" t="s">
        <v>2780</v>
      </c>
      <c r="F347" s="6" t="s">
        <v>2226</v>
      </c>
      <c r="G347" s="6" t="s">
        <v>2282</v>
      </c>
      <c r="H347" s="7">
        <v>2280</v>
      </c>
      <c r="I347" s="8">
        <f>SUMIF(Cargas!$C$6:$C$1064,C347,Cargas!$O$6:$O$1064)</f>
        <v>0</v>
      </c>
      <c r="J347" s="17">
        <f t="shared" si="5"/>
        <v>2280</v>
      </c>
      <c r="K347" s="34">
        <v>1380618</v>
      </c>
      <c r="L347" s="34">
        <v>136090</v>
      </c>
    </row>
    <row r="348" hidden="1">
      <c r="B348" s="64">
        <v>44074</v>
      </c>
      <c r="C348" s="9" t="s">
        <v>2854</v>
      </c>
      <c r="D348" s="6" t="s">
        <v>2462</v>
      </c>
      <c r="E348" s="6" t="s">
        <v>2697</v>
      </c>
      <c r="F348" s="6" t="s">
        <v>2226</v>
      </c>
      <c r="G348" s="6" t="s">
        <v>2227</v>
      </c>
      <c r="H348" s="7">
        <v>3240</v>
      </c>
      <c r="I348" s="8">
        <f>SUMIF(Cargas!$C$6:$C$1064,C348,Cargas!$O$6:$O$1064)</f>
        <v>0</v>
      </c>
      <c r="J348" s="17">
        <f t="shared" si="5"/>
        <v>3240</v>
      </c>
      <c r="K348" s="46">
        <v>1378206</v>
      </c>
      <c r="L348" s="34">
        <v>143465</v>
      </c>
    </row>
    <row r="349" hidden="1">
      <c r="B349" s="64">
        <v>44074</v>
      </c>
      <c r="C349" s="9" t="s">
        <v>2855</v>
      </c>
      <c r="D349" s="6" t="s">
        <v>2454</v>
      </c>
      <c r="E349" s="6" t="s">
        <v>2778</v>
      </c>
      <c r="F349" s="6" t="s">
        <v>2226</v>
      </c>
      <c r="G349" s="6" t="s">
        <v>2258</v>
      </c>
      <c r="H349" s="7">
        <v>2160</v>
      </c>
      <c r="I349" s="8">
        <f>SUMIF(Cargas!$C$6:$C$1064,C349,Cargas!$O$6:$O$1064)</f>
        <v>0</v>
      </c>
      <c r="J349" s="17">
        <f t="shared" si="5"/>
        <v>2160</v>
      </c>
      <c r="K349" s="34">
        <v>1377713</v>
      </c>
      <c r="L349" s="34">
        <v>144524</v>
      </c>
    </row>
    <row r="350" hidden="1">
      <c r="B350" s="64">
        <v>44075</v>
      </c>
      <c r="C350" s="9" t="s">
        <v>2856</v>
      </c>
      <c r="D350" s="6" t="s">
        <v>2456</v>
      </c>
      <c r="E350" s="6" t="s">
        <v>2778</v>
      </c>
      <c r="F350" s="6" t="s">
        <v>2226</v>
      </c>
      <c r="G350" s="6" t="s">
        <v>2857</v>
      </c>
      <c r="H350" s="7">
        <v>2160</v>
      </c>
      <c r="I350" s="8">
        <f>SUMIF(Cargas!$C$6:$C$1064,C350,Cargas!$O$6:$O$1064)</f>
        <v>0</v>
      </c>
      <c r="J350" s="17">
        <f t="shared" si="5"/>
        <v>2160</v>
      </c>
      <c r="K350" s="34">
        <v>1377715</v>
      </c>
      <c r="L350" s="34">
        <v>147028</v>
      </c>
    </row>
    <row r="351" hidden="1">
      <c r="B351" s="64">
        <v>44075</v>
      </c>
      <c r="C351" s="9" t="s">
        <v>2858</v>
      </c>
      <c r="D351" s="6" t="s">
        <v>2434</v>
      </c>
      <c r="E351" s="6" t="s">
        <v>2697</v>
      </c>
      <c r="F351" s="6" t="s">
        <v>2226</v>
      </c>
      <c r="G351" s="6" t="s">
        <v>2227</v>
      </c>
      <c r="H351" s="7">
        <v>3150</v>
      </c>
      <c r="I351" s="8">
        <f>SUMIF(Cargas!$C$6:$C$1064,C351,Cargas!$O$6:$O$1064)</f>
        <v>0</v>
      </c>
      <c r="J351" s="17">
        <f t="shared" si="5"/>
        <v>3150</v>
      </c>
      <c r="K351" s="34">
        <v>1378208</v>
      </c>
      <c r="L351" s="34">
        <v>146165</v>
      </c>
    </row>
    <row r="352" hidden="1">
      <c r="A352" s="0" t="s">
        <v>0</v>
      </c>
      <c r="B352" s="64">
        <v>44076</v>
      </c>
      <c r="C352" s="9" t="s">
        <v>2859</v>
      </c>
      <c r="D352" s="6" t="s">
        <v>2860</v>
      </c>
      <c r="E352" s="6" t="s">
        <v>2843</v>
      </c>
      <c r="F352" s="6" t="s">
        <v>2226</v>
      </c>
      <c r="G352" s="6" t="s">
        <v>2801</v>
      </c>
      <c r="H352" s="7">
        <v>1400</v>
      </c>
      <c r="I352" s="8">
        <f>SUMIF(Cargas!$C$6:$C$1064,C352,Cargas!$O$6:$O$1064)</f>
        <v>0</v>
      </c>
      <c r="J352" s="17">
        <f t="shared" si="5"/>
        <v>1400</v>
      </c>
      <c r="K352" s="34">
        <v>1380949</v>
      </c>
      <c r="L352" s="34">
        <v>136981</v>
      </c>
    </row>
    <row r="353" hidden="1">
      <c r="A353" s="0" t="s">
        <v>0</v>
      </c>
      <c r="B353" s="64">
        <v>44076</v>
      </c>
      <c r="C353" s="9" t="s">
        <v>2861</v>
      </c>
      <c r="D353" s="6" t="s">
        <v>2862</v>
      </c>
      <c r="E353" s="6" t="s">
        <v>2843</v>
      </c>
      <c r="F353" s="6" t="s">
        <v>2226</v>
      </c>
      <c r="G353" s="6" t="s">
        <v>2801</v>
      </c>
      <c r="H353" s="7">
        <v>1400</v>
      </c>
      <c r="I353" s="8">
        <f>SUMIF(Cargas!$C$6:$C$1064,C353,Cargas!$O$6:$O$1064)</f>
        <v>0</v>
      </c>
      <c r="J353" s="17">
        <f t="shared" si="5"/>
        <v>1400</v>
      </c>
      <c r="K353" s="34">
        <v>1380950</v>
      </c>
      <c r="L353" s="34">
        <v>140534</v>
      </c>
    </row>
    <row r="354" hidden="1">
      <c r="B354" s="64">
        <v>44082</v>
      </c>
      <c r="C354" s="9" t="s">
        <v>2863</v>
      </c>
      <c r="D354" s="6" t="s">
        <v>2430</v>
      </c>
      <c r="E354" s="6" t="s">
        <v>2225</v>
      </c>
      <c r="F354" s="6" t="s">
        <v>2226</v>
      </c>
      <c r="G354" s="6" t="s">
        <v>2227</v>
      </c>
      <c r="H354" s="7">
        <v>1680</v>
      </c>
      <c r="I354" s="8">
        <f>SUMIF(Cargas!$C$6:$C$1064,C354,Cargas!$O$6:$O$1064)</f>
        <v>0</v>
      </c>
      <c r="J354" s="17">
        <f t="shared" si="5"/>
        <v>1680</v>
      </c>
      <c r="K354" s="46">
        <v>1380382</v>
      </c>
      <c r="L354" s="34">
        <v>150639</v>
      </c>
    </row>
    <row r="355" hidden="1">
      <c r="B355" s="64">
        <v>44082</v>
      </c>
      <c r="C355" s="9" t="s">
        <v>2864</v>
      </c>
      <c r="D355" s="6" t="s">
        <v>2473</v>
      </c>
      <c r="E355" s="6" t="s">
        <v>2697</v>
      </c>
      <c r="F355" s="6" t="s">
        <v>2226</v>
      </c>
      <c r="G355" s="6" t="s">
        <v>2227</v>
      </c>
      <c r="H355" s="7">
        <v>2160</v>
      </c>
      <c r="I355" s="8">
        <f>SUMIF(Cargas!$C$6:$C$1064,C355,Cargas!$O$6:$O$1064)</f>
        <v>0</v>
      </c>
      <c r="J355" s="17">
        <f t="shared" si="5"/>
        <v>2160</v>
      </c>
      <c r="K355" s="46">
        <v>1380442</v>
      </c>
      <c r="L355" s="34">
        <v>150773</v>
      </c>
    </row>
    <row r="356" hidden="1">
      <c r="B356" s="64">
        <v>44082</v>
      </c>
      <c r="C356" s="9" t="s">
        <v>2865</v>
      </c>
      <c r="D356" s="6" t="s">
        <v>2866</v>
      </c>
      <c r="E356" s="6" t="s">
        <v>2778</v>
      </c>
      <c r="F356" s="6" t="s">
        <v>2226</v>
      </c>
      <c r="G356" s="6" t="s">
        <v>2258</v>
      </c>
      <c r="H356" s="7">
        <v>2160</v>
      </c>
      <c r="I356" s="8">
        <f>SUMIF(Cargas!$C$6:$C$1064,C356,Cargas!$O$6:$O$1064)</f>
        <v>0</v>
      </c>
      <c r="J356" s="17">
        <f t="shared" si="5"/>
        <v>2160</v>
      </c>
      <c r="K356" s="34">
        <v>1380508</v>
      </c>
      <c r="L356" s="34">
        <v>150775</v>
      </c>
    </row>
    <row r="357" hidden="1">
      <c r="B357" s="64">
        <v>44082</v>
      </c>
      <c r="C357" s="9" t="s">
        <v>2867</v>
      </c>
      <c r="D357" s="6" t="s">
        <v>2868</v>
      </c>
      <c r="E357" s="6" t="s">
        <v>2778</v>
      </c>
      <c r="F357" s="6" t="s">
        <v>2226</v>
      </c>
      <c r="G357" s="6" t="s">
        <v>2258</v>
      </c>
      <c r="H357" s="7">
        <v>3240</v>
      </c>
      <c r="I357" s="8">
        <f>SUMIF(Cargas!$C$6:$C$1064,C357,Cargas!$O$6:$O$1064)</f>
        <v>0</v>
      </c>
      <c r="J357" s="17">
        <f t="shared" si="5"/>
        <v>3240</v>
      </c>
      <c r="K357" s="34">
        <v>1380873</v>
      </c>
      <c r="L357" s="34">
        <v>150776</v>
      </c>
    </row>
    <row r="358" hidden="1">
      <c r="B358" s="64">
        <v>44082</v>
      </c>
      <c r="C358" s="9" t="s">
        <v>2869</v>
      </c>
      <c r="D358" s="6" t="s">
        <v>2438</v>
      </c>
      <c r="E358" s="6" t="s">
        <v>2697</v>
      </c>
      <c r="F358" s="6" t="s">
        <v>2226</v>
      </c>
      <c r="G358" s="6" t="s">
        <v>2227</v>
      </c>
      <c r="H358" s="7">
        <v>2100</v>
      </c>
      <c r="I358" s="8">
        <f>SUMIF(Cargas!$C$6:$C$1064,C358,Cargas!$O$6:$O$1064)</f>
        <v>0</v>
      </c>
      <c r="J358" s="17">
        <f t="shared" si="5"/>
        <v>2100</v>
      </c>
      <c r="K358" s="34">
        <v>1381092</v>
      </c>
      <c r="L358" s="34">
        <v>150771</v>
      </c>
    </row>
    <row r="359" hidden="1">
      <c r="A359" s="0" t="s">
        <v>0</v>
      </c>
      <c r="B359" s="64">
        <v>44084</v>
      </c>
      <c r="C359" s="9" t="s">
        <v>2870</v>
      </c>
      <c r="D359" s="6" t="s">
        <v>2544</v>
      </c>
      <c r="E359" s="6" t="s">
        <v>2871</v>
      </c>
      <c r="F359" s="6" t="s">
        <v>2226</v>
      </c>
      <c r="G359" s="6" t="s">
        <v>2282</v>
      </c>
      <c r="H359" s="7">
        <v>1120</v>
      </c>
      <c r="I359" s="8">
        <f>SUMIF(Cargas!$C$6:$C$1064,C359,Cargas!$O$6:$O$1064)</f>
        <v>0</v>
      </c>
      <c r="J359" s="17">
        <f t="shared" si="5"/>
        <v>1120</v>
      </c>
      <c r="K359" s="34">
        <v>1381425</v>
      </c>
      <c r="L359" s="34">
        <v>144434</v>
      </c>
    </row>
    <row r="360" hidden="1">
      <c r="A360" s="0" t="s">
        <v>0</v>
      </c>
      <c r="B360" s="64">
        <v>44088</v>
      </c>
      <c r="C360" s="9" t="s">
        <v>2872</v>
      </c>
      <c r="D360" s="6" t="s">
        <v>2873</v>
      </c>
      <c r="E360" s="6" t="s">
        <v>2843</v>
      </c>
      <c r="F360" s="6" t="s">
        <v>2226</v>
      </c>
      <c r="G360" s="6" t="s">
        <v>2801</v>
      </c>
      <c r="H360" s="7">
        <v>1400</v>
      </c>
      <c r="I360" s="8">
        <f>SUMIF(Cargas!$C$6:$C$1064,C360,Cargas!$O$6:$O$1064)</f>
        <v>0</v>
      </c>
      <c r="J360" s="17">
        <f t="shared" si="5"/>
        <v>1400</v>
      </c>
      <c r="K360" s="34">
        <v>1381829</v>
      </c>
      <c r="L360" s="34">
        <v>144253</v>
      </c>
    </row>
    <row r="361" hidden="1">
      <c r="B361" s="64">
        <v>44089</v>
      </c>
      <c r="C361" s="9" t="s">
        <v>2874</v>
      </c>
      <c r="D361" s="6" t="s">
        <v>2875</v>
      </c>
      <c r="E361" s="6" t="s">
        <v>2778</v>
      </c>
      <c r="F361" s="6" t="s">
        <v>2226</v>
      </c>
      <c r="G361" s="6" t="s">
        <v>2258</v>
      </c>
      <c r="H361" s="7">
        <v>3240</v>
      </c>
      <c r="I361" s="8">
        <f>SUMIF(Cargas!$C$6:$C$1064,C361,Cargas!$O$6:$O$1064)</f>
        <v>0</v>
      </c>
      <c r="J361" s="17">
        <f t="shared" si="5"/>
        <v>3240</v>
      </c>
      <c r="K361" s="34">
        <v>1381422</v>
      </c>
      <c r="L361" s="34">
        <v>155466</v>
      </c>
    </row>
    <row r="362" hidden="1">
      <c r="B362" s="64">
        <v>44089</v>
      </c>
      <c r="C362" s="9" t="s">
        <v>2876</v>
      </c>
      <c r="D362" s="6" t="s">
        <v>2877</v>
      </c>
      <c r="E362" s="6" t="s">
        <v>2778</v>
      </c>
      <c r="F362" s="6" t="s">
        <v>2226</v>
      </c>
      <c r="G362" s="6" t="s">
        <v>2258</v>
      </c>
      <c r="H362" s="7">
        <v>3240</v>
      </c>
      <c r="I362" s="8">
        <f>SUMIF(Cargas!$C$6:$C$1064,C362,Cargas!$O$6:$O$1064)</f>
        <v>0</v>
      </c>
      <c r="J362" s="17">
        <f t="shared" si="5"/>
        <v>3240</v>
      </c>
      <c r="K362" s="34">
        <v>1381421</v>
      </c>
      <c r="L362" s="34">
        <v>155467</v>
      </c>
    </row>
    <row r="363" hidden="1">
      <c r="A363" s="0" t="s">
        <v>0</v>
      </c>
      <c r="B363" s="64">
        <v>44090</v>
      </c>
      <c r="C363" s="9" t="s">
        <v>2878</v>
      </c>
      <c r="D363" s="6" t="s">
        <v>2879</v>
      </c>
      <c r="E363" s="6" t="s">
        <v>2843</v>
      </c>
      <c r="F363" s="6" t="s">
        <v>2226</v>
      </c>
      <c r="G363" s="6" t="s">
        <v>2801</v>
      </c>
      <c r="H363" s="7">
        <v>1400</v>
      </c>
      <c r="I363" s="8">
        <f>SUMIF(Cargas!$C$6:$C$1064,C363,Cargas!$O$6:$O$1064)</f>
        <v>0</v>
      </c>
      <c r="J363" s="17">
        <f t="shared" si="5"/>
        <v>1400</v>
      </c>
      <c r="K363" s="34">
        <v>1381590</v>
      </c>
      <c r="L363" s="34">
        <v>145867</v>
      </c>
    </row>
    <row r="364" hidden="1">
      <c r="B364" s="64">
        <v>44093</v>
      </c>
      <c r="C364" s="9" t="s">
        <v>2880</v>
      </c>
      <c r="D364" s="6" t="s">
        <v>2881</v>
      </c>
      <c r="E364" s="6" t="s">
        <v>2778</v>
      </c>
      <c r="F364" s="6" t="s">
        <v>2226</v>
      </c>
      <c r="G364" s="6" t="s">
        <v>2258</v>
      </c>
      <c r="H364" s="7">
        <v>2160</v>
      </c>
      <c r="I364" s="8">
        <f>SUMIF(Cargas!$C$6:$C$1064,C364,Cargas!$O$6:$O$1064)</f>
        <v>0</v>
      </c>
      <c r="J364" s="17">
        <f t="shared" si="5"/>
        <v>2160</v>
      </c>
      <c r="K364" s="34">
        <v>1380454</v>
      </c>
      <c r="L364" s="34">
        <v>159180</v>
      </c>
    </row>
    <row r="365" hidden="1">
      <c r="A365" s="0" t="s">
        <v>0</v>
      </c>
      <c r="B365" s="64">
        <v>44096</v>
      </c>
      <c r="C365" s="9" t="s">
        <v>2882</v>
      </c>
      <c r="D365" s="6" t="s">
        <v>2620</v>
      </c>
      <c r="E365" s="6" t="s">
        <v>2712</v>
      </c>
      <c r="F365" s="6" t="s">
        <v>2226</v>
      </c>
      <c r="G365" s="6" t="s">
        <v>2258</v>
      </c>
      <c r="H365" s="7">
        <v>1536</v>
      </c>
      <c r="I365" s="8">
        <f>SUMIF(Cargas!$C$6:$C$1064,C365,Cargas!$O$6:$O$1064)</f>
        <v>0</v>
      </c>
      <c r="J365" s="17">
        <f t="shared" si="5"/>
        <v>1536</v>
      </c>
      <c r="K365" s="34">
        <v>1382818</v>
      </c>
      <c r="L365" s="34">
        <v>151533</v>
      </c>
    </row>
    <row r="366" hidden="1">
      <c r="B366" s="64">
        <v>44096</v>
      </c>
      <c r="C366" s="9" t="s">
        <v>2883</v>
      </c>
      <c r="D366" s="6" t="s">
        <v>2471</v>
      </c>
      <c r="E366" s="6" t="s">
        <v>2225</v>
      </c>
      <c r="F366" s="6" t="s">
        <v>2226</v>
      </c>
      <c r="G366" s="6" t="s">
        <v>2227</v>
      </c>
      <c r="H366" s="7">
        <v>1680</v>
      </c>
      <c r="I366" s="8">
        <f>SUMIF(Cargas!$C$6:$C$1064,C366,Cargas!$O$6:$O$1064)</f>
        <v>0</v>
      </c>
      <c r="J366" s="17">
        <f t="shared" si="5"/>
        <v>1680</v>
      </c>
      <c r="K366" s="46">
        <v>1381591</v>
      </c>
      <c r="L366" s="34">
        <v>158527</v>
      </c>
    </row>
    <row r="367" hidden="1">
      <c r="B367" s="64">
        <v>44096</v>
      </c>
      <c r="C367" s="9" t="s">
        <v>2884</v>
      </c>
      <c r="D367" s="6" t="s">
        <v>2488</v>
      </c>
      <c r="E367" s="6" t="s">
        <v>2697</v>
      </c>
      <c r="F367" s="6" t="s">
        <v>2226</v>
      </c>
      <c r="G367" s="6" t="s">
        <v>2227</v>
      </c>
      <c r="H367" s="7">
        <v>4320</v>
      </c>
      <c r="I367" s="8">
        <f>SUMIF(Cargas!$C$6:$C$1064,C367,Cargas!$O$6:$O$1064)</f>
        <v>0</v>
      </c>
      <c r="J367" s="17">
        <f t="shared" si="5"/>
        <v>4320</v>
      </c>
      <c r="K367" s="46">
        <v>1380448</v>
      </c>
      <c r="L367" s="34">
        <v>158389</v>
      </c>
    </row>
    <row r="368" hidden="1">
      <c r="B368" s="64">
        <v>44096</v>
      </c>
      <c r="C368" s="9" t="s">
        <v>2885</v>
      </c>
      <c r="D368" s="6" t="s">
        <v>2886</v>
      </c>
      <c r="E368" s="6" t="s">
        <v>2778</v>
      </c>
      <c r="F368" s="6" t="s">
        <v>2226</v>
      </c>
      <c r="G368" s="6" t="s">
        <v>2258</v>
      </c>
      <c r="H368" s="7">
        <v>1080</v>
      </c>
      <c r="I368" s="8">
        <f>SUMIF(Cargas!$C$6:$C$1064,C368,Cargas!$O$6:$O$1064)</f>
        <v>0</v>
      </c>
      <c r="J368" s="17">
        <f t="shared" si="5"/>
        <v>1080</v>
      </c>
      <c r="K368" s="34">
        <v>1380455</v>
      </c>
      <c r="L368" s="34">
        <v>159181</v>
      </c>
    </row>
    <row r="369" hidden="1">
      <c r="B369" s="64">
        <v>44096</v>
      </c>
      <c r="C369" s="9" t="s">
        <v>2887</v>
      </c>
      <c r="D369" s="6" t="s">
        <v>2464</v>
      </c>
      <c r="E369" s="6" t="s">
        <v>2697</v>
      </c>
      <c r="F369" s="6" t="s">
        <v>2226</v>
      </c>
      <c r="G369" s="6" t="s">
        <v>2227</v>
      </c>
      <c r="H369" s="7">
        <v>4200</v>
      </c>
      <c r="I369" s="8">
        <f>SUMIF(Cargas!$C$6:$C$1064,C369,Cargas!$O$6:$O$1064)</f>
        <v>0</v>
      </c>
      <c r="J369" s="17">
        <f t="shared" si="5"/>
        <v>4200</v>
      </c>
      <c r="K369" s="34">
        <v>1381494</v>
      </c>
      <c r="L369" s="34">
        <v>158390</v>
      </c>
    </row>
    <row r="370" hidden="1">
      <c r="B370" s="64">
        <v>44103</v>
      </c>
      <c r="C370" s="9" t="s">
        <v>2888</v>
      </c>
      <c r="D370" s="6" t="s">
        <v>2496</v>
      </c>
      <c r="E370" s="6" t="s">
        <v>2697</v>
      </c>
      <c r="F370" s="6" t="s">
        <v>2226</v>
      </c>
      <c r="G370" s="6" t="s">
        <v>2227</v>
      </c>
      <c r="H370" s="7">
        <v>4320</v>
      </c>
      <c r="I370" s="8">
        <f>SUMIF(Cargas!$C$6:$C$1064,C370,Cargas!$O$6:$O$1064)</f>
        <v>0</v>
      </c>
      <c r="J370" s="17">
        <f t="shared" si="5"/>
        <v>4320</v>
      </c>
      <c r="K370" s="46">
        <v>1381495</v>
      </c>
      <c r="L370" s="34">
        <v>164260</v>
      </c>
    </row>
    <row r="371" hidden="1">
      <c r="B371" s="64">
        <v>44103</v>
      </c>
      <c r="C371" s="9" t="s">
        <v>2889</v>
      </c>
      <c r="D371" s="6" t="s">
        <v>2486</v>
      </c>
      <c r="E371" s="6" t="s">
        <v>2778</v>
      </c>
      <c r="F371" s="6" t="s">
        <v>2226</v>
      </c>
      <c r="G371" s="6" t="s">
        <v>2258</v>
      </c>
      <c r="H371" s="7">
        <v>3240</v>
      </c>
      <c r="I371" s="8">
        <f>SUMIF(Cargas!$C$6:$C$1064,C371,Cargas!$O$6:$O$1064)</f>
        <v>0</v>
      </c>
      <c r="J371" s="17">
        <f t="shared" si="5"/>
        <v>3240</v>
      </c>
      <c r="K371" s="34">
        <v>1381423</v>
      </c>
      <c r="L371" s="34">
        <v>165165</v>
      </c>
    </row>
    <row r="372" hidden="1">
      <c r="B372" s="64">
        <v>44103</v>
      </c>
      <c r="C372" s="9" t="s">
        <v>2890</v>
      </c>
      <c r="D372" s="6" t="s">
        <v>2466</v>
      </c>
      <c r="E372" s="6" t="s">
        <v>2697</v>
      </c>
      <c r="F372" s="6" t="s">
        <v>2226</v>
      </c>
      <c r="G372" s="6" t="s">
        <v>2227</v>
      </c>
      <c r="H372" s="7">
        <v>4200</v>
      </c>
      <c r="I372" s="8">
        <f>SUMIF(Cargas!$C$6:$C$1064,C372,Cargas!$O$6:$O$1064)</f>
        <v>0</v>
      </c>
      <c r="J372" s="17">
        <f t="shared" si="5"/>
        <v>4200</v>
      </c>
      <c r="K372" s="34">
        <v>1381496</v>
      </c>
      <c r="L372" s="34">
        <v>164262</v>
      </c>
    </row>
    <row r="373" hidden="1">
      <c r="B373" s="64">
        <v>44106</v>
      </c>
      <c r="C373" s="9" t="s">
        <v>2891</v>
      </c>
      <c r="D373" s="6" t="s">
        <v>2506</v>
      </c>
      <c r="E373" s="6" t="s">
        <v>2697</v>
      </c>
      <c r="F373" s="6" t="s">
        <v>2226</v>
      </c>
      <c r="G373" s="6" t="s">
        <v>2227</v>
      </c>
      <c r="H373" s="7">
        <v>4320</v>
      </c>
      <c r="I373" s="8">
        <f>SUMIF(Cargas!$C$6:$C$1064,C373,Cargas!$O$6:$O$1064)</f>
        <v>0</v>
      </c>
      <c r="J373" s="17">
        <f t="shared" si="5"/>
        <v>4320</v>
      </c>
      <c r="K373" s="46">
        <v>1383079</v>
      </c>
      <c r="L373" s="34">
        <v>167179</v>
      </c>
    </row>
    <row r="374" hidden="1">
      <c r="B374" s="64">
        <v>44106</v>
      </c>
      <c r="C374" s="9" t="s">
        <v>2892</v>
      </c>
      <c r="D374" s="6" t="s">
        <v>2492</v>
      </c>
      <c r="E374" s="6" t="s">
        <v>2778</v>
      </c>
      <c r="F374" s="6" t="s">
        <v>2226</v>
      </c>
      <c r="G374" s="6" t="s">
        <v>2258</v>
      </c>
      <c r="H374" s="7">
        <v>2160</v>
      </c>
      <c r="I374" s="8">
        <f>SUMIF(Cargas!$C$6:$C$1064,C374,Cargas!$O$6:$O$1064)</f>
        <v>0</v>
      </c>
      <c r="J374" s="17">
        <f t="shared" si="5"/>
        <v>2160</v>
      </c>
      <c r="K374" s="34">
        <v>1380457</v>
      </c>
      <c r="L374" s="34">
        <v>168918</v>
      </c>
    </row>
    <row r="375" hidden="1">
      <c r="B375" s="64">
        <v>44106</v>
      </c>
      <c r="C375" s="9" t="s">
        <v>2893</v>
      </c>
      <c r="D375" s="6" t="s">
        <v>2484</v>
      </c>
      <c r="E375" s="6" t="s">
        <v>2697</v>
      </c>
      <c r="F375" s="6" t="s">
        <v>2226</v>
      </c>
      <c r="G375" s="6" t="s">
        <v>2227</v>
      </c>
      <c r="H375" s="7">
        <v>4200</v>
      </c>
      <c r="I375" s="8">
        <f>SUMIF(Cargas!$C$6:$C$1064,C375,Cargas!$O$6:$O$1064)</f>
        <v>0</v>
      </c>
      <c r="J375" s="17">
        <f t="shared" si="5"/>
        <v>4200</v>
      </c>
      <c r="K375" s="34">
        <v>1383080</v>
      </c>
      <c r="L375" s="34">
        <v>167061</v>
      </c>
    </row>
    <row r="376" hidden="1">
      <c r="B376" s="64">
        <v>44112</v>
      </c>
      <c r="C376" s="9" t="s">
        <v>2894</v>
      </c>
      <c r="D376" s="6" t="s">
        <v>2608</v>
      </c>
      <c r="E376" s="6" t="s">
        <v>2573</v>
      </c>
      <c r="F376" s="6" t="s">
        <v>2221</v>
      </c>
      <c r="G376" s="6" t="s">
        <v>2222</v>
      </c>
      <c r="H376" s="7">
        <v>2310</v>
      </c>
      <c r="I376" s="8">
        <f>SUMIF(Cargas!$C$6:$C$1064,C376,Cargas!$O$6:$O$1064)</f>
        <v>0</v>
      </c>
      <c r="J376" s="17">
        <f t="shared" si="5"/>
        <v>2310</v>
      </c>
      <c r="K376" s="46">
        <v>1383277</v>
      </c>
      <c r="L376" s="34">
        <v>176821</v>
      </c>
    </row>
    <row r="377" hidden="1">
      <c r="B377" s="64">
        <v>44116</v>
      </c>
      <c r="C377" s="9" t="s">
        <v>2895</v>
      </c>
      <c r="D377" s="6" t="s">
        <v>2512</v>
      </c>
      <c r="E377" s="6" t="s">
        <v>2697</v>
      </c>
      <c r="F377" s="6" t="s">
        <v>2226</v>
      </c>
      <c r="G377" s="6" t="s">
        <v>2227</v>
      </c>
      <c r="H377" s="7">
        <v>4320</v>
      </c>
      <c r="I377" s="8">
        <f>SUMIF(Cargas!$C$6:$C$1064,C377,Cargas!$O$6:$O$1064)</f>
        <v>0</v>
      </c>
      <c r="J377" s="17">
        <f t="shared" si="5"/>
        <v>4320</v>
      </c>
      <c r="K377" s="46">
        <v>1383082</v>
      </c>
      <c r="L377" s="34">
        <v>175071</v>
      </c>
    </row>
    <row r="378" hidden="1">
      <c r="B378" s="64">
        <v>44116</v>
      </c>
      <c r="C378" s="9" t="s">
        <v>2896</v>
      </c>
      <c r="D378" s="6" t="s">
        <v>2500</v>
      </c>
      <c r="E378" s="6" t="s">
        <v>2778</v>
      </c>
      <c r="F378" s="6" t="s">
        <v>2226</v>
      </c>
      <c r="G378" s="6" t="s">
        <v>2258</v>
      </c>
      <c r="H378" s="7">
        <v>2160</v>
      </c>
      <c r="I378" s="8">
        <f>SUMIF(Cargas!$C$6:$C$1064,C378,Cargas!$O$6:$O$1064)</f>
        <v>0</v>
      </c>
      <c r="J378" s="17">
        <f t="shared" si="5"/>
        <v>2160</v>
      </c>
      <c r="K378" s="34">
        <v>1383122</v>
      </c>
      <c r="L378" s="34">
        <v>174169</v>
      </c>
    </row>
    <row r="379" hidden="1">
      <c r="B379" s="64">
        <v>44116</v>
      </c>
      <c r="C379" s="9" t="s">
        <v>2897</v>
      </c>
      <c r="D379" s="6" t="s">
        <v>2490</v>
      </c>
      <c r="E379" s="6" t="s">
        <v>2697</v>
      </c>
      <c r="F379" s="6" t="s">
        <v>2226</v>
      </c>
      <c r="G379" s="6" t="s">
        <v>2227</v>
      </c>
      <c r="H379" s="7">
        <v>4200</v>
      </c>
      <c r="I379" s="8">
        <f>SUMIF(Cargas!$C$6:$C$1064,C379,Cargas!$O$6:$O$1064)</f>
        <v>0</v>
      </c>
      <c r="J379" s="17">
        <f t="shared" si="5"/>
        <v>4200</v>
      </c>
      <c r="K379" s="34">
        <v>1383083</v>
      </c>
      <c r="L379" s="34">
        <v>174954</v>
      </c>
    </row>
    <row r="380" hidden="1">
      <c r="A380" s="0" t="s">
        <v>0</v>
      </c>
      <c r="B380" s="64">
        <v>44120</v>
      </c>
      <c r="C380" s="9" t="s">
        <v>2898</v>
      </c>
      <c r="D380" s="6" t="s">
        <v>2669</v>
      </c>
      <c r="E380" s="6" t="s">
        <v>2712</v>
      </c>
      <c r="F380" s="6" t="s">
        <v>2226</v>
      </c>
      <c r="G380" s="6" t="s">
        <v>2258</v>
      </c>
      <c r="H380" s="7">
        <v>1536</v>
      </c>
      <c r="I380" s="8">
        <f>SUMIF(Cargas!$C$6:$C$1064,C380,Cargas!$O$6:$O$1064)</f>
        <v>0</v>
      </c>
      <c r="J380" s="17">
        <f t="shared" si="5"/>
        <v>1536</v>
      </c>
      <c r="K380" s="34">
        <v>1385230</v>
      </c>
      <c r="L380" s="34">
        <v>165051</v>
      </c>
    </row>
    <row r="381" hidden="1">
      <c r="B381" s="64">
        <v>44123</v>
      </c>
      <c r="C381" s="9" t="s">
        <v>2899</v>
      </c>
      <c r="D381" s="6" t="s">
        <v>2520</v>
      </c>
      <c r="E381" s="6" t="s">
        <v>2778</v>
      </c>
      <c r="F381" s="6" t="s">
        <v>2221</v>
      </c>
      <c r="G381" s="6" t="s">
        <v>2222</v>
      </c>
      <c r="H381" s="7">
        <v>2160</v>
      </c>
      <c r="I381" s="8">
        <f>SUMIF(Cargas!$C$6:$C$1064,C381,Cargas!$O$6:$O$1064)</f>
        <v>0</v>
      </c>
      <c r="J381" s="17">
        <f t="shared" si="5"/>
        <v>2160</v>
      </c>
      <c r="K381" s="34">
        <v>1383702</v>
      </c>
      <c r="L381" s="34">
        <v>184832</v>
      </c>
    </row>
    <row r="382" hidden="1">
      <c r="B382" s="64">
        <v>44124</v>
      </c>
      <c r="C382" s="9" t="s">
        <v>2900</v>
      </c>
      <c r="D382" s="6" t="s">
        <v>2510</v>
      </c>
      <c r="E382" s="6" t="s">
        <v>2225</v>
      </c>
      <c r="F382" s="6" t="s">
        <v>2226</v>
      </c>
      <c r="G382" s="6" t="s">
        <v>2227</v>
      </c>
      <c r="H382" s="7">
        <v>1680</v>
      </c>
      <c r="I382" s="8">
        <f>SUMIF(Cargas!$C$6:$C$1064,C382,Cargas!$O$6:$O$1064)</f>
        <v>0</v>
      </c>
      <c r="J382" s="17">
        <f t="shared" si="5"/>
        <v>1680</v>
      </c>
      <c r="K382" s="46">
        <v>1384631</v>
      </c>
      <c r="L382" s="34">
        <v>177886</v>
      </c>
    </row>
    <row r="383" hidden="1">
      <c r="B383" s="64">
        <v>44124</v>
      </c>
      <c r="C383" s="9" t="s">
        <v>2901</v>
      </c>
      <c r="D383" s="6" t="s">
        <v>2522</v>
      </c>
      <c r="E383" s="6" t="s">
        <v>2697</v>
      </c>
      <c r="F383" s="6" t="s">
        <v>2226</v>
      </c>
      <c r="G383" s="6" t="s">
        <v>2227</v>
      </c>
      <c r="H383" s="7">
        <v>4320</v>
      </c>
      <c r="I383" s="8">
        <f>SUMIF(Cargas!$C$6:$C$1064,C383,Cargas!$O$6:$O$1064)</f>
        <v>0</v>
      </c>
      <c r="J383" s="17">
        <f t="shared" si="5"/>
        <v>4320</v>
      </c>
      <c r="K383" s="46">
        <v>1383084</v>
      </c>
      <c r="L383" s="34">
        <v>179270</v>
      </c>
    </row>
    <row r="384" hidden="1">
      <c r="B384" s="64">
        <v>44124</v>
      </c>
      <c r="C384" s="9" t="s">
        <v>2902</v>
      </c>
      <c r="D384" s="6" t="s">
        <v>2502</v>
      </c>
      <c r="E384" s="6" t="s">
        <v>2778</v>
      </c>
      <c r="F384" s="6" t="s">
        <v>2226</v>
      </c>
      <c r="G384" s="6" t="s">
        <v>2258</v>
      </c>
      <c r="H384" s="7">
        <v>2160</v>
      </c>
      <c r="I384" s="8">
        <f>SUMIF(Cargas!$C$6:$C$1064,C384,Cargas!$O$6:$O$1064)</f>
        <v>0</v>
      </c>
      <c r="J384" s="17">
        <f t="shared" si="5"/>
        <v>2160</v>
      </c>
      <c r="K384" s="34">
        <v>1383124</v>
      </c>
      <c r="L384" s="34">
        <v>178019</v>
      </c>
    </row>
    <row r="385" hidden="1">
      <c r="B385" s="64">
        <v>44124</v>
      </c>
      <c r="C385" s="9" t="s">
        <v>2903</v>
      </c>
      <c r="D385" s="6" t="s">
        <v>2554</v>
      </c>
      <c r="E385" s="6" t="s">
        <v>2778</v>
      </c>
      <c r="F385" s="6" t="s">
        <v>2226</v>
      </c>
      <c r="G385" s="6" t="s">
        <v>2258</v>
      </c>
      <c r="H385" s="7">
        <v>3240</v>
      </c>
      <c r="I385" s="8">
        <f>SUMIF(Cargas!$C$6:$C$1064,C385,Cargas!$O$6:$O$1064)</f>
        <v>0</v>
      </c>
      <c r="J385" s="17">
        <f t="shared" si="5"/>
        <v>3240</v>
      </c>
      <c r="K385" s="34">
        <v>1384579</v>
      </c>
      <c r="L385" s="34">
        <v>178194</v>
      </c>
    </row>
    <row r="386" hidden="1">
      <c r="B386" s="64">
        <v>44124</v>
      </c>
      <c r="C386" s="9" t="s">
        <v>2904</v>
      </c>
      <c r="D386" s="6" t="s">
        <v>2498</v>
      </c>
      <c r="E386" s="6" t="s">
        <v>2697</v>
      </c>
      <c r="F386" s="6" t="s">
        <v>2226</v>
      </c>
      <c r="G386" s="6" t="s">
        <v>2227</v>
      </c>
      <c r="H386" s="7">
        <v>4200</v>
      </c>
      <c r="I386" s="8">
        <f>SUMIF(Cargas!$C$6:$C$1064,C386,Cargas!$O$6:$O$1064)</f>
        <v>0</v>
      </c>
      <c r="J386" s="17">
        <f t="shared" si="5"/>
        <v>4200</v>
      </c>
      <c r="K386" s="34">
        <v>1383085</v>
      </c>
      <c r="L386" s="34">
        <v>178079</v>
      </c>
    </row>
    <row r="387" hidden="1">
      <c r="B387" s="64">
        <v>44124</v>
      </c>
      <c r="C387" s="9" t="s">
        <v>2905</v>
      </c>
      <c r="D387" s="6" t="s">
        <v>2626</v>
      </c>
      <c r="E387" s="6" t="s">
        <v>2230</v>
      </c>
      <c r="F387" s="6" t="s">
        <v>2221</v>
      </c>
      <c r="G387" s="6" t="s">
        <v>2222</v>
      </c>
      <c r="H387" s="7">
        <v>2310</v>
      </c>
      <c r="I387" s="8">
        <f>SUMIF(Cargas!$C$6:$C$1064,C387,Cargas!$O$6:$O$1064)</f>
        <v>0</v>
      </c>
      <c r="J387" s="17">
        <f t="shared" si="5"/>
        <v>2310</v>
      </c>
      <c r="K387" s="46">
        <v>1387265</v>
      </c>
      <c r="L387" s="34">
        <v>185112</v>
      </c>
    </row>
    <row r="388" hidden="1">
      <c r="B388" s="64">
        <v>44128</v>
      </c>
      <c r="C388" s="9" t="s">
        <v>2906</v>
      </c>
      <c r="D388" s="6" t="s">
        <v>2524</v>
      </c>
      <c r="E388" s="6" t="s">
        <v>2778</v>
      </c>
      <c r="F388" s="6" t="s">
        <v>2221</v>
      </c>
      <c r="G388" s="6" t="s">
        <v>2222</v>
      </c>
      <c r="H388" s="7">
        <v>2160</v>
      </c>
      <c r="I388" s="8">
        <f>SUMIF(Cargas!$C$6:$C$1064,C388,Cargas!$O$6:$O$1064)</f>
        <v>0</v>
      </c>
      <c r="J388" s="17">
        <f t="shared" si="5"/>
        <v>2160</v>
      </c>
      <c r="K388" s="34">
        <v>1383703</v>
      </c>
      <c r="L388" s="34">
        <v>189532</v>
      </c>
    </row>
    <row r="389" hidden="1">
      <c r="B389" s="64">
        <v>44130</v>
      </c>
      <c r="C389" s="9" t="s">
        <v>2907</v>
      </c>
      <c r="D389" s="6" t="s">
        <v>2534</v>
      </c>
      <c r="E389" s="6" t="s">
        <v>2697</v>
      </c>
      <c r="F389" s="6" t="s">
        <v>2226</v>
      </c>
      <c r="G389" s="6" t="s">
        <v>2227</v>
      </c>
      <c r="H389" s="7">
        <v>4320</v>
      </c>
      <c r="I389" s="8">
        <f>SUMIF(Cargas!$C$6:$C$1064,C389,Cargas!$O$6:$O$1064)</f>
        <v>0</v>
      </c>
      <c r="J389" s="17">
        <f ref="J389:J395" t="shared" si="6">IF(ABS(H389-I389)&lt;20,0,H389-I389)</f>
        <v>4320</v>
      </c>
      <c r="K389" s="46">
        <v>1383086</v>
      </c>
      <c r="L389" s="34">
        <v>183511</v>
      </c>
    </row>
    <row r="390" hidden="1">
      <c r="B390" s="64">
        <v>44130</v>
      </c>
      <c r="C390" s="9" t="s">
        <v>2908</v>
      </c>
      <c r="D390" s="6" t="s">
        <v>2508</v>
      </c>
      <c r="E390" s="6" t="s">
        <v>2778</v>
      </c>
      <c r="F390" s="6" t="s">
        <v>2226</v>
      </c>
      <c r="G390" s="6" t="s">
        <v>2258</v>
      </c>
      <c r="H390" s="7">
        <v>2160</v>
      </c>
      <c r="I390" s="8">
        <f>SUMIF(Cargas!$C$6:$C$1064,C390,Cargas!$O$6:$O$1064)</f>
        <v>0</v>
      </c>
      <c r="J390" s="17">
        <f t="shared" si="6"/>
        <v>2160</v>
      </c>
      <c r="K390" s="34">
        <v>1383125</v>
      </c>
      <c r="L390" s="34">
        <v>183076</v>
      </c>
    </row>
    <row r="391" hidden="1">
      <c r="B391" s="64">
        <v>44130</v>
      </c>
      <c r="C391" s="9" t="s">
        <v>2909</v>
      </c>
      <c r="D391" s="6" t="s">
        <v>2562</v>
      </c>
      <c r="E391" s="6" t="s">
        <v>2778</v>
      </c>
      <c r="F391" s="6" t="s">
        <v>2226</v>
      </c>
      <c r="G391" s="6" t="s">
        <v>2258</v>
      </c>
      <c r="H391" s="7">
        <v>3240</v>
      </c>
      <c r="I391" s="8">
        <f>SUMIF(Cargas!$C$6:$C$1064,C391,Cargas!$O$6:$O$1064)</f>
        <v>0</v>
      </c>
      <c r="J391" s="17">
        <f t="shared" si="6"/>
        <v>3240</v>
      </c>
      <c r="K391" s="34">
        <v>1384580</v>
      </c>
      <c r="L391" s="34">
        <v>184336</v>
      </c>
    </row>
    <row r="392" hidden="1">
      <c r="B392" s="64">
        <v>44130</v>
      </c>
      <c r="C392" s="9" t="s">
        <v>2910</v>
      </c>
      <c r="D392" s="6" t="s">
        <v>2504</v>
      </c>
      <c r="E392" s="6" t="s">
        <v>2697</v>
      </c>
      <c r="F392" s="6" t="s">
        <v>2226</v>
      </c>
      <c r="G392" s="6" t="s">
        <v>2227</v>
      </c>
      <c r="H392" s="7">
        <v>4200</v>
      </c>
      <c r="I392" s="8">
        <f>SUMIF(Cargas!$C$6:$C$1064,C392,Cargas!$O$6:$O$1064)</f>
        <v>0</v>
      </c>
      <c r="J392" s="17">
        <f t="shared" si="6"/>
        <v>4200</v>
      </c>
      <c r="K392" s="34">
        <v>1383119</v>
      </c>
      <c r="L392" s="34">
        <v>183420</v>
      </c>
    </row>
    <row r="393" hidden="1">
      <c r="B393" s="64">
        <v>44139</v>
      </c>
      <c r="C393" s="9" t="s">
        <v>2911</v>
      </c>
      <c r="D393" s="6" t="s">
        <v>2548</v>
      </c>
      <c r="E393" s="6" t="s">
        <v>2697</v>
      </c>
      <c r="F393" s="6" t="s">
        <v>2226</v>
      </c>
      <c r="G393" s="6" t="s">
        <v>2227</v>
      </c>
      <c r="H393" s="7">
        <v>4320</v>
      </c>
      <c r="I393" s="8">
        <f>SUMIF(Cargas!$C$6:$C$1064,C393,Cargas!$O$6:$O$1064)</f>
        <v>0</v>
      </c>
      <c r="J393" s="17">
        <f t="shared" si="6"/>
        <v>4320</v>
      </c>
      <c r="K393" s="46">
        <v>1386121</v>
      </c>
      <c r="L393" s="34">
        <v>187509</v>
      </c>
    </row>
    <row r="394" hidden="1">
      <c r="B394" s="64">
        <v>44139</v>
      </c>
      <c r="C394" s="9" t="s">
        <v>2912</v>
      </c>
      <c r="D394" s="6" t="s">
        <v>2514</v>
      </c>
      <c r="E394" s="6" t="s">
        <v>2778</v>
      </c>
      <c r="F394" s="6" t="s">
        <v>2226</v>
      </c>
      <c r="G394" s="6" t="s">
        <v>2258</v>
      </c>
      <c r="H394" s="7">
        <v>2160</v>
      </c>
      <c r="I394" s="8">
        <f>SUMIF(Cargas!$C$6:$C$1064,C394,Cargas!$O$6:$O$1064)</f>
        <v>0</v>
      </c>
      <c r="J394" s="17">
        <f t="shared" si="6"/>
        <v>2160</v>
      </c>
      <c r="K394" s="34">
        <v>1383126</v>
      </c>
      <c r="L394" s="34">
        <v>188527</v>
      </c>
    </row>
    <row r="395" hidden="1">
      <c r="B395" s="64">
        <v>44139</v>
      </c>
      <c r="C395" s="9" t="s">
        <v>2913</v>
      </c>
      <c r="D395" s="6" t="s">
        <v>2516</v>
      </c>
      <c r="E395" s="6" t="s">
        <v>2697</v>
      </c>
      <c r="F395" s="6" t="s">
        <v>2226</v>
      </c>
      <c r="G395" s="6" t="s">
        <v>2227</v>
      </c>
      <c r="H395" s="7">
        <v>4200</v>
      </c>
      <c r="I395" s="8">
        <f>SUMIF(Cargas!$C$6:$C$1064,C395,Cargas!$O$6:$O$1064)</f>
        <v>0</v>
      </c>
      <c r="J395" s="17">
        <f t="shared" si="6"/>
        <v>4200</v>
      </c>
      <c r="K395" s="34">
        <v>1386122</v>
      </c>
      <c r="L395" s="34">
        <v>187509</v>
      </c>
    </row>
    <row r="396" hidden="1">
      <c r="A396" s="0" t="s">
        <v>0</v>
      </c>
      <c r="B396" s="64">
        <v>44143</v>
      </c>
      <c r="C396" s="9" t="s">
        <v>2914</v>
      </c>
      <c r="D396" s="6" t="s">
        <v>2915</v>
      </c>
      <c r="E396" s="6" t="s">
        <v>2916</v>
      </c>
      <c r="F396" s="6" t="s">
        <v>2226</v>
      </c>
      <c r="G396" s="6" t="s">
        <v>2227</v>
      </c>
      <c r="H396" s="7">
        <v>960</v>
      </c>
      <c r="I396" s="8">
        <f>SUMIF(Cargas!$C$6:$C$1064,C396,Cargas!$O$6:$O$1064)</f>
        <v>0</v>
      </c>
      <c r="J396" s="17">
        <f ref="J396:J459" t="shared" si="7">IF(ABS(H396-I396)&lt;20,0,H396-I396)</f>
        <v>960</v>
      </c>
      <c r="K396" s="34">
        <v>1383126</v>
      </c>
      <c r="L396" s="34">
        <v>191227</v>
      </c>
    </row>
    <row r="397" hidden="1">
      <c r="B397" s="64">
        <v>44146</v>
      </c>
      <c r="C397" s="9" t="s">
        <v>2917</v>
      </c>
      <c r="D397" s="6" t="s">
        <v>2556</v>
      </c>
      <c r="E397" s="6" t="s">
        <v>2697</v>
      </c>
      <c r="F397" s="6" t="s">
        <v>2226</v>
      </c>
      <c r="G397" s="6" t="s">
        <v>2227</v>
      </c>
      <c r="H397" s="7">
        <v>4320</v>
      </c>
      <c r="I397" s="8">
        <f>SUMIF(Cargas!$C$6:$C$1064,C397,Cargas!$O$6:$O$1064)</f>
        <v>0</v>
      </c>
      <c r="J397" s="17">
        <f t="shared" si="7"/>
        <v>4320</v>
      </c>
      <c r="K397" s="46">
        <v>1386123</v>
      </c>
      <c r="L397" s="34">
        <v>196024</v>
      </c>
    </row>
    <row r="398" hidden="1">
      <c r="B398" s="64">
        <v>44146</v>
      </c>
      <c r="C398" s="9" t="s">
        <v>2918</v>
      </c>
      <c r="D398" s="6" t="s">
        <v>2616</v>
      </c>
      <c r="E398" s="6" t="s">
        <v>2778</v>
      </c>
      <c r="F398" s="6" t="s">
        <v>2226</v>
      </c>
      <c r="G398" s="6" t="s">
        <v>2258</v>
      </c>
      <c r="H398" s="7">
        <v>2160</v>
      </c>
      <c r="I398" s="8">
        <f>SUMIF(Cargas!$C$6:$C$1064,C398,Cargas!$O$6:$O$1064)</f>
        <v>0</v>
      </c>
      <c r="J398" s="17">
        <f t="shared" si="7"/>
        <v>2160</v>
      </c>
      <c r="K398" s="34">
        <v>1383704</v>
      </c>
      <c r="L398" s="34">
        <v>196364</v>
      </c>
    </row>
    <row r="399" hidden="1">
      <c r="B399" s="64">
        <v>44146</v>
      </c>
      <c r="C399" s="9" t="s">
        <v>2919</v>
      </c>
      <c r="D399" s="6" t="s">
        <v>2649</v>
      </c>
      <c r="E399" s="6" t="s">
        <v>2778</v>
      </c>
      <c r="F399" s="6" t="s">
        <v>2226</v>
      </c>
      <c r="G399" s="6" t="s">
        <v>2258</v>
      </c>
      <c r="H399" s="7">
        <v>3240</v>
      </c>
      <c r="I399" s="8">
        <f>SUMIF(Cargas!$C$6:$C$1064,C399,Cargas!$O$6:$O$1064)</f>
        <v>0</v>
      </c>
      <c r="J399" s="17">
        <f t="shared" si="7"/>
        <v>3240</v>
      </c>
      <c r="K399" s="34">
        <v>1387076</v>
      </c>
      <c r="L399" s="34">
        <v>196579</v>
      </c>
    </row>
    <row r="400" hidden="1">
      <c r="B400" s="64">
        <v>44146</v>
      </c>
      <c r="C400" s="9" t="s">
        <v>2920</v>
      </c>
      <c r="D400" s="6" t="s">
        <v>2526</v>
      </c>
      <c r="E400" s="6" t="s">
        <v>2697</v>
      </c>
      <c r="F400" s="6" t="s">
        <v>2226</v>
      </c>
      <c r="G400" s="6" t="s">
        <v>2227</v>
      </c>
      <c r="H400" s="7">
        <v>4200</v>
      </c>
      <c r="I400" s="8">
        <f>SUMIF(Cargas!$C$6:$C$1064,C400,Cargas!$O$6:$O$1064)</f>
        <v>0</v>
      </c>
      <c r="J400" s="17">
        <f t="shared" si="7"/>
        <v>4200</v>
      </c>
      <c r="K400" s="34">
        <v>1386124</v>
      </c>
      <c r="L400" s="34">
        <v>196272</v>
      </c>
    </row>
    <row r="401" hidden="1">
      <c r="B401" s="64">
        <v>44150</v>
      </c>
      <c r="C401" s="9" t="s">
        <v>2921</v>
      </c>
      <c r="D401" s="6" t="s">
        <v>2640</v>
      </c>
      <c r="E401" s="6" t="s">
        <v>2230</v>
      </c>
      <c r="F401" s="6" t="s">
        <v>2221</v>
      </c>
      <c r="G401" s="6" t="s">
        <v>2222</v>
      </c>
      <c r="H401" s="7">
        <v>2310</v>
      </c>
      <c r="I401" s="8">
        <f>SUMIF(Cargas!$C$6:$C$1064,C401,Cargas!$O$6:$O$1064)</f>
        <v>0</v>
      </c>
      <c r="J401" s="17">
        <f t="shared" si="7"/>
        <v>2310</v>
      </c>
      <c r="K401" s="46">
        <v>1388196</v>
      </c>
      <c r="L401" s="34">
        <v>3074</v>
      </c>
    </row>
    <row r="402" hidden="1">
      <c r="A402" s="0" t="s">
        <v>0</v>
      </c>
      <c r="B402" s="64">
        <v>44153</v>
      </c>
      <c r="C402" s="9" t="s">
        <v>2922</v>
      </c>
      <c r="D402" s="6" t="s">
        <v>2923</v>
      </c>
      <c r="E402" s="6" t="s">
        <v>2843</v>
      </c>
      <c r="F402" s="6" t="s">
        <v>2226</v>
      </c>
      <c r="G402" s="6" t="s">
        <v>2801</v>
      </c>
      <c r="H402" s="7">
        <v>1760</v>
      </c>
      <c r="I402" s="8">
        <f>SUMIF(Cargas!$C$6:$C$1064,C402,Cargas!$O$6:$O$1064)</f>
        <v>0</v>
      </c>
      <c r="J402" s="17">
        <f t="shared" si="7"/>
        <v>1760</v>
      </c>
      <c r="K402" s="34">
        <v>1387493</v>
      </c>
      <c r="L402" s="34">
        <v>186164</v>
      </c>
    </row>
    <row r="403" hidden="1">
      <c r="B403" s="64">
        <v>44153</v>
      </c>
      <c r="C403" s="9" t="s">
        <v>2924</v>
      </c>
      <c r="D403" s="6" t="s">
        <v>2564</v>
      </c>
      <c r="E403" s="6" t="s">
        <v>2697</v>
      </c>
      <c r="F403" s="6" t="s">
        <v>2226</v>
      </c>
      <c r="G403" s="6" t="s">
        <v>2227</v>
      </c>
      <c r="H403" s="7">
        <v>2160</v>
      </c>
      <c r="I403" s="8">
        <f>SUMIF(Cargas!$C$6:$C$1064,C403,Cargas!$O$6:$O$1064)</f>
        <v>0</v>
      </c>
      <c r="J403" s="17">
        <f t="shared" si="7"/>
        <v>2160</v>
      </c>
      <c r="K403" s="46">
        <v>1386125</v>
      </c>
      <c r="L403" s="34">
        <v>196119</v>
      </c>
    </row>
    <row r="404" hidden="1">
      <c r="B404" s="64">
        <v>44153</v>
      </c>
      <c r="C404" s="9" t="s">
        <v>2925</v>
      </c>
      <c r="D404" s="6" t="s">
        <v>2663</v>
      </c>
      <c r="E404" s="6" t="s">
        <v>2778</v>
      </c>
      <c r="F404" s="6" t="s">
        <v>2226</v>
      </c>
      <c r="G404" s="6" t="s">
        <v>2258</v>
      </c>
      <c r="H404" s="7">
        <v>2160</v>
      </c>
      <c r="I404" s="8">
        <f>SUMIF(Cargas!$C$6:$C$1064,C404,Cargas!$O$6:$O$1064)</f>
        <v>0</v>
      </c>
      <c r="J404" s="17">
        <f t="shared" si="7"/>
        <v>2160</v>
      </c>
      <c r="K404" s="34">
        <v>1387486</v>
      </c>
      <c r="L404" s="34">
        <v>197844</v>
      </c>
    </row>
    <row r="405" hidden="1">
      <c r="B405" s="64">
        <v>44153</v>
      </c>
      <c r="C405" s="9" t="s">
        <v>2926</v>
      </c>
      <c r="D405" s="6" t="s">
        <v>2659</v>
      </c>
      <c r="E405" s="6" t="s">
        <v>2778</v>
      </c>
      <c r="F405" s="6" t="s">
        <v>2226</v>
      </c>
      <c r="G405" s="6" t="s">
        <v>2258</v>
      </c>
      <c r="H405" s="7">
        <v>4320</v>
      </c>
      <c r="I405" s="8">
        <f>SUMIF(Cargas!$C$6:$C$1064,C405,Cargas!$O$6:$O$1064)</f>
        <v>0</v>
      </c>
      <c r="J405" s="17">
        <f t="shared" si="7"/>
        <v>4320</v>
      </c>
      <c r="K405" s="34">
        <v>1387484</v>
      </c>
      <c r="L405" s="34">
        <v>198109</v>
      </c>
    </row>
    <row r="406" hidden="1">
      <c r="B406" s="64">
        <v>44153</v>
      </c>
      <c r="C406" s="9" t="s">
        <v>2927</v>
      </c>
      <c r="D406" s="6" t="s">
        <v>2536</v>
      </c>
      <c r="E406" s="6" t="s">
        <v>2697</v>
      </c>
      <c r="F406" s="6" t="s">
        <v>2226</v>
      </c>
      <c r="G406" s="6" t="s">
        <v>2227</v>
      </c>
      <c r="H406" s="7">
        <v>2100</v>
      </c>
      <c r="I406" s="8">
        <f>SUMIF(Cargas!$C$6:$C$1064,C406,Cargas!$O$6:$O$1064)</f>
        <v>0</v>
      </c>
      <c r="J406" s="17">
        <f t="shared" si="7"/>
        <v>2100</v>
      </c>
      <c r="K406" s="34">
        <v>1386126</v>
      </c>
      <c r="L406" s="34">
        <v>196330</v>
      </c>
    </row>
    <row r="407" hidden="1">
      <c r="B407" s="64">
        <v>44156</v>
      </c>
      <c r="C407" s="9" t="s">
        <v>2928</v>
      </c>
      <c r="D407" s="6" t="s">
        <v>2636</v>
      </c>
      <c r="E407" s="6" t="s">
        <v>2230</v>
      </c>
      <c r="F407" s="6" t="s">
        <v>2221</v>
      </c>
      <c r="G407" s="6" t="s">
        <v>2222</v>
      </c>
      <c r="H407" s="7">
        <v>2310</v>
      </c>
      <c r="I407" s="8">
        <f>SUMIF(Cargas!$C$6:$C$1064,C407,Cargas!$O$6:$O$1064)</f>
        <v>0</v>
      </c>
      <c r="J407" s="17">
        <f t="shared" si="7"/>
        <v>2310</v>
      </c>
      <c r="K407" s="46">
        <v>1388196</v>
      </c>
      <c r="L407" s="34">
        <v>210310</v>
      </c>
    </row>
    <row r="408" hidden="1">
      <c r="A408" s="0" t="s">
        <v>0</v>
      </c>
      <c r="B408" s="64">
        <v>44158</v>
      </c>
      <c r="C408" s="9" t="s">
        <v>2929</v>
      </c>
      <c r="D408" s="6" t="s">
        <v>2930</v>
      </c>
      <c r="E408" s="6" t="s">
        <v>2712</v>
      </c>
      <c r="F408" s="6" t="s">
        <v>2226</v>
      </c>
      <c r="G408" s="6" t="s">
        <v>2258</v>
      </c>
      <c r="H408" s="7">
        <v>1536</v>
      </c>
      <c r="I408" s="8">
        <f>SUMIF(Cargas!$C$6:$C$1064,C408,Cargas!$O$6:$O$1064)</f>
        <v>0</v>
      </c>
      <c r="J408" s="17">
        <f t="shared" si="7"/>
        <v>1536</v>
      </c>
      <c r="K408" s="34">
        <v>1387902</v>
      </c>
      <c r="L408" s="34">
        <v>189040</v>
      </c>
    </row>
    <row r="409" hidden="1">
      <c r="B409" s="64">
        <v>44159</v>
      </c>
      <c r="C409" s="9" t="s">
        <v>2931</v>
      </c>
      <c r="D409" s="6" t="s">
        <v>2546</v>
      </c>
      <c r="E409" s="6" t="s">
        <v>2225</v>
      </c>
      <c r="F409" s="6" t="s">
        <v>2226</v>
      </c>
      <c r="G409" s="6" t="s">
        <v>2227</v>
      </c>
      <c r="H409" s="7">
        <v>1680</v>
      </c>
      <c r="I409" s="8">
        <f>SUMIF(Cargas!$C$6:$C$1064,C409,Cargas!$O$6:$O$1064)</f>
        <v>0</v>
      </c>
      <c r="J409" s="17">
        <f t="shared" si="7"/>
        <v>1680</v>
      </c>
      <c r="K409" s="46">
        <v>1387636</v>
      </c>
      <c r="L409" s="34">
        <v>204928</v>
      </c>
    </row>
    <row r="410" hidden="1">
      <c r="B410" s="64">
        <v>44159</v>
      </c>
      <c r="C410" s="9" t="s">
        <v>2932</v>
      </c>
      <c r="D410" s="6" t="s">
        <v>2579</v>
      </c>
      <c r="E410" s="6" t="s">
        <v>2697</v>
      </c>
      <c r="F410" s="6" t="s">
        <v>2226</v>
      </c>
      <c r="G410" s="6" t="s">
        <v>2227</v>
      </c>
      <c r="H410" s="7">
        <v>2160</v>
      </c>
      <c r="I410" s="8">
        <f>SUMIF(Cargas!$C$6:$C$1064,C410,Cargas!$O$6:$O$1064)</f>
        <v>0</v>
      </c>
      <c r="J410" s="17">
        <f t="shared" si="7"/>
        <v>2160</v>
      </c>
      <c r="K410" s="46">
        <v>1386127</v>
      </c>
      <c r="L410" s="34">
        <v>205251</v>
      </c>
    </row>
    <row r="411" hidden="1">
      <c r="B411" s="64">
        <v>44159</v>
      </c>
      <c r="C411" s="9" t="s">
        <v>2933</v>
      </c>
      <c r="D411" s="6" t="s">
        <v>2552</v>
      </c>
      <c r="E411" s="6" t="s">
        <v>2697</v>
      </c>
      <c r="F411" s="6" t="s">
        <v>2226</v>
      </c>
      <c r="G411" s="6" t="s">
        <v>2227</v>
      </c>
      <c r="H411" s="7">
        <v>2100</v>
      </c>
      <c r="I411" s="8">
        <f>SUMIF(Cargas!$C$6:$C$1064,C411,Cargas!$O$6:$O$1064)</f>
        <v>0</v>
      </c>
      <c r="J411" s="17">
        <f t="shared" si="7"/>
        <v>2100</v>
      </c>
      <c r="K411" s="34">
        <v>1386128</v>
      </c>
      <c r="L411" s="34">
        <v>205195</v>
      </c>
    </row>
    <row r="412" hidden="1">
      <c r="B412" s="64">
        <v>44162</v>
      </c>
      <c r="C412" s="9" t="s">
        <v>2934</v>
      </c>
      <c r="D412" s="6" t="s">
        <v>2672</v>
      </c>
      <c r="E412" s="6" t="s">
        <v>2778</v>
      </c>
      <c r="F412" s="6" t="s">
        <v>2226</v>
      </c>
      <c r="G412" s="6" t="s">
        <v>2258</v>
      </c>
      <c r="H412" s="7">
        <v>6480</v>
      </c>
      <c r="I412" s="8">
        <f>SUMIF(Cargas!$C$6:$C$1064,C412,Cargas!$O$6:$O$1064)</f>
        <v>0</v>
      </c>
      <c r="J412" s="17">
        <f t="shared" si="7"/>
        <v>6480</v>
      </c>
      <c r="K412" s="34">
        <v>1387893</v>
      </c>
      <c r="L412" s="34">
        <v>204216</v>
      </c>
    </row>
    <row r="413" hidden="1">
      <c r="B413" s="64">
        <v>44162</v>
      </c>
      <c r="C413" s="9" t="s">
        <v>2935</v>
      </c>
      <c r="D413" s="6" t="s">
        <v>2674</v>
      </c>
      <c r="E413" s="6" t="s">
        <v>2778</v>
      </c>
      <c r="F413" s="6" t="s">
        <v>2226</v>
      </c>
      <c r="G413" s="6" t="s">
        <v>2258</v>
      </c>
      <c r="H413" s="7">
        <v>1080</v>
      </c>
      <c r="I413" s="8">
        <f>SUMIF(Cargas!$C$6:$C$1064,C413,Cargas!$O$6:$O$1064)</f>
        <v>0</v>
      </c>
      <c r="J413" s="17">
        <f t="shared" si="7"/>
        <v>1080</v>
      </c>
      <c r="K413" s="34">
        <v>1387895</v>
      </c>
      <c r="L413" s="34">
        <v>204291</v>
      </c>
    </row>
    <row r="414" hidden="1">
      <c r="B414" s="64">
        <v>44162</v>
      </c>
      <c r="C414" s="9" t="s">
        <v>2936</v>
      </c>
      <c r="D414" s="6" t="s">
        <v>2686</v>
      </c>
      <c r="E414" s="6" t="s">
        <v>2778</v>
      </c>
      <c r="F414" s="6" t="s">
        <v>2226</v>
      </c>
      <c r="G414" s="6" t="s">
        <v>2227</v>
      </c>
      <c r="H414" s="7">
        <v>2160</v>
      </c>
      <c r="I414" s="8">
        <f>SUMIF(Cargas!$C$6:$C$1064,C414,Cargas!$O$6:$O$1064)</f>
        <v>0</v>
      </c>
      <c r="J414" s="17">
        <f t="shared" si="7"/>
        <v>2160</v>
      </c>
      <c r="K414" s="34">
        <v>1387486</v>
      </c>
      <c r="L414" s="34">
        <v>207485</v>
      </c>
    </row>
    <row r="415" hidden="1">
      <c r="A415" s="0" t="s">
        <v>0</v>
      </c>
      <c r="B415" s="64">
        <v>44166</v>
      </c>
      <c r="C415" s="9" t="s">
        <v>2937</v>
      </c>
      <c r="D415" s="6" t="s">
        <v>2938</v>
      </c>
      <c r="E415" s="6" t="s">
        <v>2843</v>
      </c>
      <c r="F415" s="6" t="s">
        <v>2226</v>
      </c>
      <c r="G415" s="6" t="s">
        <v>2801</v>
      </c>
      <c r="H415" s="7">
        <v>1760</v>
      </c>
      <c r="I415" s="8">
        <f>SUMIF(Cargas!$C$6:$C$1064,C415,Cargas!$O$6:$O$1064)</f>
        <v>0</v>
      </c>
      <c r="J415" s="17">
        <f t="shared" si="7"/>
        <v>1760</v>
      </c>
      <c r="K415" s="34">
        <v>1386879</v>
      </c>
      <c r="L415" s="34">
        <v>192191</v>
      </c>
    </row>
    <row r="416" hidden="1">
      <c r="B416" s="64">
        <v>44166</v>
      </c>
      <c r="C416" s="9" t="s">
        <v>2939</v>
      </c>
      <c r="D416" s="6" t="s">
        <v>2592</v>
      </c>
      <c r="E416" s="6" t="s">
        <v>2697</v>
      </c>
      <c r="F416" s="6" t="s">
        <v>2226</v>
      </c>
      <c r="G416" s="6" t="s">
        <v>2227</v>
      </c>
      <c r="H416" s="7">
        <v>2160</v>
      </c>
      <c r="I416" s="8">
        <f>SUMIF(Cargas!$C$6:$C$1064,C416,Cargas!$O$6:$O$1064)</f>
        <v>0</v>
      </c>
      <c r="J416" s="17">
        <f t="shared" si="7"/>
        <v>2160</v>
      </c>
      <c r="K416" s="46">
        <v>1388436</v>
      </c>
      <c r="L416" s="34">
        <v>206709</v>
      </c>
    </row>
    <row r="417" hidden="1">
      <c r="B417" s="64">
        <v>44166</v>
      </c>
      <c r="C417" s="9" t="s">
        <v>2940</v>
      </c>
      <c r="D417" s="6" t="s">
        <v>2692</v>
      </c>
      <c r="E417" s="6" t="s">
        <v>2778</v>
      </c>
      <c r="F417" s="6" t="s">
        <v>2226</v>
      </c>
      <c r="G417" s="6" t="s">
        <v>2258</v>
      </c>
      <c r="H417" s="7">
        <v>4320</v>
      </c>
      <c r="I417" s="8">
        <f>SUMIF(Cargas!$C$6:$C$1064,C417,Cargas!$O$6:$O$1064)</f>
        <v>0</v>
      </c>
      <c r="J417" s="17">
        <f t="shared" si="7"/>
        <v>4320</v>
      </c>
      <c r="K417" s="34">
        <v>1388465</v>
      </c>
      <c r="L417" s="34">
        <v>208010</v>
      </c>
    </row>
    <row r="418" hidden="1">
      <c r="B418" s="64">
        <v>44166</v>
      </c>
      <c r="C418" s="9" t="s">
        <v>2941</v>
      </c>
      <c r="D418" s="6" t="s">
        <v>2705</v>
      </c>
      <c r="E418" s="6" t="s">
        <v>2778</v>
      </c>
      <c r="F418" s="6" t="s">
        <v>2226</v>
      </c>
      <c r="G418" s="6" t="s">
        <v>2258</v>
      </c>
      <c r="H418" s="7">
        <v>2160</v>
      </c>
      <c r="I418" s="8">
        <f>SUMIF(Cargas!$C$6:$C$1064,C418,Cargas!$O$6:$O$1064)</f>
        <v>0</v>
      </c>
      <c r="J418" s="17">
        <f t="shared" si="7"/>
        <v>2160</v>
      </c>
      <c r="K418" s="34">
        <v>1388469</v>
      </c>
      <c r="L418" s="34">
        <v>208059</v>
      </c>
    </row>
    <row r="419" hidden="1">
      <c r="B419" s="64">
        <v>44166</v>
      </c>
      <c r="C419" s="9" t="s">
        <v>2942</v>
      </c>
      <c r="D419" s="6" t="s">
        <v>2943</v>
      </c>
      <c r="E419" s="6" t="s">
        <v>2778</v>
      </c>
      <c r="F419" s="6" t="s">
        <v>2226</v>
      </c>
      <c r="G419" s="6" t="s">
        <v>2227</v>
      </c>
      <c r="H419" s="7">
        <v>2160</v>
      </c>
      <c r="I419" s="8">
        <f>SUMIF(Cargas!$C$6:$C$1064,C419,Cargas!$O$6:$O$1064)</f>
        <v>0</v>
      </c>
      <c r="J419" s="17">
        <f t="shared" si="7"/>
        <v>2160</v>
      </c>
      <c r="K419" s="34">
        <v>1388473</v>
      </c>
      <c r="L419" s="34">
        <v>207315</v>
      </c>
    </row>
    <row r="420" hidden="1">
      <c r="B420" s="64">
        <v>44166</v>
      </c>
      <c r="C420" s="9" t="s">
        <v>2944</v>
      </c>
      <c r="D420" s="6" t="s">
        <v>2945</v>
      </c>
      <c r="E420" s="6" t="s">
        <v>2778</v>
      </c>
      <c r="F420" s="6" t="s">
        <v>2226</v>
      </c>
      <c r="G420" s="6" t="s">
        <v>2227</v>
      </c>
      <c r="H420" s="7">
        <v>2160</v>
      </c>
      <c r="I420" s="8">
        <f>SUMIF(Cargas!$C$6:$C$1064,C420,Cargas!$O$6:$O$1064)</f>
        <v>0</v>
      </c>
      <c r="J420" s="17">
        <f t="shared" si="7"/>
        <v>2160</v>
      </c>
      <c r="K420" s="34">
        <v>1388476</v>
      </c>
      <c r="L420" s="34">
        <v>207357</v>
      </c>
    </row>
    <row r="421" hidden="1">
      <c r="B421" s="64">
        <v>44166</v>
      </c>
      <c r="C421" s="9" t="s">
        <v>2946</v>
      </c>
      <c r="D421" s="6" t="s">
        <v>2494</v>
      </c>
      <c r="E421" s="6" t="s">
        <v>2697</v>
      </c>
      <c r="F421" s="6" t="s">
        <v>2226</v>
      </c>
      <c r="G421" s="6" t="s">
        <v>2227</v>
      </c>
      <c r="H421" s="7">
        <v>2100</v>
      </c>
      <c r="I421" s="8">
        <f>SUMIF(Cargas!$C$6:$C$1064,C421,Cargas!$O$6:$O$1064)</f>
        <v>0</v>
      </c>
      <c r="J421" s="17">
        <f t="shared" si="7"/>
        <v>2100</v>
      </c>
      <c r="K421" s="34">
        <v>1388437</v>
      </c>
      <c r="L421" s="34">
        <v>207237</v>
      </c>
    </row>
    <row r="422" hidden="1">
      <c r="B422" s="64">
        <v>44168</v>
      </c>
      <c r="C422" s="9" t="s">
        <v>2947</v>
      </c>
      <c r="D422" s="6" t="s">
        <v>2710</v>
      </c>
      <c r="E422" s="6" t="s">
        <v>2230</v>
      </c>
      <c r="F422" s="6" t="s">
        <v>2221</v>
      </c>
      <c r="G422" s="6" t="s">
        <v>2222</v>
      </c>
      <c r="H422" s="7">
        <v>2310</v>
      </c>
      <c r="I422" s="8">
        <f>SUMIF(Cargas!$C$6:$C$1064,C422,Cargas!$O$6:$O$1064)</f>
        <v>0</v>
      </c>
      <c r="J422" s="17">
        <f t="shared" si="7"/>
        <v>2310</v>
      </c>
      <c r="K422" s="46"/>
      <c r="L422" s="34">
        <v>401</v>
      </c>
    </row>
    <row r="423" hidden="1">
      <c r="B423" s="64">
        <v>44168</v>
      </c>
      <c r="C423" s="9" t="s">
        <v>2948</v>
      </c>
      <c r="D423" s="6" t="s">
        <v>2701</v>
      </c>
      <c r="E423" s="6" t="s">
        <v>2230</v>
      </c>
      <c r="F423" s="6" t="s">
        <v>2221</v>
      </c>
      <c r="G423" s="6" t="s">
        <v>2222</v>
      </c>
      <c r="H423" s="7">
        <v>2310</v>
      </c>
      <c r="I423" s="8">
        <f>SUMIF(Cargas!$C$6:$C$1064,C423,Cargas!$O$6:$O$1064)</f>
        <v>0</v>
      </c>
      <c r="J423" s="17">
        <f t="shared" si="7"/>
        <v>2310</v>
      </c>
      <c r="K423" s="46"/>
      <c r="L423" s="34">
        <v>402</v>
      </c>
    </row>
    <row r="424" hidden="1">
      <c r="A424" s="0" t="s">
        <v>0</v>
      </c>
      <c r="B424" s="64">
        <v>44169</v>
      </c>
      <c r="C424" s="9" t="s">
        <v>2949</v>
      </c>
      <c r="D424" s="6" t="s">
        <v>2950</v>
      </c>
      <c r="E424" s="6" t="s">
        <v>2843</v>
      </c>
      <c r="F424" s="6" t="s">
        <v>2226</v>
      </c>
      <c r="G424" s="6" t="s">
        <v>2801</v>
      </c>
      <c r="H424" s="7">
        <v>1440</v>
      </c>
      <c r="I424" s="8">
        <f>SUMIF(Cargas!$C$6:$C$1064,C424,Cargas!$O$6:$O$1064)</f>
        <v>0</v>
      </c>
      <c r="J424" s="17">
        <f t="shared" si="7"/>
        <v>1440</v>
      </c>
      <c r="K424" s="34">
        <v>1386880</v>
      </c>
      <c r="L424" s="34">
        <v>197962</v>
      </c>
    </row>
    <row r="425" hidden="1">
      <c r="B425" s="64">
        <v>44173</v>
      </c>
      <c r="C425" s="9" t="s">
        <v>2951</v>
      </c>
      <c r="D425" s="6" t="s">
        <v>2577</v>
      </c>
      <c r="E425" s="6" t="s">
        <v>2225</v>
      </c>
      <c r="F425" s="6" t="s">
        <v>2226</v>
      </c>
      <c r="G425" s="6" t="s">
        <v>2227</v>
      </c>
      <c r="H425" s="7">
        <v>1680</v>
      </c>
      <c r="I425" s="8">
        <f>SUMIF(Cargas!$C$6:$C$1064,C425,Cargas!$O$6:$O$1064)</f>
        <v>0</v>
      </c>
      <c r="J425" s="17">
        <f t="shared" si="7"/>
        <v>1680</v>
      </c>
      <c r="K425" s="46">
        <v>1389609</v>
      </c>
      <c r="L425" s="34">
        <v>214615</v>
      </c>
    </row>
    <row r="426" hidden="1">
      <c r="B426" s="64">
        <v>44173</v>
      </c>
      <c r="C426" s="9" t="s">
        <v>2952</v>
      </c>
      <c r="D426" s="6" t="s">
        <v>2604</v>
      </c>
      <c r="E426" s="6" t="s">
        <v>2697</v>
      </c>
      <c r="F426" s="6" t="s">
        <v>2226</v>
      </c>
      <c r="G426" s="6" t="s">
        <v>2227</v>
      </c>
      <c r="H426" s="7">
        <v>2160</v>
      </c>
      <c r="I426" s="8">
        <f>SUMIF(Cargas!$C$6:$C$1064,C426,Cargas!$O$6:$O$1064)</f>
        <v>0</v>
      </c>
      <c r="J426" s="17">
        <f t="shared" si="7"/>
        <v>2160</v>
      </c>
      <c r="K426" s="46">
        <v>1388438</v>
      </c>
      <c r="L426" s="34">
        <v>214700</v>
      </c>
    </row>
    <row r="427" hidden="1">
      <c r="B427" s="64">
        <v>44173</v>
      </c>
      <c r="C427" s="9" t="s">
        <v>2953</v>
      </c>
      <c r="D427" s="6" t="s">
        <v>2954</v>
      </c>
      <c r="E427" s="6" t="s">
        <v>2778</v>
      </c>
      <c r="F427" s="6" t="s">
        <v>2226</v>
      </c>
      <c r="G427" s="6" t="s">
        <v>2258</v>
      </c>
      <c r="H427" s="7">
        <v>4320</v>
      </c>
      <c r="I427" s="8">
        <f>SUMIF(Cargas!$C$6:$C$1064,C427,Cargas!$O$6:$O$1064)</f>
        <v>0</v>
      </c>
      <c r="J427" s="17">
        <f t="shared" si="7"/>
        <v>4320</v>
      </c>
      <c r="K427" s="34">
        <v>1389014</v>
      </c>
      <c r="L427" s="34">
        <v>570</v>
      </c>
    </row>
    <row r="428" hidden="1">
      <c r="B428" s="64">
        <v>44173</v>
      </c>
      <c r="C428" s="9" t="s">
        <v>2955</v>
      </c>
      <c r="D428" s="6" t="s">
        <v>2956</v>
      </c>
      <c r="E428" s="6" t="s">
        <v>2778</v>
      </c>
      <c r="F428" s="6" t="s">
        <v>2226</v>
      </c>
      <c r="G428" s="6" t="s">
        <v>2258</v>
      </c>
      <c r="H428" s="7">
        <v>2160</v>
      </c>
      <c r="I428" s="8">
        <f>SUMIF(Cargas!$C$6:$C$1064,C428,Cargas!$O$6:$O$1064)</f>
        <v>0</v>
      </c>
      <c r="J428" s="17">
        <f t="shared" si="7"/>
        <v>2160</v>
      </c>
      <c r="K428" s="34">
        <v>1389015</v>
      </c>
      <c r="L428" s="34">
        <v>571</v>
      </c>
    </row>
    <row r="429" hidden="1">
      <c r="B429" s="64">
        <v>44173</v>
      </c>
      <c r="C429" s="9" t="s">
        <v>2957</v>
      </c>
      <c r="D429" s="6" t="s">
        <v>2958</v>
      </c>
      <c r="E429" s="6" t="s">
        <v>2778</v>
      </c>
      <c r="F429" s="6" t="s">
        <v>2226</v>
      </c>
      <c r="G429" s="6" t="s">
        <v>2227</v>
      </c>
      <c r="H429" s="7">
        <v>2160</v>
      </c>
      <c r="I429" s="8">
        <f>SUMIF(Cargas!$C$6:$C$1064,C429,Cargas!$O$6:$O$1064)</f>
        <v>0</v>
      </c>
      <c r="J429" s="17">
        <f t="shared" si="7"/>
        <v>2160</v>
      </c>
      <c r="K429" s="34">
        <v>1389016</v>
      </c>
      <c r="L429" s="34">
        <v>709</v>
      </c>
    </row>
    <row r="430" hidden="1">
      <c r="B430" s="64">
        <v>44173</v>
      </c>
      <c r="C430" s="9" t="s">
        <v>2959</v>
      </c>
      <c r="D430" s="6" t="s">
        <v>2960</v>
      </c>
      <c r="E430" s="6" t="s">
        <v>2778</v>
      </c>
      <c r="F430" s="6" t="s">
        <v>2226</v>
      </c>
      <c r="G430" s="6" t="s">
        <v>2227</v>
      </c>
      <c r="H430" s="7">
        <v>2160</v>
      </c>
      <c r="I430" s="8">
        <f>SUMIF(Cargas!$C$6:$C$1064,C430,Cargas!$O$6:$O$1064)</f>
        <v>0</v>
      </c>
      <c r="J430" s="17">
        <f t="shared" si="7"/>
        <v>2160</v>
      </c>
      <c r="K430" s="34">
        <v>1389017</v>
      </c>
      <c r="L430" s="34">
        <v>703</v>
      </c>
    </row>
    <row r="431" hidden="1">
      <c r="B431" s="64">
        <v>44173</v>
      </c>
      <c r="C431" s="9" t="s">
        <v>2961</v>
      </c>
      <c r="D431" s="6" t="s">
        <v>2568</v>
      </c>
      <c r="E431" s="6" t="s">
        <v>2697</v>
      </c>
      <c r="F431" s="6" t="s">
        <v>2226</v>
      </c>
      <c r="G431" s="6" t="s">
        <v>2227</v>
      </c>
      <c r="H431" s="7">
        <v>2100</v>
      </c>
      <c r="I431" s="8">
        <f>SUMIF(Cargas!$C$6:$C$1064,C431,Cargas!$O$6:$O$1064)</f>
        <v>0</v>
      </c>
      <c r="J431" s="17">
        <f t="shared" si="7"/>
        <v>2100</v>
      </c>
      <c r="K431" s="34">
        <v>1388439</v>
      </c>
      <c r="L431" s="34">
        <v>214730</v>
      </c>
    </row>
    <row r="432" hidden="1">
      <c r="A432" s="0" t="s">
        <v>0</v>
      </c>
      <c r="B432" s="64">
        <v>44175</v>
      </c>
      <c r="C432" s="9" t="s">
        <v>2962</v>
      </c>
      <c r="D432" s="6" t="s">
        <v>2963</v>
      </c>
      <c r="E432" s="6" t="s">
        <v>2916</v>
      </c>
      <c r="F432" s="6" t="s">
        <v>2226</v>
      </c>
      <c r="G432" s="6" t="s">
        <v>2227</v>
      </c>
      <c r="H432" s="7">
        <v>1440</v>
      </c>
      <c r="I432" s="8">
        <f>SUMIF(Cargas!$C$6:$C$1064,C432,Cargas!$O$6:$O$1064)</f>
        <v>0</v>
      </c>
      <c r="J432" s="17">
        <f t="shared" si="7"/>
        <v>1440</v>
      </c>
      <c r="K432" s="34">
        <v>1389833</v>
      </c>
      <c r="L432" s="34">
        <v>177</v>
      </c>
    </row>
    <row r="433" hidden="1">
      <c r="A433" s="0" t="s">
        <v>0</v>
      </c>
      <c r="B433" s="64">
        <v>44176</v>
      </c>
      <c r="C433" s="9" t="s">
        <v>2964</v>
      </c>
      <c r="D433" s="6" t="s">
        <v>2965</v>
      </c>
      <c r="E433" s="6" t="s">
        <v>2966</v>
      </c>
      <c r="F433" s="6" t="s">
        <v>2226</v>
      </c>
      <c r="G433" s="6" t="s">
        <v>2258</v>
      </c>
      <c r="H433" s="7">
        <v>1440</v>
      </c>
      <c r="I433" s="8">
        <f>SUMIF(Cargas!$C$6:$C$1064,C433,Cargas!$O$6:$O$1064)</f>
        <v>0</v>
      </c>
      <c r="J433" s="17">
        <f t="shared" si="7"/>
        <v>1440</v>
      </c>
      <c r="K433" s="34">
        <v>1389500</v>
      </c>
      <c r="L433" s="34">
        <v>204245</v>
      </c>
    </row>
    <row r="434" hidden="1">
      <c r="A434" s="0" t="s">
        <v>0</v>
      </c>
      <c r="B434" s="64">
        <v>44176</v>
      </c>
      <c r="C434" s="9" t="s">
        <v>2967</v>
      </c>
      <c r="D434" s="6" t="s">
        <v>2968</v>
      </c>
      <c r="E434" s="6" t="s">
        <v>2712</v>
      </c>
      <c r="F434" s="6" t="s">
        <v>2226</v>
      </c>
      <c r="G434" s="6" t="s">
        <v>2258</v>
      </c>
      <c r="H434" s="7">
        <v>2110</v>
      </c>
      <c r="I434" s="8">
        <f>SUMIF(Cargas!$C$6:$C$1064,C434,Cargas!$O$6:$O$1064)</f>
        <v>0</v>
      </c>
      <c r="J434" s="17">
        <f t="shared" si="7"/>
        <v>2110</v>
      </c>
      <c r="K434" s="34">
        <v>1390232</v>
      </c>
      <c r="L434" s="34">
        <v>203909</v>
      </c>
    </row>
    <row r="435" hidden="1">
      <c r="B435" s="64">
        <v>44180</v>
      </c>
      <c r="C435" s="9" t="s">
        <v>2969</v>
      </c>
      <c r="D435" s="6" t="s">
        <v>2612</v>
      </c>
      <c r="E435" s="6" t="s">
        <v>2697</v>
      </c>
      <c r="F435" s="6" t="s">
        <v>2226</v>
      </c>
      <c r="G435" s="6" t="s">
        <v>2227</v>
      </c>
      <c r="H435" s="7">
        <v>2160</v>
      </c>
      <c r="I435" s="8">
        <f>SUMIF(Cargas!$C$6:$C$1064,C435,Cargas!$O$6:$O$1064)</f>
        <v>0</v>
      </c>
      <c r="J435" s="17">
        <f t="shared" si="7"/>
        <v>2160</v>
      </c>
      <c r="K435" s="46">
        <v>1388441</v>
      </c>
      <c r="L435" s="34">
        <v>11715</v>
      </c>
    </row>
    <row r="436" hidden="1">
      <c r="B436" s="64">
        <v>44180</v>
      </c>
      <c r="C436" s="9" t="s">
        <v>2970</v>
      </c>
      <c r="D436" s="6" t="s">
        <v>2971</v>
      </c>
      <c r="E436" s="6" t="s">
        <v>2778</v>
      </c>
      <c r="F436" s="6" t="s">
        <v>2221</v>
      </c>
      <c r="G436" s="6" t="s">
        <v>2222</v>
      </c>
      <c r="H436" s="7">
        <f>1080*18</f>
        <v>19440</v>
      </c>
      <c r="I436" s="8">
        <f>SUMIF(Cargas!$C$6:$C$1064,C436,Cargas!$O$6:$O$1064)</f>
        <v>0</v>
      </c>
      <c r="J436" s="17">
        <f t="shared" si="7"/>
        <v>19440</v>
      </c>
      <c r="K436" s="34">
        <v>1389836</v>
      </c>
      <c r="L436" s="34">
        <v>4946</v>
      </c>
    </row>
    <row r="437" hidden="1">
      <c r="B437" s="64">
        <v>44180</v>
      </c>
      <c r="C437" s="9" t="s">
        <v>2972</v>
      </c>
      <c r="D437" s="6" t="s">
        <v>2581</v>
      </c>
      <c r="E437" s="6" t="s">
        <v>2697</v>
      </c>
      <c r="F437" s="6" t="s">
        <v>2226</v>
      </c>
      <c r="G437" s="6" t="s">
        <v>2227</v>
      </c>
      <c r="H437" s="7">
        <v>2100</v>
      </c>
      <c r="I437" s="8">
        <f>SUMIF(Cargas!$C$6:$C$1064,C437,Cargas!$O$6:$O$1064)</f>
        <v>0</v>
      </c>
      <c r="J437" s="17">
        <f t="shared" si="7"/>
        <v>2100</v>
      </c>
      <c r="K437" s="34">
        <v>1388443</v>
      </c>
      <c r="L437" s="34">
        <v>11695</v>
      </c>
    </row>
    <row r="438" hidden="1">
      <c r="A438" s="0" t="s">
        <v>0</v>
      </c>
      <c r="B438" s="64">
        <v>44182</v>
      </c>
      <c r="C438" s="9" t="s">
        <v>2973</v>
      </c>
      <c r="D438" s="6" t="s">
        <v>2974</v>
      </c>
      <c r="E438" s="6" t="s">
        <v>2916</v>
      </c>
      <c r="F438" s="6" t="s">
        <v>2226</v>
      </c>
      <c r="G438" s="6" t="s">
        <v>2227</v>
      </c>
      <c r="H438" s="7">
        <v>1440</v>
      </c>
      <c r="I438" s="8">
        <f>SUMIF(Cargas!$C$6:$C$1064,C438,Cargas!$O$6:$O$1064)</f>
        <v>0</v>
      </c>
      <c r="J438" s="17">
        <f t="shared" si="7"/>
        <v>1440</v>
      </c>
      <c r="K438" s="34">
        <v>1389834</v>
      </c>
      <c r="L438" s="34">
        <v>4038</v>
      </c>
    </row>
    <row r="439" hidden="1">
      <c r="B439" s="64">
        <v>44187</v>
      </c>
      <c r="C439" s="9" t="s">
        <v>2975</v>
      </c>
      <c r="D439" s="6" t="s">
        <v>2622</v>
      </c>
      <c r="E439" s="6" t="s">
        <v>2697</v>
      </c>
      <c r="F439" s="6" t="s">
        <v>2226</v>
      </c>
      <c r="G439" s="6" t="s">
        <v>2227</v>
      </c>
      <c r="H439" s="7">
        <v>2160</v>
      </c>
      <c r="I439" s="8">
        <f>SUMIF(Cargas!$C$6:$C$1064,C439,Cargas!$O$6:$O$1064)</f>
        <v>0</v>
      </c>
      <c r="J439" s="17">
        <f t="shared" si="7"/>
        <v>2160</v>
      </c>
      <c r="K439" s="46">
        <v>1388444</v>
      </c>
      <c r="L439" s="34">
        <v>4062</v>
      </c>
    </row>
    <row r="440" hidden="1">
      <c r="B440" s="64">
        <v>44187</v>
      </c>
      <c r="C440" s="9" t="s">
        <v>2976</v>
      </c>
      <c r="D440" s="6" t="s">
        <v>2977</v>
      </c>
      <c r="E440" s="6" t="s">
        <v>2778</v>
      </c>
      <c r="F440" s="6" t="s">
        <v>2226</v>
      </c>
      <c r="G440" s="6" t="s">
        <v>2258</v>
      </c>
      <c r="H440" s="7">
        <v>2160</v>
      </c>
      <c r="I440" s="8">
        <f>SUMIF(Cargas!$C$6:$C$1064,C440,Cargas!$O$6:$O$1064)</f>
        <v>0</v>
      </c>
      <c r="J440" s="17">
        <f t="shared" si="7"/>
        <v>2160</v>
      </c>
      <c r="K440" s="34">
        <v>1390111</v>
      </c>
      <c r="L440" s="34">
        <v>4114</v>
      </c>
    </row>
    <row r="441" hidden="1">
      <c r="B441" s="64">
        <v>44187</v>
      </c>
      <c r="C441" s="9" t="s">
        <v>2978</v>
      </c>
      <c r="D441" s="6" t="s">
        <v>2979</v>
      </c>
      <c r="E441" s="6" t="s">
        <v>2697</v>
      </c>
      <c r="F441" s="6" t="s">
        <v>2226</v>
      </c>
      <c r="G441" s="6" t="s">
        <v>2227</v>
      </c>
      <c r="H441" s="7">
        <v>2100</v>
      </c>
      <c r="I441" s="8">
        <f>SUMIF(Cargas!$C$6:$C$1064,C441,Cargas!$O$6:$O$1064)</f>
        <v>0</v>
      </c>
      <c r="J441" s="17">
        <f t="shared" si="7"/>
        <v>2100</v>
      </c>
      <c r="K441" s="34">
        <v>1388445</v>
      </c>
      <c r="L441" s="34">
        <v>4089</v>
      </c>
    </row>
    <row r="442" hidden="1">
      <c r="B442" s="64">
        <v>44194</v>
      </c>
      <c r="C442" s="9" t="s">
        <v>2980</v>
      </c>
      <c r="D442" s="6" t="s">
        <v>2630</v>
      </c>
      <c r="E442" s="6" t="s">
        <v>2697</v>
      </c>
      <c r="F442" s="6" t="s">
        <v>2226</v>
      </c>
      <c r="G442" s="6" t="s">
        <v>2227</v>
      </c>
      <c r="H442" s="7">
        <v>2160</v>
      </c>
      <c r="I442" s="8">
        <f>SUMIF(Cargas!$C$6:$C$1064,C442,Cargas!$O$6:$O$1064)</f>
        <v>0</v>
      </c>
      <c r="J442" s="17">
        <f t="shared" si="7"/>
        <v>2160</v>
      </c>
      <c r="K442" s="46">
        <v>1388446</v>
      </c>
      <c r="L442" s="34">
        <v>11709</v>
      </c>
    </row>
    <row r="443" hidden="1">
      <c r="B443" s="64">
        <v>44194</v>
      </c>
      <c r="C443" s="9" t="s">
        <v>2981</v>
      </c>
      <c r="D443" s="6" t="s">
        <v>2982</v>
      </c>
      <c r="E443" s="6" t="s">
        <v>2778</v>
      </c>
      <c r="F443" s="6" t="s">
        <v>2226</v>
      </c>
      <c r="G443" s="6" t="s">
        <v>2258</v>
      </c>
      <c r="H443" s="7">
        <v>2160</v>
      </c>
      <c r="I443" s="8">
        <f>SUMIF(Cargas!$C$6:$C$1064,C443,Cargas!$O$6:$O$1064)</f>
        <v>0</v>
      </c>
      <c r="J443" s="17">
        <f t="shared" si="7"/>
        <v>2160</v>
      </c>
      <c r="K443" s="34">
        <v>1397083</v>
      </c>
      <c r="L443" s="34">
        <v>9191</v>
      </c>
    </row>
    <row r="444" hidden="1">
      <c r="B444" s="64">
        <v>44194</v>
      </c>
      <c r="C444" s="9" t="s">
        <v>2983</v>
      </c>
      <c r="D444" s="6" t="s">
        <v>2606</v>
      </c>
      <c r="E444" s="6" t="s">
        <v>2697</v>
      </c>
      <c r="F444" s="6" t="s">
        <v>2226</v>
      </c>
      <c r="G444" s="6" t="s">
        <v>2227</v>
      </c>
      <c r="H444" s="7">
        <v>2100</v>
      </c>
      <c r="I444" s="8">
        <f>SUMIF(Cargas!$C$6:$C$1064,C444,Cargas!$O$6:$O$1064)</f>
        <v>0</v>
      </c>
      <c r="J444" s="17">
        <f t="shared" si="7"/>
        <v>2100</v>
      </c>
      <c r="K444" s="34">
        <v>1388448</v>
      </c>
      <c r="L444" s="34">
        <v>9236</v>
      </c>
    </row>
    <row r="445" hidden="1">
      <c r="B445" s="64">
        <v>44544</v>
      </c>
      <c r="C445" s="9" t="s">
        <v>2984</v>
      </c>
      <c r="D445" s="6" t="s">
        <v>2985</v>
      </c>
      <c r="E445" s="6" t="s">
        <v>2225</v>
      </c>
      <c r="F445" s="6" t="s">
        <v>2226</v>
      </c>
      <c r="G445" s="6" t="s">
        <v>2227</v>
      </c>
      <c r="H445" s="7">
        <v>1680</v>
      </c>
      <c r="I445" s="8">
        <f>SUMIF(Cargas!$C$6:$C$1166,C445,Cargas!$O$6:$O$1166)</f>
        <v>0</v>
      </c>
      <c r="J445" s="17">
        <f t="shared" si="7"/>
        <v>1680</v>
      </c>
      <c r="K445" s="34">
        <v>1417625</v>
      </c>
      <c r="L445" s="34">
        <v>919</v>
      </c>
    </row>
    <row r="446" hidden="1">
      <c r="B446" s="64">
        <v>44820</v>
      </c>
      <c r="C446" s="9" t="s">
        <v>2986</v>
      </c>
      <c r="D446" s="6" t="s">
        <v>2842</v>
      </c>
      <c r="E446" s="6" t="s">
        <v>2987</v>
      </c>
      <c r="F446" s="6" t="s">
        <v>2226</v>
      </c>
      <c r="G446" s="6" t="s">
        <v>2988</v>
      </c>
      <c r="H446" s="7">
        <v>1760</v>
      </c>
      <c r="I446" s="8">
        <f>SUMIF(Cargas!$C$6:$C$1064,C446,Cargas!$O$6:$O$1064)</f>
        <v>0</v>
      </c>
      <c r="J446" s="17">
        <f t="shared" si="7"/>
        <v>1760</v>
      </c>
      <c r="K446" s="34"/>
      <c r="L446" s="34">
        <v>171340</v>
      </c>
    </row>
    <row r="447" hidden="1">
      <c r="B447" s="64">
        <v>44527</v>
      </c>
      <c r="C447" s="9" t="s">
        <v>2989</v>
      </c>
      <c r="D447" s="6" t="s">
        <v>2315</v>
      </c>
      <c r="E447" s="6" t="s">
        <v>865</v>
      </c>
      <c r="F447" s="6" t="s">
        <v>978</v>
      </c>
      <c r="G447" s="6" t="s">
        <v>2584</v>
      </c>
      <c r="H447" s="7">
        <v>1000</v>
      </c>
      <c r="I447" s="8">
        <f>SUMIF(Cargas!$C$6:$C$1166,C447,Cargas!$O$6:$O$1064)</f>
        <v>0</v>
      </c>
      <c r="J447" s="17">
        <f t="shared" si="7"/>
        <v>1000</v>
      </c>
      <c r="K447" s="34">
        <v>1416859</v>
      </c>
      <c r="L447" s="34">
        <v>217452</v>
      </c>
    </row>
    <row r="448" hidden="1">
      <c r="B448" s="64">
        <v>44535</v>
      </c>
      <c r="C448" s="9" t="s">
        <v>2990</v>
      </c>
      <c r="D448" s="6" t="s">
        <v>2991</v>
      </c>
      <c r="E448" s="6" t="s">
        <v>2220</v>
      </c>
      <c r="F448" s="6" t="s">
        <v>2221</v>
      </c>
      <c r="G448" s="6" t="s">
        <v>2222</v>
      </c>
      <c r="H448" s="7">
        <v>5400</v>
      </c>
      <c r="I448" s="8">
        <f>SUMIF(Cargas!$C$6:$C$1064,C448,Cargas!$O$6:$O$1064)</f>
        <v>0</v>
      </c>
      <c r="J448" s="17">
        <f t="shared" si="7"/>
        <v>5400</v>
      </c>
      <c r="K448" s="34">
        <v>1416166</v>
      </c>
      <c r="L448" s="34">
        <v>3738</v>
      </c>
    </row>
    <row r="449" hidden="1">
      <c r="B449" s="64">
        <v>44364</v>
      </c>
      <c r="C449" s="9" t="s">
        <v>2992</v>
      </c>
      <c r="D449" s="6" t="s">
        <v>2993</v>
      </c>
      <c r="E449" s="6" t="s">
        <v>2994</v>
      </c>
      <c r="F449" s="6" t="s">
        <v>2226</v>
      </c>
      <c r="G449" s="6" t="s">
        <v>2988</v>
      </c>
      <c r="H449" s="7">
        <v>2240</v>
      </c>
      <c r="I449" s="8">
        <f>SUMIF(Cargas!$C$6:$C$1064,C449,Cargas!$O$6:$O$1064)</f>
        <v>0</v>
      </c>
      <c r="J449" s="17">
        <f t="shared" si="7"/>
        <v>2240</v>
      </c>
      <c r="K449" s="34">
        <v>1401914</v>
      </c>
      <c r="L449" s="34">
        <v>103929</v>
      </c>
    </row>
    <row r="450" hidden="1">
      <c r="B450" s="64">
        <v>44454</v>
      </c>
      <c r="C450" s="9" t="s">
        <v>2995</v>
      </c>
      <c r="D450" s="6" t="s">
        <v>2996</v>
      </c>
      <c r="E450" s="6" t="s">
        <v>2994</v>
      </c>
      <c r="F450" s="6" t="s">
        <v>2226</v>
      </c>
      <c r="G450" s="6" t="s">
        <v>2988</v>
      </c>
      <c r="H450" s="7">
        <v>2304</v>
      </c>
      <c r="I450" s="8">
        <f>SUMIF(Cargas!$C$6:$C$1064,C450,Cargas!$O$6:$O$1064)</f>
        <v>0</v>
      </c>
      <c r="J450" s="17">
        <f t="shared" si="7"/>
        <v>2304</v>
      </c>
      <c r="K450" s="34">
        <v>1409392</v>
      </c>
      <c r="L450" s="34">
        <v>165473</v>
      </c>
    </row>
    <row r="451" hidden="1">
      <c r="B451" s="64">
        <v>44551</v>
      </c>
      <c r="C451" s="9" t="s">
        <v>2997</v>
      </c>
      <c r="D451" s="6" t="s">
        <v>2998</v>
      </c>
      <c r="E451" s="6" t="s">
        <v>2220</v>
      </c>
      <c r="F451" s="6" t="s">
        <v>2226</v>
      </c>
      <c r="G451" s="6" t="s">
        <v>2258</v>
      </c>
      <c r="H451" s="7">
        <v>3240</v>
      </c>
      <c r="I451" s="8">
        <f>SUMIF(Cargas!$C$6:$C$1064,C451,Cargas!$O$6:$O$1064)</f>
        <v>0</v>
      </c>
      <c r="J451" s="17">
        <f t="shared" si="7"/>
        <v>3240</v>
      </c>
      <c r="K451" s="34">
        <v>1418350</v>
      </c>
      <c r="L451" s="34">
        <v>3848</v>
      </c>
    </row>
    <row r="452" hidden="1">
      <c r="B452" s="64">
        <v>44551</v>
      </c>
      <c r="C452" s="9" t="s">
        <v>2999</v>
      </c>
      <c r="D452" s="6" t="s">
        <v>3000</v>
      </c>
      <c r="E452" s="6" t="s">
        <v>2220</v>
      </c>
      <c r="F452" s="6" t="s">
        <v>2226</v>
      </c>
      <c r="G452" s="6" t="s">
        <v>2258</v>
      </c>
      <c r="H452" s="7">
        <v>4320</v>
      </c>
      <c r="I452" s="8">
        <f>SUMIF(Cargas!$C$6:$C$1064,C452,Cargas!$O$6:$O$1064)</f>
        <v>0</v>
      </c>
      <c r="J452" s="17">
        <f t="shared" si="7"/>
        <v>4320</v>
      </c>
      <c r="K452" s="34">
        <v>1418349</v>
      </c>
      <c r="L452" s="34">
        <v>3911</v>
      </c>
    </row>
    <row r="453" hidden="1">
      <c r="B453" s="64">
        <v>44321</v>
      </c>
      <c r="C453" s="9" t="s">
        <v>3001</v>
      </c>
      <c r="D453" s="6" t="s">
        <v>3002</v>
      </c>
      <c r="E453" s="6" t="s">
        <v>3003</v>
      </c>
      <c r="F453" s="6" t="s">
        <v>2226</v>
      </c>
      <c r="G453" s="6" t="s">
        <v>2227</v>
      </c>
      <c r="H453" s="7">
        <v>1920</v>
      </c>
      <c r="I453" s="8">
        <f>SUMIF(Cargas!$C$6:$C$1064,C453,Cargas!$O$6:$O$1064)</f>
        <v>0</v>
      </c>
      <c r="J453" s="17">
        <f t="shared" si="7"/>
        <v>1920</v>
      </c>
      <c r="K453" s="34">
        <v>1397113</v>
      </c>
      <c r="L453" s="34">
        <v>82620</v>
      </c>
    </row>
    <row r="454" hidden="1">
      <c r="B454" s="64">
        <v>44551</v>
      </c>
      <c r="C454" s="9" t="s">
        <v>3004</v>
      </c>
      <c r="D454" s="6" t="s">
        <v>3005</v>
      </c>
      <c r="E454" s="6" t="s">
        <v>2220</v>
      </c>
      <c r="F454" s="6" t="s">
        <v>2226</v>
      </c>
      <c r="G454" s="6" t="s">
        <v>2227</v>
      </c>
      <c r="H454" s="7">
        <v>2160</v>
      </c>
      <c r="I454" s="8">
        <f>SUMIF(Cargas!$C$6:$C$1064,C454,Cargas!$O$6:$O$1064)</f>
        <v>0</v>
      </c>
      <c r="J454" s="17">
        <f t="shared" si="7"/>
        <v>2160</v>
      </c>
      <c r="K454" s="34">
        <v>1418517</v>
      </c>
      <c r="L454" s="34">
        <v>4696</v>
      </c>
    </row>
    <row r="455" hidden="1">
      <c r="B455" s="64">
        <v>44321</v>
      </c>
      <c r="C455" s="9" t="s">
        <v>3006</v>
      </c>
      <c r="D455" s="6" t="s">
        <v>2398</v>
      </c>
      <c r="E455" s="6" t="s">
        <v>3007</v>
      </c>
      <c r="F455" s="6" t="s">
        <v>2226</v>
      </c>
      <c r="G455" s="6" t="s">
        <v>2282</v>
      </c>
      <c r="H455" s="7">
        <v>2184</v>
      </c>
      <c r="I455" s="8">
        <f>SUMIF(Cargas!$C$6:$C$1064,C455,Cargas!$O$6:$O$1064)</f>
        <v>0</v>
      </c>
      <c r="J455" s="17">
        <f t="shared" si="7"/>
        <v>2184</v>
      </c>
      <c r="K455" s="34">
        <v>1399430</v>
      </c>
      <c r="L455" s="34">
        <v>76784</v>
      </c>
    </row>
    <row r="456" hidden="1">
      <c r="B456" s="64">
        <v>44342</v>
      </c>
      <c r="C456" s="9" t="s">
        <v>3008</v>
      </c>
      <c r="D456" s="6" t="s">
        <v>2451</v>
      </c>
      <c r="E456" s="6" t="s">
        <v>3007</v>
      </c>
      <c r="F456" s="6" t="s">
        <v>2226</v>
      </c>
      <c r="G456" s="6" t="s">
        <v>2258</v>
      </c>
      <c r="H456" s="7">
        <v>2288</v>
      </c>
      <c r="I456" s="8">
        <f>SUMIF(Cargas!$C$6:$C$1064,C456,Cargas!$O$6:$O$1064)</f>
        <v>0</v>
      </c>
      <c r="J456" s="17">
        <f t="shared" si="7"/>
        <v>2288</v>
      </c>
      <c r="K456" s="34">
        <v>1401113</v>
      </c>
      <c r="L456" s="34">
        <v>90383</v>
      </c>
    </row>
    <row r="457" hidden="1">
      <c r="B457" s="64">
        <v>44349</v>
      </c>
      <c r="C457" s="9" t="s">
        <v>3009</v>
      </c>
      <c r="D457" s="6" t="s">
        <v>2518</v>
      </c>
      <c r="E457" s="6" t="s">
        <v>3007</v>
      </c>
      <c r="F457" s="6" t="s">
        <v>2226</v>
      </c>
      <c r="G457" s="6" t="s">
        <v>2258</v>
      </c>
      <c r="H457" s="7">
        <v>2288</v>
      </c>
      <c r="I457" s="8">
        <f>SUMIF(Cargas!$C$6:$C$1064,C457,Cargas!$O$6:$O$1064)</f>
        <v>0</v>
      </c>
      <c r="J457" s="17">
        <f t="shared" si="7"/>
        <v>2288</v>
      </c>
      <c r="K457" s="34">
        <v>1401909</v>
      </c>
      <c r="L457" s="34">
        <v>95228</v>
      </c>
    </row>
    <row r="458" hidden="1">
      <c r="B458" s="64">
        <v>44551</v>
      </c>
      <c r="C458" s="9" t="s">
        <v>3010</v>
      </c>
      <c r="D458" s="6" t="s">
        <v>3011</v>
      </c>
      <c r="E458" s="6" t="s">
        <v>2220</v>
      </c>
      <c r="F458" s="6" t="s">
        <v>2226</v>
      </c>
      <c r="G458" s="6" t="s">
        <v>2227</v>
      </c>
      <c r="H458" s="7">
        <v>1128</v>
      </c>
      <c r="I458" s="8">
        <f>SUMIF(Cargas!$C$6:$C$1064,C458,Cargas!$O$6:$O$1064)</f>
        <v>0</v>
      </c>
      <c r="J458" s="17">
        <f t="shared" si="7"/>
        <v>1128</v>
      </c>
      <c r="K458" s="34">
        <v>1418352</v>
      </c>
      <c r="L458" s="34">
        <v>4824</v>
      </c>
    </row>
    <row r="459" hidden="1">
      <c r="B459" s="64">
        <v>44470</v>
      </c>
      <c r="C459" s="9" t="s">
        <v>3012</v>
      </c>
      <c r="D459" s="6" t="s">
        <v>3013</v>
      </c>
      <c r="E459" s="6" t="s">
        <v>2780</v>
      </c>
      <c r="F459" s="6" t="s">
        <v>2226</v>
      </c>
      <c r="G459" s="6" t="s">
        <v>2258</v>
      </c>
      <c r="H459" s="7">
        <v>2280</v>
      </c>
      <c r="I459" s="8">
        <f>SUMIF(Cargas!$C$6:$C$1166,C459,Cargas!$O$6:$O$1064)</f>
        <v>0</v>
      </c>
      <c r="J459" s="17">
        <f t="shared" si="7"/>
        <v>2280</v>
      </c>
      <c r="K459" s="34">
        <v>1411606</v>
      </c>
      <c r="L459" s="34">
        <v>177459</v>
      </c>
    </row>
    <row r="460" hidden="1">
      <c r="B460" s="64">
        <v>44820</v>
      </c>
      <c r="C460" s="9" t="s">
        <v>3014</v>
      </c>
      <c r="D460" s="6" t="s">
        <v>2846</v>
      </c>
      <c r="E460" s="6" t="s">
        <v>2987</v>
      </c>
      <c r="F460" s="6" t="s">
        <v>2226</v>
      </c>
      <c r="G460" s="6" t="s">
        <v>3015</v>
      </c>
      <c r="H460" s="7">
        <v>1760</v>
      </c>
      <c r="I460" s="8">
        <f>SUMIF(Cargas!$C$6:$C$1064,C460,Cargas!$O$6:$O$1064)</f>
        <v>0</v>
      </c>
      <c r="J460" s="17">
        <f ref="J460:J523" t="shared" si="8">IF(ABS(H460-I460)&lt;20,0,H460-I460)</f>
        <v>1760</v>
      </c>
      <c r="K460" s="34"/>
      <c r="L460" s="34">
        <v>171396</v>
      </c>
    </row>
    <row r="461" hidden="1">
      <c r="B461" s="64">
        <v>44489</v>
      </c>
      <c r="C461" s="9" t="s">
        <v>3016</v>
      </c>
      <c r="D461" s="6" t="s">
        <v>2572</v>
      </c>
      <c r="E461" s="6" t="s">
        <v>2230</v>
      </c>
      <c r="F461" s="6" t="s">
        <v>2221</v>
      </c>
      <c r="G461" s="6" t="s">
        <v>2222</v>
      </c>
      <c r="H461" s="7">
        <v>2310</v>
      </c>
      <c r="I461" s="8">
        <f>SUMIF(Cargas!$C$6:$C$1166,C461,Cargas!$O$6:$O$1064)</f>
        <v>0</v>
      </c>
      <c r="J461" s="17">
        <f t="shared" si="8"/>
        <v>2310</v>
      </c>
      <c r="K461" s="34">
        <v>1412776</v>
      </c>
      <c r="L461" s="34">
        <v>211817</v>
      </c>
    </row>
    <row r="462" hidden="1" ht="13.5" customHeight="1">
      <c r="B462" s="64">
        <v>44495</v>
      </c>
      <c r="C462" s="9" t="s">
        <v>3017</v>
      </c>
      <c r="D462" s="6" t="s">
        <v>2608</v>
      </c>
      <c r="E462" s="6" t="s">
        <v>2230</v>
      </c>
      <c r="F462" s="6" t="s">
        <v>2221</v>
      </c>
      <c r="G462" s="6" t="s">
        <v>2222</v>
      </c>
      <c r="H462" s="7">
        <v>2310</v>
      </c>
      <c r="I462" s="8">
        <f>SUMIF(Cargas!$C$6:$C$1166,C462,Cargas!$O$6:$O$1064)</f>
        <v>0</v>
      </c>
      <c r="J462" s="17">
        <f t="shared" si="8"/>
        <v>2310</v>
      </c>
      <c r="K462" s="34">
        <v>1413872</v>
      </c>
      <c r="L462" s="34">
        <v>223338</v>
      </c>
    </row>
    <row r="463" hidden="1">
      <c r="B463" s="64">
        <v>44523</v>
      </c>
      <c r="C463" s="9" t="s">
        <v>3018</v>
      </c>
      <c r="D463" s="6" t="s">
        <v>3019</v>
      </c>
      <c r="E463" s="6" t="s">
        <v>3020</v>
      </c>
      <c r="F463" s="6" t="s">
        <v>2221</v>
      </c>
      <c r="G463" s="6" t="s">
        <v>2222</v>
      </c>
      <c r="H463" s="7">
        <v>1352</v>
      </c>
      <c r="I463" s="8">
        <f>SUMIF(Cargas!$C$6:$C$1166,C463,Cargas!$O$6:$O$1064)</f>
        <v>0</v>
      </c>
      <c r="J463" s="17">
        <f t="shared" si="8"/>
        <v>1352</v>
      </c>
      <c r="K463" s="34">
        <v>1415632</v>
      </c>
      <c r="L463" s="34">
        <v>238762</v>
      </c>
    </row>
    <row r="464" hidden="1">
      <c r="B464" s="64">
        <v>44825</v>
      </c>
      <c r="C464" s="9" t="s">
        <v>3021</v>
      </c>
      <c r="D464" s="6" t="s">
        <v>2860</v>
      </c>
      <c r="E464" s="6" t="s">
        <v>2987</v>
      </c>
      <c r="F464" s="6" t="s">
        <v>2226</v>
      </c>
      <c r="G464" s="6" t="s">
        <v>3015</v>
      </c>
      <c r="H464" s="7">
        <v>1760</v>
      </c>
      <c r="I464" s="8">
        <v>1760</v>
      </c>
      <c r="J464" s="17">
        <f t="shared" si="8"/>
        <v>0</v>
      </c>
      <c r="K464" s="34">
        <v>1440073</v>
      </c>
      <c r="L464" s="34">
        <v>175042</v>
      </c>
    </row>
    <row r="465" hidden="1">
      <c r="B465" s="64">
        <v>44826</v>
      </c>
      <c r="C465" s="9" t="s">
        <v>3022</v>
      </c>
      <c r="D465" s="6" t="s">
        <v>2862</v>
      </c>
      <c r="E465" s="6" t="s">
        <v>2987</v>
      </c>
      <c r="F465" s="6" t="s">
        <v>2226</v>
      </c>
      <c r="G465" s="6" t="s">
        <v>3015</v>
      </c>
      <c r="H465" s="7">
        <v>1760</v>
      </c>
      <c r="I465" s="8">
        <v>1760</v>
      </c>
      <c r="J465" s="17">
        <f t="shared" si="8"/>
        <v>0</v>
      </c>
      <c r="K465" s="34">
        <v>1440075</v>
      </c>
      <c r="L465" s="34"/>
    </row>
    <row r="466" hidden="1">
      <c r="B466" s="64">
        <v>44846</v>
      </c>
      <c r="C466" s="9" t="s">
        <v>3023</v>
      </c>
      <c r="D466" s="6" t="s">
        <v>2873</v>
      </c>
      <c r="E466" s="6" t="s">
        <v>2987</v>
      </c>
      <c r="F466" s="6" t="s">
        <v>2226</v>
      </c>
      <c r="G466" s="6" t="s">
        <v>3015</v>
      </c>
      <c r="H466" s="7">
        <v>1760</v>
      </c>
      <c r="I466" s="8">
        <f>SUMIF(Cargas!$C$6:$C$1064,C466,Cargas!$O$6:$O$1166)</f>
        <v>0</v>
      </c>
      <c r="J466" s="17">
        <f t="shared" si="8"/>
        <v>1760</v>
      </c>
      <c r="K466" s="34">
        <v>1440077</v>
      </c>
      <c r="L466" s="34">
        <v>189168</v>
      </c>
    </row>
    <row r="467" hidden="1">
      <c r="B467" s="64">
        <v>44511</v>
      </c>
      <c r="C467" s="9" t="s">
        <v>3024</v>
      </c>
      <c r="D467" s="6" t="s">
        <v>2626</v>
      </c>
      <c r="E467" s="6" t="s">
        <v>2230</v>
      </c>
      <c r="F467" s="6" t="s">
        <v>2221</v>
      </c>
      <c r="G467" s="6" t="s">
        <v>2222</v>
      </c>
      <c r="H467" s="7">
        <v>2310</v>
      </c>
      <c r="I467" s="8">
        <f>SUMIF(Cargas!$C$6:$C$1166,C467,Cargas!$O$6:$O$1064)</f>
        <v>0</v>
      </c>
      <c r="J467" s="17">
        <f t="shared" si="8"/>
        <v>2310</v>
      </c>
      <c r="K467" s="34">
        <v>1413873</v>
      </c>
      <c r="L467" s="34" t="s">
        <v>29</v>
      </c>
    </row>
    <row r="468" hidden="1">
      <c r="B468" s="64">
        <v>44313</v>
      </c>
      <c r="C468" s="9" t="s">
        <v>3025</v>
      </c>
      <c r="D468" s="6" t="s">
        <v>2376</v>
      </c>
      <c r="E468" s="6" t="s">
        <v>3026</v>
      </c>
      <c r="F468" s="6" t="s">
        <v>2226</v>
      </c>
      <c r="G468" s="6" t="s">
        <v>2282</v>
      </c>
      <c r="H468" s="7">
        <v>2208</v>
      </c>
      <c r="I468" s="8">
        <f>SUMIF(Cargas!$C$6:$C$1064,C468,Cargas!$O$6:$O$1064)</f>
        <v>0</v>
      </c>
      <c r="J468" s="17">
        <f t="shared" si="8"/>
        <v>2208</v>
      </c>
      <c r="K468" s="34" t="s">
        <v>3027</v>
      </c>
      <c r="L468" s="34">
        <v>71725</v>
      </c>
    </row>
    <row r="469" hidden="1">
      <c r="B469" s="64">
        <v>44520</v>
      </c>
      <c r="C469" s="9" t="s">
        <v>3028</v>
      </c>
      <c r="D469" s="6" t="s">
        <v>2640</v>
      </c>
      <c r="E469" s="6" t="s">
        <v>2230</v>
      </c>
      <c r="F469" s="6" t="s">
        <v>2221</v>
      </c>
      <c r="G469" s="6" t="s">
        <v>2222</v>
      </c>
      <c r="H469" s="7">
        <v>2310</v>
      </c>
      <c r="I469" s="8">
        <f>SUMIF(Cargas!$C$6:$C$1166,C469,Cargas!$O$6:$O$1064)</f>
        <v>0</v>
      </c>
      <c r="J469" s="17">
        <f t="shared" si="8"/>
        <v>2310</v>
      </c>
      <c r="K469" s="34">
        <v>1413874</v>
      </c>
      <c r="L469" s="34" t="s">
        <v>29</v>
      </c>
    </row>
    <row r="470" hidden="1">
      <c r="B470" s="64">
        <v>44558</v>
      </c>
      <c r="C470" s="9" t="s">
        <v>3029</v>
      </c>
      <c r="D470" s="6" t="s">
        <v>3030</v>
      </c>
      <c r="E470" s="6" t="s">
        <v>2225</v>
      </c>
      <c r="F470" s="6" t="s">
        <v>2226</v>
      </c>
      <c r="G470" s="6" t="s">
        <v>2227</v>
      </c>
      <c r="H470" s="7">
        <v>1680</v>
      </c>
      <c r="I470" s="8">
        <f>SUMIF(Cargas!$C$6:$C$1064,C470,Cargas!$O$6:$O$1064)</f>
        <v>0</v>
      </c>
      <c r="J470" s="17">
        <f t="shared" si="8"/>
        <v>1680</v>
      </c>
      <c r="K470" s="34">
        <v>1418357</v>
      </c>
      <c r="L470" s="34">
        <v>7336</v>
      </c>
    </row>
    <row r="471" hidden="1">
      <c r="B471" s="64">
        <v>44558</v>
      </c>
      <c r="C471" s="9" t="s">
        <v>3031</v>
      </c>
      <c r="D471" s="6" t="s">
        <v>3032</v>
      </c>
      <c r="E471" s="6" t="s">
        <v>2220</v>
      </c>
      <c r="F471" s="6" t="s">
        <v>2226</v>
      </c>
      <c r="G471" s="6" t="s">
        <v>2227</v>
      </c>
      <c r="H471" s="7">
        <v>1128</v>
      </c>
      <c r="I471" s="8">
        <f>SUMIF(Cargas!$C$6:$C$1064,C471,Cargas!$O$6:$O$1064)</f>
        <v>0</v>
      </c>
      <c r="J471" s="17">
        <f t="shared" si="8"/>
        <v>1128</v>
      </c>
      <c r="K471" s="34">
        <v>1418355</v>
      </c>
      <c r="L471" s="34">
        <v>8166</v>
      </c>
    </row>
    <row r="472" hidden="1">
      <c r="B472" s="64">
        <v>44846</v>
      </c>
      <c r="C472" s="9" t="s">
        <v>3033</v>
      </c>
      <c r="D472" s="6" t="s">
        <v>2879</v>
      </c>
      <c r="E472" s="6" t="s">
        <v>2987</v>
      </c>
      <c r="F472" s="6" t="s">
        <v>2226</v>
      </c>
      <c r="G472" s="6" t="s">
        <v>3015</v>
      </c>
      <c r="H472" s="7">
        <v>1760</v>
      </c>
      <c r="I472" s="8">
        <f>SUMIF(Cargas!$C$6:$C$1064,C472,Cargas!$O$6:$O$1166)</f>
        <v>0</v>
      </c>
      <c r="J472" s="17">
        <f t="shared" si="8"/>
        <v>1760</v>
      </c>
      <c r="K472" s="34">
        <v>1440142</v>
      </c>
      <c r="L472" s="34">
        <v>191434</v>
      </c>
    </row>
    <row r="473" hidden="1">
      <c r="B473" s="64">
        <v>44300</v>
      </c>
      <c r="C473" s="9" t="s">
        <v>3034</v>
      </c>
      <c r="D473" s="6" t="s">
        <v>2373</v>
      </c>
      <c r="E473" s="6" t="s">
        <v>2452</v>
      </c>
      <c r="F473" s="6" t="s">
        <v>2226</v>
      </c>
      <c r="G473" s="6" t="s">
        <v>2282</v>
      </c>
      <c r="H473" s="7">
        <v>2288</v>
      </c>
      <c r="I473" s="8">
        <f>SUMIF(Cargas!$C$6:$C$1064,C473,Cargas!$O$6:$O$1064)</f>
        <v>0</v>
      </c>
      <c r="J473" s="17">
        <f t="shared" si="8"/>
        <v>2288</v>
      </c>
      <c r="K473" s="34">
        <v>1397941</v>
      </c>
      <c r="L473" s="34">
        <v>63056</v>
      </c>
    </row>
    <row r="474" hidden="1">
      <c r="B474" s="64">
        <v>44330</v>
      </c>
      <c r="C474" s="9" t="s">
        <v>3035</v>
      </c>
      <c r="D474" s="6" t="s">
        <v>2393</v>
      </c>
      <c r="E474" s="6" t="s">
        <v>2452</v>
      </c>
      <c r="F474" s="6" t="s">
        <v>2226</v>
      </c>
      <c r="G474" s="6" t="s">
        <v>2282</v>
      </c>
      <c r="H474" s="7">
        <v>2288</v>
      </c>
      <c r="I474" s="8">
        <f>SUMIF(Cargas!$C$6:$C$1064,C474,Cargas!$O$6:$O$1064)</f>
        <v>0</v>
      </c>
      <c r="J474" s="17">
        <f t="shared" si="8"/>
        <v>2288</v>
      </c>
      <c r="K474" s="34">
        <v>1400248</v>
      </c>
      <c r="L474" s="34">
        <v>83785</v>
      </c>
    </row>
    <row r="475" hidden="1">
      <c r="B475" s="64">
        <v>44341</v>
      </c>
      <c r="C475" s="9" t="s">
        <v>3036</v>
      </c>
      <c r="D475" s="6" t="s">
        <v>2442</v>
      </c>
      <c r="E475" s="6" t="s">
        <v>2452</v>
      </c>
      <c r="F475" s="6" t="s">
        <v>2226</v>
      </c>
      <c r="G475" s="6" t="s">
        <v>2282</v>
      </c>
      <c r="H475" s="7">
        <v>2288</v>
      </c>
      <c r="I475" s="8">
        <f>SUMIF(Cargas!$C$6:$C$1064,C475,Cargas!$O$6:$O$1064)</f>
        <v>0</v>
      </c>
      <c r="J475" s="17">
        <f t="shared" si="8"/>
        <v>2288</v>
      </c>
      <c r="K475" s="34">
        <v>1401112</v>
      </c>
      <c r="L475" s="34">
        <v>89288</v>
      </c>
    </row>
    <row r="476" hidden="1">
      <c r="B476" s="64">
        <v>44349</v>
      </c>
      <c r="C476" s="9" t="s">
        <v>3037</v>
      </c>
      <c r="D476" s="6" t="s">
        <v>2480</v>
      </c>
      <c r="E476" s="6" t="s">
        <v>2452</v>
      </c>
      <c r="F476" s="6" t="s">
        <v>2226</v>
      </c>
      <c r="G476" s="6" t="s">
        <v>2258</v>
      </c>
      <c r="H476" s="7">
        <v>2288</v>
      </c>
      <c r="I476" s="8">
        <f>SUMIF(Cargas!$C$6:$C$1064,C476,Cargas!$O$6:$O$1064)</f>
        <v>0</v>
      </c>
      <c r="J476" s="17">
        <f t="shared" si="8"/>
        <v>2288</v>
      </c>
      <c r="K476" s="34">
        <v>1401908</v>
      </c>
      <c r="L476" s="34">
        <v>95226</v>
      </c>
    </row>
    <row r="477" hidden="1">
      <c r="B477" s="64">
        <v>44393</v>
      </c>
      <c r="C477" s="9" t="s">
        <v>3038</v>
      </c>
      <c r="D477" s="6" t="s">
        <v>2540</v>
      </c>
      <c r="E477" s="6" t="s">
        <v>2452</v>
      </c>
      <c r="F477" s="6" t="s">
        <v>2226</v>
      </c>
      <c r="G477" s="6" t="s">
        <v>2282</v>
      </c>
      <c r="H477" s="7">
        <v>2288</v>
      </c>
      <c r="I477" s="8">
        <f>SUMIF(Cargas!$C$6:$C$1064,C477,Cargas!$O$6:$O$1064)</f>
        <v>0</v>
      </c>
      <c r="J477" s="17">
        <f t="shared" si="8"/>
        <v>2288</v>
      </c>
      <c r="K477" s="34">
        <v>1403546</v>
      </c>
      <c r="L477" s="34">
        <v>122222</v>
      </c>
    </row>
    <row r="478" hidden="1">
      <c r="B478" s="64">
        <v>44400</v>
      </c>
      <c r="C478" s="9" t="s">
        <v>3039</v>
      </c>
      <c r="D478" s="6" t="s">
        <v>2853</v>
      </c>
      <c r="E478" s="6" t="s">
        <v>2452</v>
      </c>
      <c r="F478" s="6" t="s">
        <v>2226</v>
      </c>
      <c r="G478" s="6" t="s">
        <v>2282</v>
      </c>
      <c r="H478" s="7">
        <v>2288</v>
      </c>
      <c r="I478" s="8">
        <f>SUMIF(Cargas!$C$6:$C$1064,C478,Cargas!$O$6:$O$1064)</f>
        <v>0</v>
      </c>
      <c r="J478" s="17">
        <f t="shared" si="8"/>
        <v>2288</v>
      </c>
      <c r="K478" s="34">
        <v>1403547</v>
      </c>
      <c r="L478" s="34">
        <v>126737</v>
      </c>
    </row>
    <row r="479" hidden="1">
      <c r="B479" s="64">
        <v>44414</v>
      </c>
      <c r="C479" s="9" t="s">
        <v>3040</v>
      </c>
      <c r="D479" s="6" t="s">
        <v>3041</v>
      </c>
      <c r="E479" s="6" t="s">
        <v>2452</v>
      </c>
      <c r="F479" s="6" t="s">
        <v>2226</v>
      </c>
      <c r="G479" s="6" t="s">
        <v>2258</v>
      </c>
      <c r="H479" s="7">
        <v>2288</v>
      </c>
      <c r="I479" s="8">
        <f>SUMIF(Cargas!$C$6:$C$1064,C479,Cargas!$O$6:$O$1064)</f>
        <v>0</v>
      </c>
      <c r="J479" s="17">
        <f t="shared" si="8"/>
        <v>2288</v>
      </c>
      <c r="K479" s="34">
        <v>1406635</v>
      </c>
      <c r="L479" s="34">
        <v>137060</v>
      </c>
    </row>
    <row r="480" hidden="1">
      <c r="B480" s="64">
        <v>44558</v>
      </c>
      <c r="C480" s="9" t="s">
        <v>3042</v>
      </c>
      <c r="D480" s="6" t="s">
        <v>3043</v>
      </c>
      <c r="E480" s="6" t="s">
        <v>2220</v>
      </c>
      <c r="F480" s="6" t="s">
        <v>2226</v>
      </c>
      <c r="G480" s="6" t="s">
        <v>2227</v>
      </c>
      <c r="H480" s="7">
        <v>2160</v>
      </c>
      <c r="I480" s="8">
        <f>SUMIF(Cargas!$C$6:$C$1064,C480,Cargas!$O$6:$O$1064)</f>
        <v>0</v>
      </c>
      <c r="J480" s="17">
        <f t="shared" si="8"/>
        <v>2160</v>
      </c>
      <c r="K480" s="34">
        <v>1418740</v>
      </c>
      <c r="L480" s="34">
        <v>8245</v>
      </c>
    </row>
    <row r="481" hidden="1">
      <c r="B481" s="64">
        <v>44558</v>
      </c>
      <c r="C481" s="9" t="s">
        <v>3044</v>
      </c>
      <c r="D481" s="6" t="s">
        <v>3045</v>
      </c>
      <c r="E481" s="6" t="s">
        <v>2220</v>
      </c>
      <c r="F481" s="6" t="s">
        <v>2226</v>
      </c>
      <c r="G481" s="6" t="s">
        <v>2258</v>
      </c>
      <c r="H481" s="7">
        <v>3240</v>
      </c>
      <c r="I481" s="8">
        <f>SUMIF(Cargas!$C$6:$C$1064,C481,Cargas!$O$6:$O$1064)</f>
        <v>0</v>
      </c>
      <c r="J481" s="17">
        <f t="shared" si="8"/>
        <v>3240</v>
      </c>
      <c r="K481" s="34">
        <v>1418354</v>
      </c>
      <c r="L481" s="34">
        <v>8305</v>
      </c>
    </row>
    <row r="482" hidden="1">
      <c r="A482" s="0" t="s">
        <v>0</v>
      </c>
      <c r="B482" s="64">
        <v>44201</v>
      </c>
      <c r="C482" s="9" t="s">
        <v>3046</v>
      </c>
      <c r="D482" s="6" t="s">
        <v>3047</v>
      </c>
      <c r="E482" s="6" t="s">
        <v>2966</v>
      </c>
      <c r="F482" s="6" t="s">
        <v>2226</v>
      </c>
      <c r="G482" s="6" t="s">
        <v>2258</v>
      </c>
      <c r="H482" s="7">
        <v>1440</v>
      </c>
      <c r="I482" s="8">
        <f>SUMIF(Cargas!$C$6:$C$1064,C482,Cargas!$O$6:$O$1064)</f>
        <v>0</v>
      </c>
      <c r="J482" s="17">
        <f t="shared" si="8"/>
        <v>1440</v>
      </c>
      <c r="K482" s="34">
        <v>1391472</v>
      </c>
      <c r="L482" s="34">
        <v>3672</v>
      </c>
    </row>
    <row r="483" hidden="1">
      <c r="A483" s="0" t="s">
        <v>0</v>
      </c>
      <c r="B483" s="64">
        <v>44199</v>
      </c>
      <c r="C483" s="9" t="s">
        <v>3048</v>
      </c>
      <c r="D483" s="6" t="s">
        <v>2915</v>
      </c>
      <c r="E483" s="6" t="s">
        <v>2916</v>
      </c>
      <c r="F483" s="6" t="s">
        <v>2226</v>
      </c>
      <c r="G483" s="6" t="s">
        <v>2227</v>
      </c>
      <c r="H483" s="7">
        <v>1440</v>
      </c>
      <c r="I483" s="8">
        <f>SUMIF(Cargas!$C$6:$C$1064,C483,Cargas!$O$6:$O$1064)</f>
        <v>0</v>
      </c>
      <c r="J483" s="17">
        <f t="shared" si="8"/>
        <v>1440</v>
      </c>
      <c r="K483" s="34">
        <v>1391413</v>
      </c>
      <c r="L483" s="34">
        <v>16019</v>
      </c>
    </row>
    <row r="484" hidden="1">
      <c r="A484" s="0" t="s">
        <v>0</v>
      </c>
      <c r="B484" s="64">
        <v>44224</v>
      </c>
      <c r="C484" s="9" t="s">
        <v>3049</v>
      </c>
      <c r="D484" s="6" t="s">
        <v>2963</v>
      </c>
      <c r="E484" s="6" t="s">
        <v>2916</v>
      </c>
      <c r="F484" s="6" t="s">
        <v>2226</v>
      </c>
      <c r="G484" s="6" t="s">
        <v>2227</v>
      </c>
      <c r="H484" s="7">
        <v>1440</v>
      </c>
      <c r="I484" s="8">
        <f>SUMIF(Cargas!$C$6:$C$1064,C484,Cargas!$O$6:$O$1064)</f>
        <v>0</v>
      </c>
      <c r="J484" s="17">
        <f t="shared" si="8"/>
        <v>1440</v>
      </c>
      <c r="K484" s="34">
        <v>1391413</v>
      </c>
      <c r="L484" s="34" t="s">
        <v>29</v>
      </c>
    </row>
    <row r="485" hidden="1">
      <c r="A485" s="0" t="s">
        <v>0</v>
      </c>
      <c r="B485" s="64">
        <v>44229</v>
      </c>
      <c r="C485" s="9" t="s">
        <v>3050</v>
      </c>
      <c r="D485" s="6" t="s">
        <v>2974</v>
      </c>
      <c r="E485" s="6" t="s">
        <v>2916</v>
      </c>
      <c r="F485" s="6" t="s">
        <v>2226</v>
      </c>
      <c r="G485" s="6" t="s">
        <v>2227</v>
      </c>
      <c r="H485" s="7">
        <v>1760</v>
      </c>
      <c r="I485" s="8">
        <f>SUMIF(Cargas!$C$6:$C$1064,C485,Cargas!$O$6:$O$1064)</f>
        <v>0</v>
      </c>
      <c r="J485" s="17">
        <f t="shared" si="8"/>
        <v>1760</v>
      </c>
      <c r="K485" s="34">
        <v>1392490</v>
      </c>
      <c r="L485" s="34">
        <v>31159</v>
      </c>
    </row>
    <row r="486" hidden="1">
      <c r="A486" s="0" t="s">
        <v>0</v>
      </c>
      <c r="B486" s="64">
        <v>44234</v>
      </c>
      <c r="C486" s="9" t="s">
        <v>3051</v>
      </c>
      <c r="D486" s="6" t="s">
        <v>3052</v>
      </c>
      <c r="E486" s="6" t="s">
        <v>2916</v>
      </c>
      <c r="F486" s="6" t="s">
        <v>2226</v>
      </c>
      <c r="G486" s="6" t="s">
        <v>2227</v>
      </c>
      <c r="H486" s="7">
        <v>1920</v>
      </c>
      <c r="I486" s="8">
        <f>SUMIF(Cargas!$C$6:$C$1064,C486,Cargas!$O$6:$O$1064)</f>
        <v>0</v>
      </c>
      <c r="J486" s="17">
        <f t="shared" si="8"/>
        <v>1920</v>
      </c>
      <c r="K486" s="34"/>
      <c r="L486" s="34">
        <v>32418</v>
      </c>
    </row>
    <row r="487" hidden="1">
      <c r="A487" s="0" t="s">
        <v>0</v>
      </c>
      <c r="B487" s="64">
        <v>44241</v>
      </c>
      <c r="C487" s="9" t="s">
        <v>3053</v>
      </c>
      <c r="D487" s="6" t="s">
        <v>3054</v>
      </c>
      <c r="E487" s="6" t="s">
        <v>2916</v>
      </c>
      <c r="F487" s="6" t="s">
        <v>2226</v>
      </c>
      <c r="G487" s="6" t="s">
        <v>2227</v>
      </c>
      <c r="H487" s="7">
        <v>1920</v>
      </c>
      <c r="I487" s="8">
        <f>SUMIF(Cargas!$C$6:$C$1064,C487,Cargas!$O$6:$O$1064)</f>
        <v>0</v>
      </c>
      <c r="J487" s="17">
        <f t="shared" si="8"/>
        <v>1920</v>
      </c>
      <c r="K487" s="34"/>
      <c r="L487" s="34">
        <v>41315</v>
      </c>
    </row>
    <row r="488" hidden="1">
      <c r="A488" s="0" t="s">
        <v>0</v>
      </c>
      <c r="B488" s="64">
        <v>44248</v>
      </c>
      <c r="C488" s="9" t="s">
        <v>3055</v>
      </c>
      <c r="D488" s="6" t="s">
        <v>3056</v>
      </c>
      <c r="E488" s="6" t="s">
        <v>2916</v>
      </c>
      <c r="F488" s="6" t="s">
        <v>2226</v>
      </c>
      <c r="G488" s="6" t="s">
        <v>2227</v>
      </c>
      <c r="H488" s="7">
        <v>1920</v>
      </c>
      <c r="I488" s="8">
        <f>SUMIF(Cargas!$C$6:$C$1064,C488,Cargas!$O$6:$O$1064)</f>
        <v>0</v>
      </c>
      <c r="J488" s="17">
        <f t="shared" si="8"/>
        <v>1920</v>
      </c>
      <c r="K488" s="34"/>
      <c r="L488" s="34">
        <v>43929</v>
      </c>
    </row>
    <row r="489" hidden="1">
      <c r="A489" s="0" t="s">
        <v>0</v>
      </c>
      <c r="B489" s="64">
        <v>44261</v>
      </c>
      <c r="C489" s="9" t="s">
        <v>3057</v>
      </c>
      <c r="D489" s="6" t="s">
        <v>3058</v>
      </c>
      <c r="E489" s="6" t="s">
        <v>2916</v>
      </c>
      <c r="F489" s="6" t="s">
        <v>2226</v>
      </c>
      <c r="G489" s="6" t="s">
        <v>2227</v>
      </c>
      <c r="H489" s="7">
        <v>1920</v>
      </c>
      <c r="I489" s="8">
        <f>SUMIF(Cargas!$C$6:$C$1064,C489,Cargas!$O$6:$O$1064)</f>
        <v>0</v>
      </c>
      <c r="J489" s="17">
        <f t="shared" si="8"/>
        <v>1920</v>
      </c>
      <c r="K489" s="34"/>
      <c r="L489" s="34">
        <v>51554</v>
      </c>
    </row>
    <row r="490" hidden="1">
      <c r="A490" s="0" t="s">
        <v>0</v>
      </c>
      <c r="B490" s="64">
        <v>44272</v>
      </c>
      <c r="C490" s="9" t="s">
        <v>3059</v>
      </c>
      <c r="D490" s="6" t="s">
        <v>3060</v>
      </c>
      <c r="E490" s="6" t="s">
        <v>2916</v>
      </c>
      <c r="F490" s="6" t="s">
        <v>2226</v>
      </c>
      <c r="G490" s="6" t="s">
        <v>2227</v>
      </c>
      <c r="H490" s="7">
        <v>1920</v>
      </c>
      <c r="I490" s="8">
        <f>SUMIF(Cargas!$C$6:$C$1064,C490,Cargas!$O$6:$O$1064)</f>
        <v>0</v>
      </c>
      <c r="J490" s="17">
        <f t="shared" si="8"/>
        <v>1920</v>
      </c>
      <c r="K490" s="34"/>
      <c r="L490" s="34">
        <v>57160</v>
      </c>
    </row>
    <row r="491" hidden="1">
      <c r="B491" s="64">
        <v>44558</v>
      </c>
      <c r="C491" s="9" t="s">
        <v>3061</v>
      </c>
      <c r="D491" s="6" t="s">
        <v>3062</v>
      </c>
      <c r="E491" s="6" t="s">
        <v>2220</v>
      </c>
      <c r="F491" s="6" t="s">
        <v>2226</v>
      </c>
      <c r="G491" s="6" t="s">
        <v>2258</v>
      </c>
      <c r="H491" s="7">
        <v>4320</v>
      </c>
      <c r="I491" s="8">
        <f>SUMIF(Cargas!$C$6:$C$1064,C491,Cargas!$O$6:$O$1064)</f>
        <v>0</v>
      </c>
      <c r="J491" s="17">
        <f t="shared" si="8"/>
        <v>4320</v>
      </c>
      <c r="K491" s="34">
        <v>1418353</v>
      </c>
      <c r="L491" s="34">
        <v>8364</v>
      </c>
    </row>
    <row r="492" hidden="1">
      <c r="A492" s="0" t="s">
        <v>0</v>
      </c>
      <c r="B492" s="64">
        <v>44279</v>
      </c>
      <c r="C492" s="9" t="s">
        <v>3063</v>
      </c>
      <c r="D492" s="6" t="s">
        <v>3064</v>
      </c>
      <c r="E492" s="6" t="s">
        <v>2916</v>
      </c>
      <c r="F492" s="6" t="s">
        <v>2226</v>
      </c>
      <c r="G492" s="6" t="s">
        <v>2227</v>
      </c>
      <c r="H492" s="7">
        <v>1920</v>
      </c>
      <c r="I492" s="8">
        <f>SUMIF(Cargas!$C$6:$C$1064,C492,Cargas!$O$6:$O$1064)</f>
        <v>0</v>
      </c>
      <c r="J492" s="17">
        <f t="shared" si="8"/>
        <v>1920</v>
      </c>
      <c r="K492" s="34"/>
      <c r="L492" s="34">
        <v>62634</v>
      </c>
    </row>
    <row r="493" hidden="1">
      <c r="A493" s="0" t="s">
        <v>0</v>
      </c>
      <c r="B493" s="64">
        <v>44279</v>
      </c>
      <c r="C493" s="9" t="s">
        <v>3065</v>
      </c>
      <c r="D493" s="6" t="s">
        <v>3066</v>
      </c>
      <c r="E493" s="6" t="s">
        <v>2916</v>
      </c>
      <c r="F493" s="6" t="s">
        <v>2226</v>
      </c>
      <c r="G493" s="6" t="s">
        <v>2227</v>
      </c>
      <c r="H493" s="7">
        <v>1920</v>
      </c>
      <c r="I493" s="8">
        <f>SUMIF(Cargas!$C$6:$C$1064,C493,Cargas!$O$6:$O$1064)</f>
        <v>0</v>
      </c>
      <c r="J493" s="17">
        <f t="shared" si="8"/>
        <v>1920</v>
      </c>
      <c r="K493" s="34"/>
      <c r="L493" s="34">
        <v>62633</v>
      </c>
    </row>
    <row r="494" hidden="1">
      <c r="A494" s="0" t="s">
        <v>0</v>
      </c>
      <c r="B494" s="64">
        <v>44285</v>
      </c>
      <c r="C494" s="9" t="s">
        <v>3067</v>
      </c>
      <c r="D494" s="6" t="s">
        <v>3068</v>
      </c>
      <c r="E494" s="6" t="s">
        <v>2916</v>
      </c>
      <c r="F494" s="6" t="s">
        <v>2226</v>
      </c>
      <c r="G494" s="6" t="s">
        <v>2227</v>
      </c>
      <c r="H494" s="7">
        <v>1920</v>
      </c>
      <c r="I494" s="8">
        <f>SUMIF(Cargas!$C$6:$C$1064,C494,Cargas!$O$6:$O$1064)</f>
        <v>0</v>
      </c>
      <c r="J494" s="17">
        <f t="shared" si="8"/>
        <v>1920</v>
      </c>
      <c r="K494" s="34"/>
      <c r="L494" s="34">
        <v>66582</v>
      </c>
    </row>
    <row r="495" hidden="1">
      <c r="A495" s="0" t="s">
        <v>0</v>
      </c>
      <c r="B495" s="64">
        <v>44236</v>
      </c>
      <c r="C495" s="9" t="s">
        <v>3069</v>
      </c>
      <c r="D495" s="6" t="s">
        <v>2252</v>
      </c>
      <c r="E495" s="6" t="s">
        <v>2230</v>
      </c>
      <c r="F495" s="6" t="s">
        <v>2221</v>
      </c>
      <c r="G495" s="6" t="s">
        <v>2222</v>
      </c>
      <c r="H495" s="7">
        <v>2310</v>
      </c>
      <c r="I495" s="8">
        <f>SUMIF(Cargas!$C$6:$C$1064,C495,Cargas!$O$6:$O$1064)</f>
        <v>0</v>
      </c>
      <c r="J495" s="17">
        <f t="shared" si="8"/>
        <v>2310</v>
      </c>
      <c r="K495" s="34"/>
      <c r="L495" s="34">
        <v>42829</v>
      </c>
    </row>
    <row r="496" hidden="1">
      <c r="B496" s="64">
        <v>44454</v>
      </c>
      <c r="C496" s="9" t="s">
        <v>3070</v>
      </c>
      <c r="D496" s="6" t="s">
        <v>2256</v>
      </c>
      <c r="E496" s="6" t="s">
        <v>2712</v>
      </c>
      <c r="F496" s="6" t="s">
        <v>2226</v>
      </c>
      <c r="G496" s="6" t="s">
        <v>2282</v>
      </c>
      <c r="H496" s="7">
        <v>2400</v>
      </c>
      <c r="I496" s="8">
        <f>SUMIF(Cargas!$C$6:$C$1064,C496,Cargas!$O$6:$O$1166)</f>
        <v>0</v>
      </c>
      <c r="J496" s="17">
        <f t="shared" si="8"/>
        <v>2400</v>
      </c>
      <c r="K496" s="34">
        <v>1409709</v>
      </c>
      <c r="L496" s="34">
        <v>163664</v>
      </c>
    </row>
    <row r="497" hidden="1">
      <c r="A497" s="42"/>
      <c r="B497" s="64">
        <v>44477</v>
      </c>
      <c r="C497" s="9" t="s">
        <v>3071</v>
      </c>
      <c r="D497" s="6" t="s">
        <v>2281</v>
      </c>
      <c r="E497" s="6" t="s">
        <v>2712</v>
      </c>
      <c r="F497" s="6" t="s">
        <v>2226</v>
      </c>
      <c r="G497" s="6" t="s">
        <v>2282</v>
      </c>
      <c r="H497" s="7">
        <v>2400</v>
      </c>
      <c r="I497" s="8">
        <f>SUMIF(Cargas!$C$6:$C$1064,C497,Cargas!$O$6:$O$1166)</f>
        <v>0</v>
      </c>
      <c r="J497" s="17">
        <f t="shared" si="8"/>
        <v>2400</v>
      </c>
      <c r="K497" s="34">
        <v>1411990</v>
      </c>
      <c r="L497" s="34">
        <v>178668</v>
      </c>
    </row>
    <row r="498" hidden="1">
      <c r="A498" s="42"/>
      <c r="B498" s="64">
        <v>44488</v>
      </c>
      <c r="C498" s="9" t="s">
        <v>3072</v>
      </c>
      <c r="D498" s="6" t="s">
        <v>2301</v>
      </c>
      <c r="E498" s="6" t="s">
        <v>2712</v>
      </c>
      <c r="F498" s="6" t="s">
        <v>2226</v>
      </c>
      <c r="G498" s="6" t="s">
        <v>2258</v>
      </c>
      <c r="H498" s="7">
        <v>2400</v>
      </c>
      <c r="I498" s="8">
        <f>SUMIF(Cargas!$C$6:$C$1064,C498,Cargas!$O$6:$O$1166)</f>
        <v>0</v>
      </c>
      <c r="J498" s="17">
        <f t="shared" si="8"/>
        <v>2400</v>
      </c>
      <c r="K498" s="34">
        <v>1413185</v>
      </c>
      <c r="L498" s="34">
        <v>182479</v>
      </c>
    </row>
    <row r="499" hidden="1">
      <c r="A499" s="42"/>
      <c r="B499" s="64">
        <v>44494</v>
      </c>
      <c r="C499" s="9" t="s">
        <v>3073</v>
      </c>
      <c r="D499" s="6" t="s">
        <v>962</v>
      </c>
      <c r="E499" s="6" t="s">
        <v>2712</v>
      </c>
      <c r="F499" s="6" t="s">
        <v>2226</v>
      </c>
      <c r="G499" s="6" t="s">
        <v>2258</v>
      </c>
      <c r="H499" s="7">
        <v>2400</v>
      </c>
      <c r="I499" s="8">
        <f>SUMIF(Cargas!$C$6:$C$1064,C499,Cargas!$O$6:$O$1166)</f>
        <v>0</v>
      </c>
      <c r="J499" s="17">
        <f t="shared" si="8"/>
        <v>2400</v>
      </c>
      <c r="K499" s="34">
        <v>1413824</v>
      </c>
      <c r="L499" s="34">
        <v>193673</v>
      </c>
    </row>
    <row r="500" hidden="1">
      <c r="A500" s="42"/>
      <c r="B500" s="64">
        <v>44511</v>
      </c>
      <c r="C500" s="9" t="s">
        <v>3074</v>
      </c>
      <c r="D500" s="6" t="s">
        <v>2412</v>
      </c>
      <c r="E500" s="6" t="s">
        <v>2712</v>
      </c>
      <c r="F500" s="6" t="s">
        <v>2226</v>
      </c>
      <c r="G500" s="6" t="s">
        <v>2258</v>
      </c>
      <c r="H500" s="7">
        <v>2112</v>
      </c>
      <c r="I500" s="8">
        <f>SUMIF(Cargas!$C$6:$C$1064,C500,Cargas!$O$6:$O$1166)</f>
        <v>0</v>
      </c>
      <c r="J500" s="17">
        <f t="shared" si="8"/>
        <v>2112</v>
      </c>
      <c r="K500" s="34">
        <v>1415445</v>
      </c>
      <c r="L500" s="34">
        <v>203861</v>
      </c>
    </row>
    <row r="501" hidden="1">
      <c r="A501" s="42"/>
      <c r="B501" s="64">
        <v>44523</v>
      </c>
      <c r="C501" s="9" t="s">
        <v>3075</v>
      </c>
      <c r="D501" s="6" t="s">
        <v>2544</v>
      </c>
      <c r="E501" s="6" t="s">
        <v>2712</v>
      </c>
      <c r="F501" s="6" t="s">
        <v>2226</v>
      </c>
      <c r="G501" s="6" t="s">
        <v>2258</v>
      </c>
      <c r="H501" s="7">
        <v>2112</v>
      </c>
      <c r="I501" s="8">
        <f>SUMIF(Cargas!$C$6:$C$1064,C501,Cargas!$O$6:$O$1166)</f>
        <v>0</v>
      </c>
      <c r="J501" s="17">
        <f t="shared" si="8"/>
        <v>2112</v>
      </c>
      <c r="K501" s="34">
        <v>1416359</v>
      </c>
      <c r="L501" s="34">
        <v>212804</v>
      </c>
    </row>
    <row r="502" hidden="1">
      <c r="A502" s="42"/>
      <c r="B502" s="64">
        <v>44527</v>
      </c>
      <c r="C502" s="9" t="s">
        <v>3076</v>
      </c>
      <c r="D502" s="6" t="s">
        <v>2620</v>
      </c>
      <c r="E502" s="6" t="s">
        <v>2712</v>
      </c>
      <c r="F502" s="6" t="s">
        <v>2226</v>
      </c>
      <c r="G502" s="6" t="s">
        <v>2258</v>
      </c>
      <c r="H502" s="7">
        <v>2112</v>
      </c>
      <c r="I502" s="8">
        <f>SUMIF(Cargas!$C$6:$C$1064,C502,Cargas!$O$6:$O$1166)</f>
        <v>0</v>
      </c>
      <c r="J502" s="17">
        <f t="shared" si="8"/>
        <v>2112</v>
      </c>
      <c r="K502" s="34">
        <v>1416402</v>
      </c>
      <c r="L502" s="34">
        <v>214730</v>
      </c>
    </row>
    <row r="503" hidden="1">
      <c r="B503" s="64">
        <v>44542</v>
      </c>
      <c r="C503" s="9" t="s">
        <v>3077</v>
      </c>
      <c r="D503" s="6" t="s">
        <v>3078</v>
      </c>
      <c r="E503" s="6" t="s">
        <v>2220</v>
      </c>
      <c r="F503" s="6" t="s">
        <v>2221</v>
      </c>
      <c r="G503" s="6" t="s">
        <v>2222</v>
      </c>
      <c r="H503" s="7">
        <v>2160</v>
      </c>
      <c r="I503" s="8">
        <f>SUMIF(Cargas!$C$6:$C$1064,C503,Cargas!$O$6:$O$1064)</f>
        <v>0</v>
      </c>
      <c r="J503" s="17">
        <f t="shared" si="8"/>
        <v>2160</v>
      </c>
      <c r="K503" s="34">
        <v>1416852</v>
      </c>
      <c r="L503" s="34">
        <v>9623</v>
      </c>
    </row>
    <row r="504" hidden="1">
      <c r="B504" s="64">
        <v>44533</v>
      </c>
      <c r="C504" s="9" t="s">
        <v>3079</v>
      </c>
      <c r="D504" s="6" t="s">
        <v>2636</v>
      </c>
      <c r="E504" s="6" t="s">
        <v>2230</v>
      </c>
      <c r="F504" s="6" t="s">
        <v>2221</v>
      </c>
      <c r="G504" s="6" t="s">
        <v>2222</v>
      </c>
      <c r="H504" s="7">
        <v>2320</v>
      </c>
      <c r="I504" s="8">
        <f>SUMIF(Cargas!$C$6:$C$1064,C504,Cargas!$O$6:$O$1064)</f>
        <v>0</v>
      </c>
      <c r="J504" s="17">
        <f t="shared" si="8"/>
        <v>2320</v>
      </c>
      <c r="K504" s="34">
        <v>1417470</v>
      </c>
      <c r="L504" s="34">
        <v>9976</v>
      </c>
    </row>
    <row r="505" hidden="1">
      <c r="B505" s="64">
        <v>44862</v>
      </c>
      <c r="C505" s="9" t="s">
        <v>3080</v>
      </c>
      <c r="D505" s="6" t="s">
        <v>2923</v>
      </c>
      <c r="E505" s="6" t="s">
        <v>2987</v>
      </c>
      <c r="F505" s="6" t="s">
        <v>2226</v>
      </c>
      <c r="G505" s="6" t="s">
        <v>3015</v>
      </c>
      <c r="H505" s="7">
        <v>1760</v>
      </c>
      <c r="I505" s="8">
        <f>SUMIF(Cargas!$C$6:$C$1064,C505,Cargas!$O$6:$O$1166)</f>
        <v>0</v>
      </c>
      <c r="J505" s="17">
        <f t="shared" si="8"/>
        <v>1760</v>
      </c>
      <c r="K505" s="34"/>
      <c r="L505" s="34">
        <v>206632</v>
      </c>
    </row>
    <row r="506" hidden="1">
      <c r="A506" s="42"/>
      <c r="B506" s="64">
        <v>44726</v>
      </c>
      <c r="C506" s="9" t="s">
        <v>3081</v>
      </c>
      <c r="D506" s="6" t="s">
        <v>2811</v>
      </c>
      <c r="E506" s="6" t="s">
        <v>3082</v>
      </c>
      <c r="F506" s="6" t="s">
        <v>2226</v>
      </c>
      <c r="G506" s="6" t="s">
        <v>2818</v>
      </c>
      <c r="H506" s="7">
        <v>1400</v>
      </c>
      <c r="I506" s="8">
        <f>SUMIF(Cargas!$C$6:$C$1064,C506,Cargas!$O$6:$O$1166)</f>
        <v>0</v>
      </c>
      <c r="J506" s="17">
        <f t="shared" si="8"/>
        <v>1400</v>
      </c>
      <c r="K506" s="34">
        <v>1431477</v>
      </c>
      <c r="L506" s="34">
        <v>106146</v>
      </c>
    </row>
    <row r="507" hidden="1" ht="13.5" customHeight="1">
      <c r="A507" s="42"/>
      <c r="B507" s="64">
        <v>44728</v>
      </c>
      <c r="C507" s="9" t="s">
        <v>3083</v>
      </c>
      <c r="D507" s="6" t="s">
        <v>2817</v>
      </c>
      <c r="E507" s="6" t="s">
        <v>3082</v>
      </c>
      <c r="F507" s="6" t="s">
        <v>2226</v>
      </c>
      <c r="G507" s="6" t="s">
        <v>2818</v>
      </c>
      <c r="H507" s="7">
        <v>1400</v>
      </c>
      <c r="I507" s="8">
        <f>SUMIF(Cargas!$C$6:$C$1064,C507,Cargas!$O$6:$O$1166)</f>
        <v>0</v>
      </c>
      <c r="J507" s="17">
        <f t="shared" si="8"/>
        <v>1400</v>
      </c>
      <c r="K507" s="34">
        <v>1431473</v>
      </c>
      <c r="L507" s="34">
        <v>108605</v>
      </c>
    </row>
    <row r="508" hidden="1">
      <c r="B508" s="64">
        <v>44542</v>
      </c>
      <c r="C508" s="9" t="s">
        <v>3084</v>
      </c>
      <c r="D508" s="6" t="s">
        <v>2236</v>
      </c>
      <c r="E508" s="6" t="s">
        <v>2220</v>
      </c>
      <c r="F508" s="6" t="s">
        <v>2226</v>
      </c>
      <c r="G508" s="6" t="s">
        <v>2258</v>
      </c>
      <c r="H508" s="7">
        <v>1128</v>
      </c>
      <c r="I508" s="8">
        <f>SUMIF(Cargas!$C$6:$C$1064,C508,Cargas!$O$6:$O$1064)</f>
        <v>0</v>
      </c>
      <c r="J508" s="17">
        <f t="shared" si="8"/>
        <v>1128</v>
      </c>
      <c r="K508" s="34">
        <v>1418741</v>
      </c>
      <c r="L508" s="34">
        <v>18492</v>
      </c>
    </row>
    <row r="509" hidden="1">
      <c r="B509" s="64">
        <v>44542</v>
      </c>
      <c r="C509" s="9" t="s">
        <v>3085</v>
      </c>
      <c r="D509" s="6" t="s">
        <v>2238</v>
      </c>
      <c r="E509" s="6" t="s">
        <v>2220</v>
      </c>
      <c r="F509" s="6" t="s">
        <v>2226</v>
      </c>
      <c r="G509" s="6" t="s">
        <v>2258</v>
      </c>
      <c r="H509" s="7">
        <v>2160</v>
      </c>
      <c r="I509" s="8">
        <f>SUMIF(Cargas!$C$6:$C$1064,C509,Cargas!$O$6:$O$1064)</f>
        <v>0</v>
      </c>
      <c r="J509" s="17">
        <f t="shared" si="8"/>
        <v>2160</v>
      </c>
      <c r="K509" s="34">
        <v>1418742</v>
      </c>
      <c r="L509" s="34">
        <v>18585</v>
      </c>
    </row>
    <row r="510" hidden="1">
      <c r="B510" s="64">
        <v>44542</v>
      </c>
      <c r="C510" s="9" t="s">
        <v>3086</v>
      </c>
      <c r="D510" s="6" t="s">
        <v>2244</v>
      </c>
      <c r="E510" s="6" t="s">
        <v>2220</v>
      </c>
      <c r="F510" s="6" t="s">
        <v>2226</v>
      </c>
      <c r="G510" s="6" t="s">
        <v>2227</v>
      </c>
      <c r="H510" s="7">
        <v>2208</v>
      </c>
      <c r="I510" s="8">
        <f>SUMIF(Cargas!$C$6:$C$1064,C510,Cargas!$O$6:$O$1064)</f>
        <v>0</v>
      </c>
      <c r="J510" s="17">
        <f t="shared" si="8"/>
        <v>2208</v>
      </c>
      <c r="K510" s="34">
        <v>1418743</v>
      </c>
      <c r="L510" s="34">
        <v>18697</v>
      </c>
    </row>
    <row r="511" hidden="1">
      <c r="B511" s="64">
        <v>44551</v>
      </c>
      <c r="C511" s="9" t="s">
        <v>3087</v>
      </c>
      <c r="D511" s="6" t="s">
        <v>3088</v>
      </c>
      <c r="E511" s="6" t="s">
        <v>3020</v>
      </c>
      <c r="F511" s="6" t="s">
        <v>2221</v>
      </c>
      <c r="G511" s="6" t="s">
        <v>2222</v>
      </c>
      <c r="H511" s="7">
        <v>1248</v>
      </c>
      <c r="I511" s="8">
        <f>SUMIF(Cargas!$C$6:$C$1166,C511,Cargas!$O$6:$O$1064)</f>
        <v>0</v>
      </c>
      <c r="J511" s="17">
        <f t="shared" si="8"/>
        <v>1248</v>
      </c>
      <c r="K511" s="34"/>
      <c r="L511" s="34">
        <v>20011</v>
      </c>
    </row>
    <row r="512" hidden="1">
      <c r="A512" s="42"/>
      <c r="B512" s="64">
        <v>44731</v>
      </c>
      <c r="C512" s="9" t="s">
        <v>3089</v>
      </c>
      <c r="D512" s="6" t="s">
        <v>2820</v>
      </c>
      <c r="E512" s="6" t="s">
        <v>3082</v>
      </c>
      <c r="F512" s="6" t="s">
        <v>2226</v>
      </c>
      <c r="G512" s="6" t="s">
        <v>2818</v>
      </c>
      <c r="H512" s="7">
        <v>1400</v>
      </c>
      <c r="I512" s="8">
        <f>SUMIF(Cargas!$C$6:$C$1064,C512,Cargas!$O$6:$O$1166)</f>
        <v>0</v>
      </c>
      <c r="J512" s="17">
        <f t="shared" si="8"/>
        <v>1400</v>
      </c>
      <c r="K512" s="34">
        <v>1431475</v>
      </c>
      <c r="L512" s="34">
        <v>110530</v>
      </c>
    </row>
    <row r="513" hidden="1">
      <c r="B513" s="64">
        <v>44535</v>
      </c>
      <c r="C513" s="9" t="s">
        <v>3090</v>
      </c>
      <c r="D513" s="6" t="s">
        <v>3091</v>
      </c>
      <c r="E513" s="6" t="s">
        <v>3020</v>
      </c>
      <c r="F513" s="6" t="s">
        <v>2221</v>
      </c>
      <c r="G513" s="6" t="s">
        <v>2222</v>
      </c>
      <c r="H513" s="7">
        <v>1352</v>
      </c>
      <c r="I513" s="8">
        <f>SUMIF(Cargas!$C$6:$C$1166,C513,Cargas!$O$6:$O$1064)</f>
        <v>0</v>
      </c>
      <c r="J513" s="17">
        <f t="shared" si="8"/>
        <v>1352</v>
      </c>
      <c r="K513" s="34"/>
      <c r="L513" s="34">
        <v>20012</v>
      </c>
    </row>
    <row r="514" hidden="1">
      <c r="A514" s="42"/>
      <c r="B514" s="64">
        <v>44731</v>
      </c>
      <c r="C514" s="9" t="s">
        <v>3092</v>
      </c>
      <c r="D514" s="6" t="s">
        <v>2822</v>
      </c>
      <c r="E514" s="6" t="s">
        <v>3082</v>
      </c>
      <c r="F514" s="6" t="s">
        <v>2226</v>
      </c>
      <c r="G514" s="6" t="s">
        <v>2818</v>
      </c>
      <c r="H514" s="7">
        <v>1400</v>
      </c>
      <c r="I514" s="8">
        <f>SUMIF(Cargas!$C$6:$C$1064,C514,Cargas!$O$6:$O$1166)</f>
        <v>0</v>
      </c>
      <c r="J514" s="17">
        <f t="shared" si="8"/>
        <v>1400</v>
      </c>
      <c r="K514" s="34">
        <v>1431557</v>
      </c>
      <c r="L514" s="34">
        <v>110531</v>
      </c>
    </row>
    <row r="515" hidden="1">
      <c r="A515" s="42"/>
      <c r="B515" s="64">
        <v>44728</v>
      </c>
      <c r="C515" s="9" t="s">
        <v>3093</v>
      </c>
      <c r="D515" s="6" t="s">
        <v>2824</v>
      </c>
      <c r="E515" s="6" t="s">
        <v>3082</v>
      </c>
      <c r="F515" s="6" t="s">
        <v>2226</v>
      </c>
      <c r="G515" s="6" t="s">
        <v>2818</v>
      </c>
      <c r="H515" s="7">
        <v>1400</v>
      </c>
      <c r="I515" s="8">
        <f>SUMIF(Cargas!$C$6:$C$1064,C515,Cargas!$O$6:$O$1166)</f>
        <v>0</v>
      </c>
      <c r="J515" s="17">
        <f t="shared" si="8"/>
        <v>1400</v>
      </c>
      <c r="K515" s="34">
        <v>1431558</v>
      </c>
      <c r="L515" s="34">
        <v>110533</v>
      </c>
    </row>
    <row r="516" hidden="1">
      <c r="A516" s="42"/>
      <c r="B516" s="64">
        <v>44728</v>
      </c>
      <c r="C516" s="9" t="s">
        <v>3094</v>
      </c>
      <c r="D516" s="6" t="s">
        <v>3095</v>
      </c>
      <c r="E516" s="6" t="s">
        <v>3082</v>
      </c>
      <c r="F516" s="6" t="s">
        <v>2226</v>
      </c>
      <c r="G516" s="6" t="s">
        <v>2818</v>
      </c>
      <c r="H516" s="7">
        <v>1400</v>
      </c>
      <c r="I516" s="8">
        <f>SUMIF(Cargas!$C$6:$C$1064,C516,Cargas!$O$6:$O$1166)</f>
        <v>0</v>
      </c>
      <c r="J516" s="17">
        <f t="shared" si="8"/>
        <v>1400</v>
      </c>
      <c r="K516" s="34">
        <v>1431559</v>
      </c>
      <c r="L516" s="34">
        <v>110513</v>
      </c>
    </row>
    <row r="517" hidden="1">
      <c r="A517" s="42"/>
      <c r="B517" s="64">
        <v>44734</v>
      </c>
      <c r="C517" s="9" t="s">
        <v>3096</v>
      </c>
      <c r="D517" s="6" t="s">
        <v>3097</v>
      </c>
      <c r="E517" s="6" t="s">
        <v>3082</v>
      </c>
      <c r="F517" s="6" t="s">
        <v>2226</v>
      </c>
      <c r="G517" s="6" t="s">
        <v>2818</v>
      </c>
      <c r="H517" s="7">
        <v>1400</v>
      </c>
      <c r="I517" s="8">
        <f>SUMIF(Cargas!$C$6:$C$1064,C517,Cargas!$O$6:$O$1166)</f>
        <v>0</v>
      </c>
      <c r="J517" s="17">
        <f t="shared" si="8"/>
        <v>1400</v>
      </c>
      <c r="K517" s="34">
        <v>1431766</v>
      </c>
      <c r="L517" s="34">
        <v>112353</v>
      </c>
    </row>
    <row r="518" hidden="1">
      <c r="A518" s="42"/>
      <c r="B518" s="64">
        <v>44735</v>
      </c>
      <c r="C518" s="9" t="s">
        <v>3098</v>
      </c>
      <c r="D518" s="6" t="s">
        <v>3099</v>
      </c>
      <c r="E518" s="6" t="s">
        <v>3082</v>
      </c>
      <c r="F518" s="6" t="s">
        <v>2226</v>
      </c>
      <c r="G518" s="6" t="s">
        <v>2818</v>
      </c>
      <c r="H518" s="7">
        <v>1400</v>
      </c>
      <c r="I518" s="8">
        <f>SUMIF(Cargas!$C$6:$C$1064,C518,Cargas!$O$6:$O$1166)</f>
        <v>0</v>
      </c>
      <c r="J518" s="17">
        <f t="shared" si="8"/>
        <v>1400</v>
      </c>
      <c r="K518" s="34">
        <v>1431767</v>
      </c>
      <c r="L518" s="34">
        <v>112720</v>
      </c>
    </row>
    <row r="519" hidden="1">
      <c r="A519" s="42"/>
      <c r="B519" s="64">
        <v>44736</v>
      </c>
      <c r="C519" s="9" t="s">
        <v>3100</v>
      </c>
      <c r="D519" s="6" t="s">
        <v>3101</v>
      </c>
      <c r="E519" s="6" t="s">
        <v>3082</v>
      </c>
      <c r="F519" s="6" t="s">
        <v>2226</v>
      </c>
      <c r="G519" s="6" t="s">
        <v>2818</v>
      </c>
      <c r="H519" s="7">
        <v>1400</v>
      </c>
      <c r="I519" s="8">
        <f>SUMIF(Cargas!$C$6:$C$1064,C519,Cargas!$O$6:$O$1166)</f>
        <v>0</v>
      </c>
      <c r="J519" s="17">
        <f t="shared" si="8"/>
        <v>1400</v>
      </c>
      <c r="K519" s="34">
        <v>1431768</v>
      </c>
      <c r="L519" s="34">
        <v>113555</v>
      </c>
    </row>
    <row r="520" hidden="1">
      <c r="B520" s="64">
        <v>44559</v>
      </c>
      <c r="C520" s="9" t="s">
        <v>3102</v>
      </c>
      <c r="D520" s="6" t="s">
        <v>2710</v>
      </c>
      <c r="E520" s="6" t="s">
        <v>2230</v>
      </c>
      <c r="F520" s="6" t="s">
        <v>2221</v>
      </c>
      <c r="G520" s="6" t="s">
        <v>2222</v>
      </c>
      <c r="H520" s="7">
        <v>2310</v>
      </c>
      <c r="I520" s="8">
        <f>SUMIF(Cargas!$C$6:$C$1064,C520,Cargas!$O$6:$O$1064)</f>
        <v>0</v>
      </c>
      <c r="J520" s="17">
        <f t="shared" si="8"/>
        <v>2310</v>
      </c>
      <c r="K520" s="34">
        <v>1420329</v>
      </c>
      <c r="L520" s="34">
        <v>30340</v>
      </c>
    </row>
    <row r="521" hidden="1">
      <c r="A521" s="42"/>
      <c r="B521" s="64">
        <v>44736</v>
      </c>
      <c r="C521" s="9" t="s">
        <v>3103</v>
      </c>
      <c r="D521" s="6" t="s">
        <v>3104</v>
      </c>
      <c r="E521" s="6" t="s">
        <v>3082</v>
      </c>
      <c r="F521" s="6" t="s">
        <v>2226</v>
      </c>
      <c r="G521" s="6" t="s">
        <v>2818</v>
      </c>
      <c r="H521" s="7">
        <v>1300</v>
      </c>
      <c r="I521" s="8">
        <f>SUMIF(Cargas!$C$6:$C$1064,C521,Cargas!$O$6:$O$1166)</f>
        <v>0</v>
      </c>
      <c r="J521" s="17">
        <f t="shared" si="8"/>
        <v>1300</v>
      </c>
      <c r="K521" s="34">
        <v>1431769</v>
      </c>
      <c r="L521" s="34">
        <v>113555</v>
      </c>
    </row>
    <row r="522" hidden="1">
      <c r="A522" s="42"/>
      <c r="B522" s="64">
        <v>44735</v>
      </c>
      <c r="C522" s="9" t="s">
        <v>3105</v>
      </c>
      <c r="D522" s="6" t="s">
        <v>3106</v>
      </c>
      <c r="E522" s="6" t="s">
        <v>3082</v>
      </c>
      <c r="F522" s="6" t="s">
        <v>2226</v>
      </c>
      <c r="G522" s="6" t="s">
        <v>2818</v>
      </c>
      <c r="H522" s="7">
        <v>1300</v>
      </c>
      <c r="I522" s="8">
        <f>SUMIF(Cargas!$C$6:$C$1064,C522,Cargas!$O$6:$O$1166)</f>
        <v>0</v>
      </c>
      <c r="J522" s="17">
        <f t="shared" si="8"/>
        <v>1300</v>
      </c>
      <c r="K522" s="34">
        <v>1431770</v>
      </c>
      <c r="L522" s="34">
        <v>113555</v>
      </c>
    </row>
    <row r="523" hidden="1">
      <c r="B523" s="64">
        <v>45492</v>
      </c>
      <c r="C523" s="9" t="s">
        <v>368</v>
      </c>
      <c r="D523" s="6" t="s">
        <v>2811</v>
      </c>
      <c r="E523" s="6" t="s">
        <v>2812</v>
      </c>
      <c r="F523" s="6" t="s">
        <v>2226</v>
      </c>
      <c r="G523" s="6" t="s">
        <v>2818</v>
      </c>
      <c r="H523" s="7">
        <v>1400</v>
      </c>
      <c r="I523" s="8">
        <f>SUMIF(Cargas!$C$6:$C$1064,C523,Cargas!$O$6:$O$1064)</f>
        <v>1400</v>
      </c>
      <c r="J523" s="17">
        <f t="shared" si="8"/>
        <v>0</v>
      </c>
      <c r="K523" s="34">
        <v>1497565</v>
      </c>
      <c r="L523" s="34">
        <v>139552</v>
      </c>
    </row>
    <row r="524" hidden="1">
      <c r="A524" s="42"/>
      <c r="B524" s="64">
        <v>44601</v>
      </c>
      <c r="C524" s="9" t="s">
        <v>3107</v>
      </c>
      <c r="D524" s="6" t="s">
        <v>2315</v>
      </c>
      <c r="E524" s="6" t="s">
        <v>3108</v>
      </c>
      <c r="F524" s="6" t="s">
        <v>978</v>
      </c>
      <c r="G524" s="6" t="s">
        <v>2559</v>
      </c>
      <c r="H524" s="7">
        <v>2208</v>
      </c>
      <c r="I524" s="8">
        <f>SUMIF(Cargas!$C$6:$C$1064,C524,Cargas!$O$6:$O$1166)</f>
        <v>0</v>
      </c>
      <c r="J524" s="17">
        <f ref="J524:J587" t="shared" si="9">IF(ABS(H524-I524)&lt;20,0,H524-I524)</f>
        <v>2208</v>
      </c>
      <c r="K524" s="34">
        <v>1422034</v>
      </c>
      <c r="L524" s="34">
        <v>28813</v>
      </c>
    </row>
    <row r="525" hidden="1">
      <c r="B525" s="64">
        <v>45492</v>
      </c>
      <c r="C525" s="9" t="s">
        <v>384</v>
      </c>
      <c r="D525" s="6" t="s">
        <v>2817</v>
      </c>
      <c r="E525" s="6" t="s">
        <v>2812</v>
      </c>
      <c r="F525" s="6" t="s">
        <v>2226</v>
      </c>
      <c r="G525" s="6" t="s">
        <v>2818</v>
      </c>
      <c r="H525" s="7">
        <v>1400</v>
      </c>
      <c r="I525" s="8">
        <f>SUMIF(Cargas!$C$6:$C$1064,C525,Cargas!$O$6:$O$1064)</f>
        <v>1400</v>
      </c>
      <c r="J525" s="17">
        <f t="shared" si="9"/>
        <v>0</v>
      </c>
      <c r="K525" s="34">
        <v>1497566</v>
      </c>
      <c r="L525" s="34">
        <v>142513</v>
      </c>
    </row>
    <row r="526" hidden="1">
      <c r="A526" s="0" t="s">
        <v>0</v>
      </c>
      <c r="B526" s="64">
        <v>44207</v>
      </c>
      <c r="C526" s="9" t="s">
        <v>3109</v>
      </c>
      <c r="D526" s="6" t="s">
        <v>2229</v>
      </c>
      <c r="E526" s="6" t="s">
        <v>2230</v>
      </c>
      <c r="F526" s="6" t="s">
        <v>2221</v>
      </c>
      <c r="G526" s="6" t="s">
        <v>2222</v>
      </c>
      <c r="H526" s="7">
        <v>2310</v>
      </c>
      <c r="I526" s="8">
        <f>SUMIF(Cargas!$C$6:$C$1064,C526,Cargas!$O$6:$O$1064)</f>
        <v>0</v>
      </c>
      <c r="J526" s="17">
        <f t="shared" si="9"/>
        <v>2310</v>
      </c>
      <c r="K526" s="34"/>
      <c r="L526" s="34">
        <v>27583</v>
      </c>
    </row>
    <row r="527" hidden="1" ht="13.5" customHeight="1">
      <c r="A527" s="0" t="s">
        <v>0</v>
      </c>
      <c r="B527" s="64">
        <v>44207</v>
      </c>
      <c r="C527" s="9" t="s">
        <v>3110</v>
      </c>
      <c r="D527" s="6" t="s">
        <v>3111</v>
      </c>
      <c r="E527" s="6" t="s">
        <v>3112</v>
      </c>
      <c r="F527" s="6" t="s">
        <v>2221</v>
      </c>
      <c r="G527" s="6" t="s">
        <v>2222</v>
      </c>
      <c r="H527" s="7">
        <v>1539</v>
      </c>
      <c r="I527" s="8">
        <f>SUMIF(Cargas!$C$6:$C$1064,C527,Cargas!$O$6:$O$1064)</f>
        <v>0</v>
      </c>
      <c r="J527" s="17">
        <f t="shared" si="9"/>
        <v>1539</v>
      </c>
      <c r="K527" s="34"/>
      <c r="L527" s="34" t="s">
        <v>29</v>
      </c>
    </row>
    <row r="528" hidden="1" ht="13.5" customHeight="1">
      <c r="B528" s="64">
        <v>44201</v>
      </c>
      <c r="C528" s="9" t="s">
        <v>3113</v>
      </c>
      <c r="D528" s="6" t="s">
        <v>2219</v>
      </c>
      <c r="E528" s="6" t="s">
        <v>2778</v>
      </c>
      <c r="F528" s="6" t="s">
        <v>2226</v>
      </c>
      <c r="G528" s="6" t="s">
        <v>2258</v>
      </c>
      <c r="H528" s="7">
        <v>2160</v>
      </c>
      <c r="I528" s="8">
        <f>SUMIF(Cargas!$C$6:$C$1064,C528,Cargas!$O$6:$O$1064)</f>
        <v>0</v>
      </c>
      <c r="J528" s="17">
        <f t="shared" si="9"/>
        <v>2160</v>
      </c>
      <c r="K528" s="34">
        <v>1391250</v>
      </c>
      <c r="L528" s="34">
        <v>17054</v>
      </c>
    </row>
    <row r="529" hidden="1">
      <c r="B529" s="64">
        <v>44208</v>
      </c>
      <c r="C529" s="9" t="s">
        <v>3114</v>
      </c>
      <c r="D529" s="6" t="s">
        <v>2236</v>
      </c>
      <c r="E529" s="6" t="s">
        <v>2778</v>
      </c>
      <c r="F529" s="6" t="s">
        <v>2226</v>
      </c>
      <c r="G529" s="6" t="s">
        <v>2258</v>
      </c>
      <c r="H529" s="7">
        <v>2160</v>
      </c>
      <c r="I529" s="8">
        <f>SUMIF(Cargas!$C$6:$C$1064,C529,Cargas!$O$6:$O$1064)</f>
        <v>0</v>
      </c>
      <c r="J529" s="17">
        <f t="shared" si="9"/>
        <v>2160</v>
      </c>
      <c r="K529" s="34">
        <v>1391542</v>
      </c>
      <c r="L529" s="34">
        <v>17084</v>
      </c>
    </row>
    <row r="530" hidden="1">
      <c r="B530" s="64">
        <v>44229</v>
      </c>
      <c r="C530" s="9" t="s">
        <v>3115</v>
      </c>
      <c r="D530" s="6" t="s">
        <v>2244</v>
      </c>
      <c r="E530" s="6" t="s">
        <v>2778</v>
      </c>
      <c r="F530" s="6" t="s">
        <v>2226</v>
      </c>
      <c r="G530" s="6" t="s">
        <v>2258</v>
      </c>
      <c r="H530" s="7">
        <v>1080</v>
      </c>
      <c r="I530" s="8">
        <f>SUMIF(Cargas!$C$6:$C$1064,C530,Cargas!$O$6:$O$1064)</f>
        <v>0</v>
      </c>
      <c r="J530" s="17">
        <f t="shared" si="9"/>
        <v>1080</v>
      </c>
      <c r="K530" s="34">
        <v>1392196</v>
      </c>
      <c r="L530" s="34">
        <v>26702</v>
      </c>
    </row>
    <row r="531" hidden="1">
      <c r="B531" s="64">
        <v>44236</v>
      </c>
      <c r="C531" s="9" t="s">
        <v>3116</v>
      </c>
      <c r="D531" s="6" t="s">
        <v>3117</v>
      </c>
      <c r="E531" s="6" t="s">
        <v>2778</v>
      </c>
      <c r="F531" s="6" t="s">
        <v>2226</v>
      </c>
      <c r="G531" s="6" t="s">
        <v>2258</v>
      </c>
      <c r="H531" s="7">
        <v>2160</v>
      </c>
      <c r="I531" s="8">
        <f>SUMIF(Cargas!$C$6:$C$1064,C531,Cargas!$O$6:$O$1064)</f>
        <v>0</v>
      </c>
      <c r="J531" s="17">
        <f t="shared" si="9"/>
        <v>2160</v>
      </c>
      <c r="K531" s="34">
        <v>1392565</v>
      </c>
      <c r="L531" s="34">
        <v>32328</v>
      </c>
    </row>
    <row r="532" hidden="1">
      <c r="B532" s="64">
        <v>44236</v>
      </c>
      <c r="C532" s="9" t="s">
        <v>3118</v>
      </c>
      <c r="D532" s="6" t="s">
        <v>3119</v>
      </c>
      <c r="E532" s="6" t="s">
        <v>2778</v>
      </c>
      <c r="F532" s="6" t="s">
        <v>2226</v>
      </c>
      <c r="G532" s="6" t="s">
        <v>2258</v>
      </c>
      <c r="H532" s="7">
        <v>2160</v>
      </c>
      <c r="I532" s="8">
        <f>SUMIF(Cargas!$C$6:$C$1064,C532,Cargas!$O$6:$O$1064)</f>
        <v>0</v>
      </c>
      <c r="J532" s="17">
        <f t="shared" si="9"/>
        <v>2160</v>
      </c>
      <c r="K532" s="34">
        <v>1392989</v>
      </c>
      <c r="L532" s="34">
        <v>32360</v>
      </c>
    </row>
    <row r="533" hidden="1">
      <c r="B533" s="64">
        <v>44243</v>
      </c>
      <c r="C533" s="9" t="s">
        <v>3120</v>
      </c>
      <c r="D533" s="6" t="s">
        <v>3121</v>
      </c>
      <c r="E533" s="6" t="s">
        <v>2778</v>
      </c>
      <c r="F533" s="6" t="s">
        <v>2226</v>
      </c>
      <c r="G533" s="6" t="s">
        <v>2258</v>
      </c>
      <c r="H533" s="7">
        <v>2160</v>
      </c>
      <c r="I533" s="8">
        <f>SUMIF(Cargas!$C$6:$C$1064,C533,Cargas!$O$6:$O$1064)</f>
        <v>0</v>
      </c>
      <c r="J533" s="17">
        <f t="shared" si="9"/>
        <v>2160</v>
      </c>
      <c r="K533" s="34">
        <v>1392566</v>
      </c>
      <c r="L533" s="34">
        <v>36104</v>
      </c>
    </row>
    <row r="534" hidden="1">
      <c r="B534" s="64">
        <v>44250</v>
      </c>
      <c r="C534" s="9" t="s">
        <v>3122</v>
      </c>
      <c r="D534" s="6" t="s">
        <v>3123</v>
      </c>
      <c r="E534" s="6" t="s">
        <v>2778</v>
      </c>
      <c r="F534" s="6" t="s">
        <v>2226</v>
      </c>
      <c r="G534" s="6" t="s">
        <v>2258</v>
      </c>
      <c r="H534" s="7">
        <v>2160</v>
      </c>
      <c r="I534" s="8">
        <f>SUMIF(Cargas!$C$6:$C$1064,C534,Cargas!$O$6:$O$1064)</f>
        <v>0</v>
      </c>
      <c r="J534" s="17">
        <f t="shared" si="9"/>
        <v>2160</v>
      </c>
      <c r="K534" s="34"/>
      <c r="L534" s="34">
        <v>41314</v>
      </c>
    </row>
    <row r="535" hidden="1">
      <c r="B535" s="64">
        <v>44250</v>
      </c>
      <c r="C535" s="9" t="s">
        <v>3124</v>
      </c>
      <c r="D535" s="6" t="s">
        <v>2272</v>
      </c>
      <c r="E535" s="6" t="s">
        <v>2778</v>
      </c>
      <c r="F535" s="6" t="s">
        <v>2226</v>
      </c>
      <c r="G535" s="6" t="s">
        <v>2258</v>
      </c>
      <c r="H535" s="7">
        <v>2160</v>
      </c>
      <c r="I535" s="8">
        <f>SUMIF(Cargas!$C$6:$C$1064,C535,Cargas!$O$6:$O$1064)</f>
        <v>0</v>
      </c>
      <c r="J535" s="17">
        <f t="shared" si="9"/>
        <v>2160</v>
      </c>
      <c r="K535" s="34">
        <v>1392990</v>
      </c>
      <c r="L535" s="34">
        <v>40427</v>
      </c>
    </row>
    <row r="536" hidden="1">
      <c r="B536" s="64">
        <v>44257</v>
      </c>
      <c r="C536" s="9" t="s">
        <v>3125</v>
      </c>
      <c r="D536" s="6" t="s">
        <v>2285</v>
      </c>
      <c r="E536" s="6" t="s">
        <v>2778</v>
      </c>
      <c r="F536" s="6" t="s">
        <v>2226</v>
      </c>
      <c r="G536" s="6" t="s">
        <v>2258</v>
      </c>
      <c r="H536" s="7">
        <v>1079</v>
      </c>
      <c r="I536" s="8">
        <f>SUMIF(Cargas!$C$6:$C$1064,C536,Cargas!$O$6:$O$1064)</f>
        <v>0</v>
      </c>
      <c r="J536" s="17">
        <f t="shared" si="9"/>
        <v>1079</v>
      </c>
      <c r="K536" s="34">
        <v>1394270</v>
      </c>
      <c r="L536" s="34">
        <v>46728</v>
      </c>
    </row>
    <row r="537" hidden="1">
      <c r="B537" s="64">
        <v>44257</v>
      </c>
      <c r="C537" s="9" t="s">
        <v>3126</v>
      </c>
      <c r="D537" s="6" t="s">
        <v>2291</v>
      </c>
      <c r="E537" s="6" t="s">
        <v>2778</v>
      </c>
      <c r="F537" s="6" t="s">
        <v>2226</v>
      </c>
      <c r="G537" s="6" t="s">
        <v>2258</v>
      </c>
      <c r="H537" s="7">
        <v>5400</v>
      </c>
      <c r="I537" s="8">
        <f>SUMIF(Cargas!$C$6:$C$1064,C537,Cargas!$O$6:$O$1064)</f>
        <v>0</v>
      </c>
      <c r="J537" s="17">
        <f t="shared" si="9"/>
        <v>5400</v>
      </c>
      <c r="K537" s="34">
        <v>1394272</v>
      </c>
      <c r="L537" s="34">
        <v>46851</v>
      </c>
    </row>
    <row r="538" hidden="1">
      <c r="B538" s="64">
        <v>44264</v>
      </c>
      <c r="C538" s="9" t="s">
        <v>3127</v>
      </c>
      <c r="D538" s="6" t="s">
        <v>2295</v>
      </c>
      <c r="E538" s="6" t="s">
        <v>2778</v>
      </c>
      <c r="F538" s="6" t="s">
        <v>2226</v>
      </c>
      <c r="G538" s="6" t="s">
        <v>2258</v>
      </c>
      <c r="H538" s="7">
        <v>4320</v>
      </c>
      <c r="I538" s="8">
        <f>SUMIF(Cargas!$C$6:$C$1064,C538,Cargas!$O$6:$O$1064)</f>
        <v>0</v>
      </c>
      <c r="J538" s="17">
        <f t="shared" si="9"/>
        <v>4320</v>
      </c>
      <c r="K538" s="34">
        <v>1395033</v>
      </c>
      <c r="L538" s="34">
        <v>51566</v>
      </c>
    </row>
    <row r="539" hidden="1">
      <c r="B539" s="64">
        <v>44271</v>
      </c>
      <c r="C539" s="9" t="s">
        <v>3128</v>
      </c>
      <c r="D539" s="6" t="s">
        <v>2309</v>
      </c>
      <c r="E539" s="6" t="s">
        <v>2778</v>
      </c>
      <c r="F539" s="6" t="s">
        <v>2226</v>
      </c>
      <c r="G539" s="6" t="s">
        <v>2258</v>
      </c>
      <c r="H539" s="7">
        <v>1080</v>
      </c>
      <c r="I539" s="8">
        <f>SUMIF(Cargas!$C$6:$C$1064,C539,Cargas!$O$6:$O$1064)</f>
        <v>0</v>
      </c>
      <c r="J539" s="17">
        <f t="shared" si="9"/>
        <v>1080</v>
      </c>
      <c r="K539" s="34">
        <v>1395671</v>
      </c>
      <c r="L539" s="34">
        <v>54513</v>
      </c>
    </row>
    <row r="540" hidden="1">
      <c r="B540" s="64">
        <v>44271</v>
      </c>
      <c r="C540" s="9" t="s">
        <v>3129</v>
      </c>
      <c r="D540" s="6" t="s">
        <v>2307</v>
      </c>
      <c r="E540" s="6" t="s">
        <v>2778</v>
      </c>
      <c r="F540" s="6" t="s">
        <v>2226</v>
      </c>
      <c r="G540" s="6" t="s">
        <v>2258</v>
      </c>
      <c r="H540" s="7">
        <v>1080</v>
      </c>
      <c r="I540" s="8">
        <f>SUMIF(Cargas!$C$6:$C$1064,C540,Cargas!$O$6:$O$1064)</f>
        <v>0</v>
      </c>
      <c r="J540" s="17">
        <f t="shared" si="9"/>
        <v>1080</v>
      </c>
      <c r="K540" s="34">
        <v>1395670</v>
      </c>
      <c r="L540" s="34">
        <v>54463</v>
      </c>
    </row>
    <row r="541" hidden="1">
      <c r="B541" s="64">
        <v>44278</v>
      </c>
      <c r="C541" s="9" t="s">
        <v>3130</v>
      </c>
      <c r="D541" s="6" t="s">
        <v>2319</v>
      </c>
      <c r="E541" s="6" t="s">
        <v>2778</v>
      </c>
      <c r="F541" s="6" t="s">
        <v>2226</v>
      </c>
      <c r="G541" s="6" t="s">
        <v>2258</v>
      </c>
      <c r="H541" s="7">
        <v>2160</v>
      </c>
      <c r="I541" s="8">
        <f>SUMIF(Cargas!$C$6:$C$1064,C541,Cargas!$O$6:$O$1064)</f>
        <v>0</v>
      </c>
      <c r="J541" s="17">
        <f t="shared" si="9"/>
        <v>2160</v>
      </c>
      <c r="K541" s="34">
        <v>1395958</v>
      </c>
      <c r="L541" s="34">
        <v>58235</v>
      </c>
    </row>
    <row r="542" hidden="1">
      <c r="B542" s="64">
        <v>44285</v>
      </c>
      <c r="C542" s="9" t="s">
        <v>3131</v>
      </c>
      <c r="D542" s="6" t="s">
        <v>2331</v>
      </c>
      <c r="E542" s="6" t="s">
        <v>2778</v>
      </c>
      <c r="F542" s="6" t="s">
        <v>2226</v>
      </c>
      <c r="G542" s="6" t="s">
        <v>2258</v>
      </c>
      <c r="H542" s="7">
        <v>2160</v>
      </c>
      <c r="I542" s="8">
        <f>SUMIF(Cargas!$C$6:$C$1064,C542,Cargas!$O$6:$O$1064)</f>
        <v>0</v>
      </c>
      <c r="J542" s="17">
        <f t="shared" si="9"/>
        <v>2160</v>
      </c>
      <c r="K542" s="34">
        <v>1396397</v>
      </c>
      <c r="L542" s="34">
        <v>63116</v>
      </c>
    </row>
    <row r="543" hidden="1">
      <c r="B543" s="64">
        <v>44278</v>
      </c>
      <c r="C543" s="9" t="s">
        <v>3132</v>
      </c>
      <c r="D543" s="6" t="s">
        <v>2325</v>
      </c>
      <c r="E543" s="6" t="s">
        <v>2778</v>
      </c>
      <c r="F543" s="6" t="s">
        <v>2226</v>
      </c>
      <c r="G543" s="6" t="s">
        <v>2258</v>
      </c>
      <c r="H543" s="7">
        <v>1080</v>
      </c>
      <c r="I543" s="8">
        <f>SUMIF(Cargas!$C$6:$C$1064,C543,Cargas!$O$6:$O$1064)</f>
        <v>0</v>
      </c>
      <c r="J543" s="17">
        <f t="shared" si="9"/>
        <v>1080</v>
      </c>
      <c r="K543" s="34">
        <v>1395967</v>
      </c>
      <c r="L543" s="34">
        <v>58435</v>
      </c>
    </row>
    <row r="544" hidden="1">
      <c r="B544" s="64">
        <v>44304</v>
      </c>
      <c r="C544" s="9" t="s">
        <v>3133</v>
      </c>
      <c r="D544" s="6" t="s">
        <v>2335</v>
      </c>
      <c r="E544" s="6" t="s">
        <v>2220</v>
      </c>
      <c r="F544" s="6" t="s">
        <v>2226</v>
      </c>
      <c r="G544" s="6" t="s">
        <v>2258</v>
      </c>
      <c r="H544" s="7">
        <v>2160</v>
      </c>
      <c r="I544" s="8">
        <f>SUMIF(Cargas!$C$6:$C$1064,C544,Cargas!$O$6:$O$1064)</f>
        <v>0</v>
      </c>
      <c r="J544" s="17">
        <f t="shared" si="9"/>
        <v>2160</v>
      </c>
      <c r="K544" s="34">
        <v>1397342</v>
      </c>
      <c r="L544" s="34">
        <v>75943</v>
      </c>
    </row>
    <row r="545" hidden="1">
      <c r="B545" s="64">
        <v>44307</v>
      </c>
      <c r="C545" s="9" t="s">
        <v>3134</v>
      </c>
      <c r="D545" s="6" t="s">
        <v>2346</v>
      </c>
      <c r="E545" s="6" t="s">
        <v>2220</v>
      </c>
      <c r="F545" s="6" t="s">
        <v>2226</v>
      </c>
      <c r="G545" s="6" t="s">
        <v>2258</v>
      </c>
      <c r="H545" s="7">
        <v>2160</v>
      </c>
      <c r="I545" s="8">
        <f>SUMIF(Cargas!$C$6:$C$1064,C545,Cargas!$O$6:$O$1064)</f>
        <v>0</v>
      </c>
      <c r="J545" s="17">
        <f t="shared" si="9"/>
        <v>2160</v>
      </c>
      <c r="K545" s="34">
        <v>1397817</v>
      </c>
      <c r="L545" s="34">
        <v>76905</v>
      </c>
    </row>
    <row r="546" hidden="1">
      <c r="B546" s="64">
        <v>44313</v>
      </c>
      <c r="C546" s="9" t="s">
        <v>3135</v>
      </c>
      <c r="D546" s="6" t="s">
        <v>2361</v>
      </c>
      <c r="E546" s="6" t="s">
        <v>2220</v>
      </c>
      <c r="F546" s="6" t="s">
        <v>2226</v>
      </c>
      <c r="G546" s="6" t="s">
        <v>2258</v>
      </c>
      <c r="H546" s="7">
        <v>2160</v>
      </c>
      <c r="I546" s="8">
        <f>SUMIF(Cargas!$C$6:$C$1064,C546,Cargas!$O$6:$O$1064)</f>
        <v>0</v>
      </c>
      <c r="J546" s="17">
        <f t="shared" si="9"/>
        <v>2160</v>
      </c>
      <c r="K546" s="34">
        <v>1398281</v>
      </c>
      <c r="L546" s="34">
        <v>80693</v>
      </c>
    </row>
    <row r="547" hidden="1">
      <c r="B547" s="64">
        <v>44334</v>
      </c>
      <c r="C547" s="9" t="s">
        <v>3136</v>
      </c>
      <c r="D547" s="6" t="s">
        <v>2371</v>
      </c>
      <c r="E547" s="6" t="s">
        <v>2220</v>
      </c>
      <c r="F547" s="6" t="s">
        <v>2226</v>
      </c>
      <c r="G547" s="6" t="s">
        <v>2258</v>
      </c>
      <c r="H547" s="7">
        <v>1080</v>
      </c>
      <c r="I547" s="8">
        <f>SUMIF(Cargas!$C$6:$C$1064,C547,Cargas!$O$6:$O$1064)</f>
        <v>0</v>
      </c>
      <c r="J547" s="17">
        <f t="shared" si="9"/>
        <v>1080</v>
      </c>
      <c r="K547" s="34">
        <v>1399313</v>
      </c>
      <c r="L547" s="34">
        <v>94611</v>
      </c>
    </row>
    <row r="548" hidden="1">
      <c r="B548" s="64">
        <v>44341</v>
      </c>
      <c r="C548" s="9" t="s">
        <v>3137</v>
      </c>
      <c r="D548" s="6" t="s">
        <v>2391</v>
      </c>
      <c r="E548" s="6" t="s">
        <v>2220</v>
      </c>
      <c r="F548" s="6" t="s">
        <v>2226</v>
      </c>
      <c r="G548" s="6" t="s">
        <v>2258</v>
      </c>
      <c r="H548" s="7">
        <v>4320</v>
      </c>
      <c r="I548" s="8">
        <f>SUMIF(Cargas!$C$6:$C$1064,C548,Cargas!$O$6:$O$1064)</f>
        <v>0</v>
      </c>
      <c r="J548" s="17">
        <f t="shared" si="9"/>
        <v>4320</v>
      </c>
      <c r="K548" s="34">
        <v>1400159</v>
      </c>
      <c r="L548" s="34">
        <v>103576</v>
      </c>
    </row>
    <row r="549" hidden="1">
      <c r="B549" s="64">
        <v>44348</v>
      </c>
      <c r="C549" s="9" t="s">
        <v>3138</v>
      </c>
      <c r="D549" s="6" t="s">
        <v>2400</v>
      </c>
      <c r="E549" s="6" t="s">
        <v>2220</v>
      </c>
      <c r="F549" s="6" t="s">
        <v>2226</v>
      </c>
      <c r="G549" s="6" t="s">
        <v>2282</v>
      </c>
      <c r="H549" s="7">
        <v>3240</v>
      </c>
      <c r="I549" s="8">
        <f>SUMIF(Cargas!$C$6:$C$1064,C549,Cargas!$O$6:$O$1064)</f>
        <v>0</v>
      </c>
      <c r="J549" s="17">
        <f t="shared" si="9"/>
        <v>3240</v>
      </c>
      <c r="K549" s="34">
        <v>1400888</v>
      </c>
      <c r="L549" s="34">
        <v>103526</v>
      </c>
    </row>
    <row r="550" hidden="1">
      <c r="B550" s="64">
        <v>44362</v>
      </c>
      <c r="C550" s="9" t="s">
        <v>3139</v>
      </c>
      <c r="D550" s="6" t="s">
        <v>2414</v>
      </c>
      <c r="E550" s="6" t="s">
        <v>2220</v>
      </c>
      <c r="F550" s="6" t="s">
        <v>2226</v>
      </c>
      <c r="G550" s="6" t="s">
        <v>2227</v>
      </c>
      <c r="H550" s="7">
        <v>2160</v>
      </c>
      <c r="I550" s="8">
        <f>SUMIF(Cargas!$C$6:$C$1064,C550,Cargas!$O$6:$O$1064)</f>
        <v>0</v>
      </c>
      <c r="J550" s="17">
        <f t="shared" si="9"/>
        <v>2160</v>
      </c>
      <c r="K550" s="34">
        <v>1402207</v>
      </c>
      <c r="L550" s="34">
        <v>117848</v>
      </c>
    </row>
    <row r="551" hidden="1">
      <c r="B551" s="64">
        <v>44356</v>
      </c>
      <c r="C551" s="9" t="s">
        <v>3140</v>
      </c>
      <c r="D551" s="6" t="s">
        <v>2408</v>
      </c>
      <c r="E551" s="6" t="s">
        <v>2220</v>
      </c>
      <c r="F551" s="6" t="s">
        <v>2226</v>
      </c>
      <c r="G551" s="6" t="s">
        <v>2282</v>
      </c>
      <c r="H551" s="7">
        <v>2160</v>
      </c>
      <c r="I551" s="8">
        <f>SUMIF(Cargas!$C$6:$C$1064,C551,Cargas!$O$6:$O$1064)</f>
        <v>0</v>
      </c>
      <c r="J551" s="17">
        <f t="shared" si="9"/>
        <v>2160</v>
      </c>
      <c r="K551" s="34">
        <v>1401281</v>
      </c>
      <c r="L551" s="34">
        <v>108977</v>
      </c>
    </row>
    <row r="552" hidden="1">
      <c r="B552" s="64">
        <v>44369</v>
      </c>
      <c r="C552" s="9" t="s">
        <v>3141</v>
      </c>
      <c r="D552" s="6" t="s">
        <v>2420</v>
      </c>
      <c r="E552" s="6" t="s">
        <v>2220</v>
      </c>
      <c r="F552" s="6" t="s">
        <v>2226</v>
      </c>
      <c r="G552" s="6" t="s">
        <v>2227</v>
      </c>
      <c r="H552" s="7">
        <v>3240</v>
      </c>
      <c r="I552" s="8">
        <f>SUMIF(Cargas!$C$6:$C$1064,C552,Cargas!$O$6:$O$1064)</f>
        <v>0</v>
      </c>
      <c r="J552" s="17">
        <f t="shared" si="9"/>
        <v>3240</v>
      </c>
      <c r="K552" s="34">
        <v>1402711</v>
      </c>
      <c r="L552" s="34">
        <v>121431</v>
      </c>
    </row>
    <row r="553" hidden="1">
      <c r="B553" s="64">
        <v>44380</v>
      </c>
      <c r="C553" s="9" t="s">
        <v>3142</v>
      </c>
      <c r="D553" s="6" t="s">
        <v>2428</v>
      </c>
      <c r="E553" s="6" t="s">
        <v>2220</v>
      </c>
      <c r="F553" s="6" t="s">
        <v>2226</v>
      </c>
      <c r="G553" s="6" t="s">
        <v>2227</v>
      </c>
      <c r="H553" s="7">
        <v>3240</v>
      </c>
      <c r="I553" s="8">
        <f>SUMIF(Cargas!$C$6:$C$1064,C553,Cargas!$O$6:$O$1064)</f>
        <v>0</v>
      </c>
      <c r="J553" s="17">
        <f t="shared" si="9"/>
        <v>3240</v>
      </c>
      <c r="K553" s="34">
        <v>1400394</v>
      </c>
      <c r="L553" s="34">
        <v>125917</v>
      </c>
    </row>
    <row r="554" hidden="1">
      <c r="B554" s="64">
        <v>44384</v>
      </c>
      <c r="C554" s="9" t="s">
        <v>3143</v>
      </c>
      <c r="D554" s="6" t="s">
        <v>2840</v>
      </c>
      <c r="E554" s="6" t="s">
        <v>2220</v>
      </c>
      <c r="F554" s="6" t="s">
        <v>2226</v>
      </c>
      <c r="G554" s="6" t="s">
        <v>2227</v>
      </c>
      <c r="H554" s="7">
        <v>1080</v>
      </c>
      <c r="I554" s="8">
        <f>SUMIF(Cargas!$C$6:$C$1064,C554,Cargas!$O$6:$O$1064)</f>
        <v>0</v>
      </c>
      <c r="J554" s="17">
        <f t="shared" si="9"/>
        <v>1080</v>
      </c>
      <c r="K554" s="34">
        <v>1403703</v>
      </c>
      <c r="L554" s="34">
        <v>126130</v>
      </c>
    </row>
    <row r="555" hidden="1">
      <c r="B555" s="64">
        <v>44384</v>
      </c>
      <c r="C555" s="9" t="s">
        <v>3144</v>
      </c>
      <c r="D555" s="6" t="s">
        <v>2440</v>
      </c>
      <c r="E555" s="6" t="s">
        <v>2220</v>
      </c>
      <c r="F555" s="6" t="s">
        <v>2226</v>
      </c>
      <c r="G555" s="6" t="s">
        <v>2227</v>
      </c>
      <c r="H555" s="7">
        <v>1080</v>
      </c>
      <c r="I555" s="8">
        <f>SUMIF(Cargas!$C$6:$C$1064,C555,Cargas!$O$6:$O$1064)</f>
        <v>0</v>
      </c>
      <c r="J555" s="17">
        <f t="shared" si="9"/>
        <v>1080</v>
      </c>
      <c r="K555" s="34">
        <v>1403702</v>
      </c>
      <c r="L555" s="34">
        <v>126130</v>
      </c>
    </row>
    <row r="556" hidden="1">
      <c r="B556" s="64">
        <v>44391</v>
      </c>
      <c r="C556" s="9" t="s">
        <v>3145</v>
      </c>
      <c r="D556" s="6" t="s">
        <v>2444</v>
      </c>
      <c r="E556" s="6" t="s">
        <v>2220</v>
      </c>
      <c r="F556" s="6" t="s">
        <v>2226</v>
      </c>
      <c r="G556" s="6" t="s">
        <v>2258</v>
      </c>
      <c r="H556" s="7">
        <v>4320</v>
      </c>
      <c r="I556" s="8">
        <f>SUMIF(Cargas!$C$6:$C$1064,C556,Cargas!$O$6:$O$1064)</f>
        <v>0</v>
      </c>
      <c r="J556" s="17">
        <f t="shared" si="9"/>
        <v>4320</v>
      </c>
      <c r="K556" s="34">
        <v>1404149</v>
      </c>
      <c r="L556" s="34">
        <v>131345</v>
      </c>
    </row>
    <row r="557" hidden="1">
      <c r="B557" s="64">
        <v>44397</v>
      </c>
      <c r="C557" s="9" t="s">
        <v>3146</v>
      </c>
      <c r="D557" s="6" t="s">
        <v>2454</v>
      </c>
      <c r="E557" s="6" t="s">
        <v>2220</v>
      </c>
      <c r="F557" s="6" t="s">
        <v>2221</v>
      </c>
      <c r="G557" s="6" t="s">
        <v>2222</v>
      </c>
      <c r="H557" s="7">
        <v>2160</v>
      </c>
      <c r="I557" s="8">
        <f>SUMIF(Cargas!$C$6:$C$1064,C557,Cargas!$O$6:$O$1064)</f>
        <v>0</v>
      </c>
      <c r="J557" s="17">
        <f t="shared" si="9"/>
        <v>2160</v>
      </c>
      <c r="K557" s="34">
        <v>1404598</v>
      </c>
      <c r="L557" s="34">
        <v>154338</v>
      </c>
    </row>
    <row r="558" hidden="1">
      <c r="B558" s="64">
        <v>44402</v>
      </c>
      <c r="C558" s="9" t="s">
        <v>3147</v>
      </c>
      <c r="D558" s="6" t="s">
        <v>2446</v>
      </c>
      <c r="E558" s="6" t="s">
        <v>2220</v>
      </c>
      <c r="F558" s="6" t="s">
        <v>2226</v>
      </c>
      <c r="G558" s="6" t="s">
        <v>2258</v>
      </c>
      <c r="H558" s="7">
        <v>2160</v>
      </c>
      <c r="I558" s="8">
        <f>SUMIF(Cargas!$C$6:$C$1064,C558,Cargas!$O$6:$O$1064)</f>
        <v>0</v>
      </c>
      <c r="J558" s="17">
        <f t="shared" si="9"/>
        <v>2160</v>
      </c>
      <c r="K558" s="34">
        <v>1404471</v>
      </c>
      <c r="L558" s="34">
        <v>140006</v>
      </c>
    </row>
    <row r="559" hidden="1">
      <c r="B559" s="64">
        <v>44313</v>
      </c>
      <c r="C559" s="9" t="s">
        <v>3148</v>
      </c>
      <c r="D559" s="6" t="s">
        <v>2304</v>
      </c>
      <c r="E559" s="6" t="s">
        <v>2225</v>
      </c>
      <c r="F559" s="6" t="s">
        <v>2226</v>
      </c>
      <c r="G559" s="6" t="s">
        <v>2227</v>
      </c>
      <c r="H559" s="7">
        <v>1680</v>
      </c>
      <c r="I559" s="8">
        <f>SUMIF(Cargas!$C$6:$C$1064,C559,Cargas!$O$6:$O$1064)</f>
        <v>0</v>
      </c>
      <c r="J559" s="17">
        <f t="shared" si="9"/>
        <v>1680</v>
      </c>
      <c r="K559" s="34">
        <v>1398282</v>
      </c>
      <c r="L559" s="34">
        <v>80624</v>
      </c>
    </row>
    <row r="560" hidden="1">
      <c r="B560" s="64">
        <v>44403</v>
      </c>
      <c r="C560" s="9" t="s">
        <v>3149</v>
      </c>
      <c r="D560" s="6" t="s">
        <v>2458</v>
      </c>
      <c r="E560" s="6" t="s">
        <v>2220</v>
      </c>
      <c r="F560" s="6" t="s">
        <v>2221</v>
      </c>
      <c r="G560" s="6" t="s">
        <v>2222</v>
      </c>
      <c r="H560" s="7">
        <v>2160</v>
      </c>
      <c r="I560" s="8">
        <f>SUMIF(Cargas!$C$6:$C$1064,C560,Cargas!$O$6:$O$1064)</f>
        <v>0</v>
      </c>
      <c r="J560" s="17">
        <f t="shared" si="9"/>
        <v>2160</v>
      </c>
      <c r="K560" s="34">
        <v>1404897</v>
      </c>
      <c r="L560" s="34">
        <v>154392</v>
      </c>
    </row>
    <row r="561" hidden="1" ht="13.5" customHeight="1">
      <c r="B561" s="64">
        <v>44409</v>
      </c>
      <c r="C561" s="9" t="s">
        <v>3150</v>
      </c>
      <c r="D561" s="6" t="s">
        <v>2456</v>
      </c>
      <c r="E561" s="6" t="s">
        <v>2220</v>
      </c>
      <c r="F561" s="6" t="s">
        <v>2226</v>
      </c>
      <c r="G561" s="6" t="s">
        <v>2258</v>
      </c>
      <c r="H561" s="7">
        <v>2160</v>
      </c>
      <c r="I561" s="8">
        <f>SUMIF(Cargas!$C$6:$C$1064,C561,Cargas!$O$6:$O$1064)</f>
        <v>0</v>
      </c>
      <c r="J561" s="17">
        <f t="shared" si="9"/>
        <v>2160</v>
      </c>
      <c r="K561" s="34">
        <v>1404904</v>
      </c>
      <c r="L561" s="34">
        <v>147128</v>
      </c>
    </row>
    <row r="562" hidden="1">
      <c r="B562" s="64">
        <v>44410</v>
      </c>
      <c r="C562" s="9" t="s">
        <v>3151</v>
      </c>
      <c r="D562" s="6" t="s">
        <v>2475</v>
      </c>
      <c r="E562" s="6" t="s">
        <v>2220</v>
      </c>
      <c r="F562" s="6" t="s">
        <v>2221</v>
      </c>
      <c r="G562" s="6" t="s">
        <v>2222</v>
      </c>
      <c r="H562" s="7">
        <v>2160</v>
      </c>
      <c r="I562" s="8">
        <f>SUMIF(Cargas!$C$6:$C$1064,C562,Cargas!$O$6:$O$1064)</f>
        <v>0</v>
      </c>
      <c r="J562" s="17">
        <f t="shared" si="9"/>
        <v>2160</v>
      </c>
      <c r="K562" s="34">
        <v>1405463</v>
      </c>
      <c r="L562" s="34">
        <v>168649</v>
      </c>
    </row>
    <row r="563" hidden="1">
      <c r="B563" s="64">
        <v>44417</v>
      </c>
      <c r="C563" s="9" t="s">
        <v>3152</v>
      </c>
      <c r="D563" s="6" t="s">
        <v>2486</v>
      </c>
      <c r="E563" s="6" t="s">
        <v>2220</v>
      </c>
      <c r="F563" s="6" t="s">
        <v>2221</v>
      </c>
      <c r="G563" s="6" t="s">
        <v>2222</v>
      </c>
      <c r="H563" s="7">
        <v>2160</v>
      </c>
      <c r="I563" s="8">
        <f>SUMIF(Cargas!$C$6:$C$1064,C563,Cargas!$O$6:$O$1064)</f>
        <v>0</v>
      </c>
      <c r="J563" s="17">
        <f t="shared" si="9"/>
        <v>2160</v>
      </c>
      <c r="K563" s="34">
        <v>1406042</v>
      </c>
      <c r="L563" s="34">
        <v>168585</v>
      </c>
    </row>
    <row r="564" hidden="1">
      <c r="B564" s="64">
        <v>44424</v>
      </c>
      <c r="C564" s="9" t="s">
        <v>3153</v>
      </c>
      <c r="D564" s="6" t="s">
        <v>2502</v>
      </c>
      <c r="E564" s="6" t="s">
        <v>2220</v>
      </c>
      <c r="F564" s="6" t="s">
        <v>2221</v>
      </c>
      <c r="G564" s="6" t="s">
        <v>2222</v>
      </c>
      <c r="H564" s="7">
        <v>2160</v>
      </c>
      <c r="I564" s="8">
        <f>SUMIF(Cargas!$C$6:$C$1064,C564,Cargas!$O$6:$O$1064)</f>
        <v>0</v>
      </c>
      <c r="J564" s="17">
        <f t="shared" si="9"/>
        <v>2160</v>
      </c>
      <c r="K564" s="34">
        <v>1406702</v>
      </c>
      <c r="L564" s="34">
        <v>166035</v>
      </c>
    </row>
    <row r="565" hidden="1">
      <c r="B565" s="64">
        <v>44425</v>
      </c>
      <c r="C565" s="9" t="s">
        <v>3154</v>
      </c>
      <c r="D565" s="6" t="s">
        <v>2492</v>
      </c>
      <c r="E565" s="6" t="s">
        <v>2220</v>
      </c>
      <c r="F565" s="6" t="s">
        <v>2226</v>
      </c>
      <c r="G565" s="6" t="s">
        <v>2258</v>
      </c>
      <c r="H565" s="7">
        <v>4320</v>
      </c>
      <c r="I565" s="8">
        <f>SUMIF(Cargas!$C$6:$C$1064,C565,Cargas!$O$6:$O$1064)</f>
        <v>0</v>
      </c>
      <c r="J565" s="17">
        <f t="shared" si="9"/>
        <v>4320</v>
      </c>
      <c r="K565" s="34">
        <v>1406700</v>
      </c>
      <c r="L565" s="34">
        <v>154049</v>
      </c>
    </row>
    <row r="566" hidden="1">
      <c r="B566" s="64">
        <v>44412</v>
      </c>
      <c r="C566" s="9" t="s">
        <v>3155</v>
      </c>
      <c r="D566" s="6" t="s">
        <v>2460</v>
      </c>
      <c r="E566" s="6" t="s">
        <v>2220</v>
      </c>
      <c r="F566" s="6" t="s">
        <v>2226</v>
      </c>
      <c r="G566" s="6" t="s">
        <v>2258</v>
      </c>
      <c r="H566" s="7">
        <v>2160</v>
      </c>
      <c r="I566" s="8">
        <f>SUMIF(Cargas!$C$6:$C$1064,C566,Cargas!$O$6:$O$1064)</f>
        <v>0</v>
      </c>
      <c r="J566" s="17">
        <f t="shared" si="9"/>
        <v>2160</v>
      </c>
      <c r="K566" s="34">
        <v>1405461</v>
      </c>
      <c r="L566" s="34">
        <v>149414</v>
      </c>
    </row>
    <row r="567" hidden="1">
      <c r="B567" s="64">
        <v>44425</v>
      </c>
      <c r="C567" s="9" t="s">
        <v>3156</v>
      </c>
      <c r="D567" s="6" t="s">
        <v>2500</v>
      </c>
      <c r="E567" s="6" t="s">
        <v>2220</v>
      </c>
      <c r="F567" s="6" t="s">
        <v>2226</v>
      </c>
      <c r="G567" s="6" t="s">
        <v>2258</v>
      </c>
      <c r="H567" s="7">
        <v>1080</v>
      </c>
      <c r="I567" s="8">
        <f>SUMIF(Cargas!$C$6:$C$1064,C567,Cargas!$O$6:$O$1064)</f>
        <v>0</v>
      </c>
      <c r="J567" s="17">
        <f t="shared" si="9"/>
        <v>1080</v>
      </c>
      <c r="K567" s="34">
        <v>1406701</v>
      </c>
      <c r="L567" s="34">
        <v>154169</v>
      </c>
    </row>
    <row r="568" hidden="1">
      <c r="B568" s="64">
        <v>44438</v>
      </c>
      <c r="C568" s="9" t="s">
        <v>3157</v>
      </c>
      <c r="D568" s="6" t="s">
        <v>2532</v>
      </c>
      <c r="E568" s="6" t="s">
        <v>2220</v>
      </c>
      <c r="F568" s="6" t="s">
        <v>2221</v>
      </c>
      <c r="G568" s="6" t="s">
        <v>2222</v>
      </c>
      <c r="H568" s="7">
        <v>2160</v>
      </c>
      <c r="I568" s="8">
        <f>SUMIF(Cargas!$C$6:$C$1064,C568,Cargas!$O$6:$O$1064)</f>
        <v>0</v>
      </c>
      <c r="J568" s="17">
        <f t="shared" si="9"/>
        <v>2160</v>
      </c>
      <c r="K568" s="34">
        <v>1408000</v>
      </c>
      <c r="L568" s="34">
        <v>185469</v>
      </c>
    </row>
    <row r="569" hidden="1">
      <c r="B569" s="64">
        <v>44439</v>
      </c>
      <c r="C569" s="9" t="s">
        <v>3158</v>
      </c>
      <c r="D569" s="6" t="s">
        <v>2530</v>
      </c>
      <c r="E569" s="6" t="s">
        <v>2220</v>
      </c>
      <c r="F569" s="6" t="s">
        <v>2226</v>
      </c>
      <c r="G569" s="6" t="s">
        <v>2258</v>
      </c>
      <c r="H569" s="7">
        <v>1080</v>
      </c>
      <c r="I569" s="8">
        <f>SUMIF(Cargas!$C$6:$C$1064,C569,Cargas!$O$6:$O$1064)</f>
        <v>0</v>
      </c>
      <c r="J569" s="17">
        <f t="shared" si="9"/>
        <v>1080</v>
      </c>
      <c r="K569" s="34">
        <v>1407998</v>
      </c>
      <c r="L569" s="34">
        <v>166775</v>
      </c>
    </row>
    <row r="570" hidden="1">
      <c r="B570" s="64">
        <v>44439</v>
      </c>
      <c r="C570" s="9" t="s">
        <v>3159</v>
      </c>
      <c r="D570" s="6" t="s">
        <v>2524</v>
      </c>
      <c r="E570" s="6" t="s">
        <v>2220</v>
      </c>
      <c r="F570" s="6" t="s">
        <v>2226</v>
      </c>
      <c r="G570" s="6" t="s">
        <v>2258</v>
      </c>
      <c r="H570" s="7">
        <v>3240</v>
      </c>
      <c r="I570" s="8">
        <f>SUMIF(Cargas!$C$6:$C$1064,C570,Cargas!$O$6:$O$1064)</f>
        <v>0</v>
      </c>
      <c r="J570" s="17">
        <f t="shared" si="9"/>
        <v>3240</v>
      </c>
      <c r="K570" s="34">
        <v>1407996</v>
      </c>
      <c r="L570" s="34">
        <v>166741</v>
      </c>
    </row>
    <row r="571" hidden="1">
      <c r="B571" s="64">
        <v>44432</v>
      </c>
      <c r="C571" s="9" t="s">
        <v>3160</v>
      </c>
      <c r="D571" s="6" t="s">
        <v>2508</v>
      </c>
      <c r="E571" s="6" t="s">
        <v>2220</v>
      </c>
      <c r="F571" s="6" t="s">
        <v>2226</v>
      </c>
      <c r="G571" s="6" t="s">
        <v>2258</v>
      </c>
      <c r="H571" s="7">
        <v>3240</v>
      </c>
      <c r="I571" s="8">
        <f>SUMIF(Cargas!$C$6:$C$1064,C571,Cargas!$O$6:$O$1064)</f>
        <v>0</v>
      </c>
      <c r="J571" s="17">
        <f t="shared" si="9"/>
        <v>3240</v>
      </c>
      <c r="K571" s="34">
        <v>1407381</v>
      </c>
      <c r="L571" s="34">
        <v>162274</v>
      </c>
    </row>
    <row r="572" hidden="1">
      <c r="B572" s="64">
        <v>44432</v>
      </c>
      <c r="C572" s="9" t="s">
        <v>3161</v>
      </c>
      <c r="D572" s="6" t="s">
        <v>2514</v>
      </c>
      <c r="E572" s="6" t="s">
        <v>2220</v>
      </c>
      <c r="F572" s="6" t="s">
        <v>2226</v>
      </c>
      <c r="G572" s="6" t="s">
        <v>2258</v>
      </c>
      <c r="H572" s="7">
        <v>1080</v>
      </c>
      <c r="I572" s="8">
        <f>SUMIF(Cargas!$C$6:$C$1064,C572,Cargas!$O$6:$O$1064)</f>
        <v>0</v>
      </c>
      <c r="J572" s="17">
        <f t="shared" si="9"/>
        <v>1080</v>
      </c>
      <c r="K572" s="34">
        <v>1407307</v>
      </c>
      <c r="L572" s="34">
        <v>162374</v>
      </c>
    </row>
    <row r="573" hidden="1">
      <c r="B573" s="64">
        <v>44445</v>
      </c>
      <c r="C573" s="9" t="s">
        <v>3162</v>
      </c>
      <c r="D573" s="6" t="s">
        <v>2550</v>
      </c>
      <c r="E573" s="6" t="s">
        <v>2220</v>
      </c>
      <c r="F573" s="6" t="s">
        <v>2221</v>
      </c>
      <c r="G573" s="6" t="s">
        <v>2222</v>
      </c>
      <c r="H573" s="7">
        <v>2160</v>
      </c>
      <c r="I573" s="8">
        <f>SUMIF(Cargas!$C$6:$C$1064,C573,Cargas!$O$6:$O$1064)</f>
        <v>0</v>
      </c>
      <c r="J573" s="17">
        <f t="shared" si="9"/>
        <v>2160</v>
      </c>
      <c r="K573" s="34">
        <v>1408691</v>
      </c>
      <c r="L573" s="34">
        <v>185870</v>
      </c>
    </row>
    <row r="574" hidden="1">
      <c r="B574" s="64">
        <v>44449</v>
      </c>
      <c r="C574" s="9" t="s">
        <v>3163</v>
      </c>
      <c r="D574" s="6" t="s">
        <v>2542</v>
      </c>
      <c r="E574" s="6" t="s">
        <v>2220</v>
      </c>
      <c r="F574" s="6" t="s">
        <v>2226</v>
      </c>
      <c r="G574" s="6" t="s">
        <v>2258</v>
      </c>
      <c r="H574" s="7">
        <v>1080</v>
      </c>
      <c r="I574" s="8">
        <f>SUMIF(Cargas!$C$6:$C$1064,C574,Cargas!$O$6:$O$1064)</f>
        <v>0</v>
      </c>
      <c r="J574" s="17">
        <f t="shared" si="9"/>
        <v>1080</v>
      </c>
      <c r="K574" s="34">
        <v>1408689</v>
      </c>
      <c r="L574" s="34">
        <v>172943</v>
      </c>
    </row>
    <row r="575" hidden="1">
      <c r="B575" s="64">
        <v>44432</v>
      </c>
      <c r="C575" s="9" t="s">
        <v>3164</v>
      </c>
      <c r="D575" s="6" t="s">
        <v>2520</v>
      </c>
      <c r="E575" s="6" t="s">
        <v>2220</v>
      </c>
      <c r="F575" s="6" t="s">
        <v>2221</v>
      </c>
      <c r="G575" s="6" t="s">
        <v>2222</v>
      </c>
      <c r="H575" s="7">
        <v>2160</v>
      </c>
      <c r="I575" s="8">
        <f>SUMIF(Cargas!$C$6:$C$1064,C575,Cargas!$O$6:$O$1064)</f>
        <v>0</v>
      </c>
      <c r="J575" s="17">
        <f t="shared" si="9"/>
        <v>2160</v>
      </c>
      <c r="K575" s="34">
        <v>1407308</v>
      </c>
      <c r="L575" s="34">
        <v>168493</v>
      </c>
    </row>
    <row r="576" hidden="1">
      <c r="B576" s="64">
        <v>44452</v>
      </c>
      <c r="C576" s="9" t="s">
        <v>3165</v>
      </c>
      <c r="D576" s="6" t="s">
        <v>2566</v>
      </c>
      <c r="E576" s="6" t="s">
        <v>2220</v>
      </c>
      <c r="F576" s="6" t="s">
        <v>2221</v>
      </c>
      <c r="G576" s="6" t="s">
        <v>2222</v>
      </c>
      <c r="H576" s="7">
        <v>2160</v>
      </c>
      <c r="I576" s="8">
        <f>SUMIF(Cargas!$C$6:$C$1064,C576,Cargas!$O$6:$O$1064)</f>
        <v>0</v>
      </c>
      <c r="J576" s="17">
        <f t="shared" si="9"/>
        <v>2160</v>
      </c>
      <c r="K576" s="34">
        <v>1409072</v>
      </c>
      <c r="L576" s="34">
        <v>185892</v>
      </c>
    </row>
    <row r="577" hidden="1">
      <c r="B577" s="64">
        <v>44461</v>
      </c>
      <c r="C577" s="9" t="s">
        <v>3166</v>
      </c>
      <c r="D577" s="6" t="s">
        <v>2562</v>
      </c>
      <c r="E577" s="6" t="s">
        <v>2220</v>
      </c>
      <c r="F577" s="6" t="s">
        <v>2226</v>
      </c>
      <c r="G577" s="6" t="s">
        <v>2258</v>
      </c>
      <c r="H577" s="7">
        <v>1080</v>
      </c>
      <c r="I577" s="8">
        <f>SUMIF(Cargas!$C$6:$C$1064,C577,Cargas!$O$6:$O$1064)</f>
        <v>0</v>
      </c>
      <c r="J577" s="17">
        <f t="shared" si="9"/>
        <v>1080</v>
      </c>
      <c r="K577" s="34">
        <v>1409640</v>
      </c>
      <c r="L577" s="34">
        <v>173909</v>
      </c>
    </row>
    <row r="578" hidden="1">
      <c r="B578" s="64">
        <v>44469</v>
      </c>
      <c r="C578" s="9" t="s">
        <v>3167</v>
      </c>
      <c r="D578" s="6" t="s">
        <v>2554</v>
      </c>
      <c r="E578" s="6" t="s">
        <v>2220</v>
      </c>
      <c r="F578" s="6" t="s">
        <v>2226</v>
      </c>
      <c r="G578" s="6" t="s">
        <v>2258</v>
      </c>
      <c r="H578" s="7">
        <v>3240</v>
      </c>
      <c r="I578" s="8">
        <f>SUMIF(Cargas!$C$6:$C$1064,C578,Cargas!$O$6:$O$1064)</f>
        <v>0</v>
      </c>
      <c r="J578" s="17">
        <f t="shared" si="9"/>
        <v>3240</v>
      </c>
      <c r="K578" s="34">
        <v>1409161</v>
      </c>
      <c r="L578" s="34">
        <v>183391</v>
      </c>
    </row>
    <row r="579" hidden="1">
      <c r="B579" s="64">
        <v>44459</v>
      </c>
      <c r="C579" s="9" t="s">
        <v>3168</v>
      </c>
      <c r="D579" s="6" t="s">
        <v>3169</v>
      </c>
      <c r="E579" s="6" t="s">
        <v>2220</v>
      </c>
      <c r="F579" s="6" t="s">
        <v>2221</v>
      </c>
      <c r="G579" s="6" t="s">
        <v>2222</v>
      </c>
      <c r="H579" s="7">
        <v>2160</v>
      </c>
      <c r="I579" s="8">
        <f>SUMIF(Cargas!$C$6:$C$1064,C579,Cargas!$O$6:$O$1064)</f>
        <v>0</v>
      </c>
      <c r="J579" s="17">
        <f t="shared" si="9"/>
        <v>2160</v>
      </c>
      <c r="K579" s="34">
        <v>1409731</v>
      </c>
      <c r="L579" s="34">
        <v>185895</v>
      </c>
    </row>
    <row r="580" hidden="1">
      <c r="B580" s="64">
        <v>44236</v>
      </c>
      <c r="C580" s="9" t="s">
        <v>3170</v>
      </c>
      <c r="D580" s="6" t="s">
        <v>2224</v>
      </c>
      <c r="E580" s="6" t="s">
        <v>2225</v>
      </c>
      <c r="F580" s="6" t="s">
        <v>2226</v>
      </c>
      <c r="G580" s="6" t="s">
        <v>2227</v>
      </c>
      <c r="H580" s="7">
        <v>1680</v>
      </c>
      <c r="I580" s="8">
        <f>SUMIF(Cargas!$C$6:$C$1064,C580,Cargas!$O$6:$O$1064)</f>
        <v>0</v>
      </c>
      <c r="J580" s="17">
        <f t="shared" si="9"/>
        <v>1680</v>
      </c>
      <c r="K580" s="34">
        <v>1392708</v>
      </c>
      <c r="L580" s="34">
        <v>312275</v>
      </c>
    </row>
    <row r="581" hidden="1">
      <c r="B581" s="64">
        <v>44449</v>
      </c>
      <c r="C581" s="9" t="s">
        <v>3171</v>
      </c>
      <c r="D581" s="6" t="s">
        <v>2528</v>
      </c>
      <c r="E581" s="6" t="s">
        <v>2220</v>
      </c>
      <c r="F581" s="6" t="s">
        <v>2226</v>
      </c>
      <c r="G581" s="6" t="s">
        <v>2258</v>
      </c>
      <c r="H581" s="7">
        <v>3240</v>
      </c>
      <c r="I581" s="8">
        <f>SUMIF(Cargas!$C$6:$C$1064,C581,Cargas!$O$6:$O$1064)</f>
        <v>0</v>
      </c>
      <c r="J581" s="17">
        <f t="shared" si="9"/>
        <v>3240</v>
      </c>
      <c r="K581" s="34">
        <v>1408685</v>
      </c>
      <c r="L581" s="34">
        <v>172898</v>
      </c>
    </row>
    <row r="582" hidden="1">
      <c r="B582" s="64">
        <v>44468</v>
      </c>
      <c r="C582" s="9" t="s">
        <v>3172</v>
      </c>
      <c r="D582" s="6" t="s">
        <v>2616</v>
      </c>
      <c r="E582" s="6" t="s">
        <v>2220</v>
      </c>
      <c r="F582" s="6" t="s">
        <v>2221</v>
      </c>
      <c r="G582" s="6" t="s">
        <v>2222</v>
      </c>
      <c r="H582" s="7">
        <v>3240</v>
      </c>
      <c r="I582" s="8">
        <f>SUMIF(Cargas!$C$6:$C$1064,C582,Cargas!$O$6:$O$1064)</f>
        <v>0</v>
      </c>
      <c r="J582" s="17">
        <f t="shared" si="9"/>
        <v>3240</v>
      </c>
      <c r="K582" s="34">
        <v>1410348</v>
      </c>
      <c r="L582" s="34">
        <v>193403</v>
      </c>
    </row>
    <row r="583" hidden="1">
      <c r="B583" s="64">
        <v>44468</v>
      </c>
      <c r="C583" s="9" t="s">
        <v>3173</v>
      </c>
      <c r="D583" s="6" t="s">
        <v>2628</v>
      </c>
      <c r="E583" s="6" t="s">
        <v>2220</v>
      </c>
      <c r="F583" s="6" t="s">
        <v>2221</v>
      </c>
      <c r="G583" s="6" t="s">
        <v>2222</v>
      </c>
      <c r="H583" s="7">
        <v>1080</v>
      </c>
      <c r="I583" s="8">
        <f>SUMIF(Cargas!$C$6:$C$1064,C583,Cargas!$O$6:$O$1064)</f>
        <v>0</v>
      </c>
      <c r="J583" s="17">
        <f t="shared" si="9"/>
        <v>1080</v>
      </c>
      <c r="K583" s="34">
        <v>1410346</v>
      </c>
      <c r="L583" s="34">
        <v>193933</v>
      </c>
    </row>
    <row r="584" hidden="1">
      <c r="B584" s="64">
        <v>44467</v>
      </c>
      <c r="C584" s="9" t="s">
        <v>3174</v>
      </c>
      <c r="D584" s="6" t="s">
        <v>2610</v>
      </c>
      <c r="E584" s="6" t="s">
        <v>2220</v>
      </c>
      <c r="F584" s="6" t="s">
        <v>2226</v>
      </c>
      <c r="G584" s="6" t="s">
        <v>2258</v>
      </c>
      <c r="H584" s="7">
        <v>1080</v>
      </c>
      <c r="I584" s="8">
        <f>SUMIF(Cargas!$C$6:$C$1064,C584,Cargas!$O$6:$O$1064)</f>
        <v>0</v>
      </c>
      <c r="J584" s="17">
        <f t="shared" si="9"/>
        <v>1080</v>
      </c>
      <c r="K584" s="34">
        <v>1410347</v>
      </c>
      <c r="L584" s="34">
        <v>182051</v>
      </c>
    </row>
    <row r="585" hidden="1">
      <c r="B585" s="64">
        <v>44467</v>
      </c>
      <c r="C585" s="9" t="s">
        <v>3175</v>
      </c>
      <c r="D585" s="6" t="s">
        <v>2600</v>
      </c>
      <c r="E585" s="6" t="s">
        <v>2220</v>
      </c>
      <c r="F585" s="6" t="s">
        <v>2226</v>
      </c>
      <c r="G585" s="6" t="s">
        <v>2258</v>
      </c>
      <c r="H585" s="7">
        <v>2160</v>
      </c>
      <c r="I585" s="8">
        <f>SUMIF(Cargas!$C$6:$C$1064,C585,Cargas!$O$6:$O$1064)</f>
        <v>0</v>
      </c>
      <c r="J585" s="17">
        <f t="shared" si="9"/>
        <v>2160</v>
      </c>
      <c r="K585" s="34">
        <v>1409730</v>
      </c>
      <c r="L585" s="34">
        <v>181959</v>
      </c>
    </row>
    <row r="586" hidden="1">
      <c r="B586" s="64">
        <v>44473</v>
      </c>
      <c r="C586" s="9" t="s">
        <v>3176</v>
      </c>
      <c r="D586" s="6" t="s">
        <v>2649</v>
      </c>
      <c r="E586" s="6" t="s">
        <v>2220</v>
      </c>
      <c r="F586" s="6" t="s">
        <v>2221</v>
      </c>
      <c r="G586" s="6" t="s">
        <v>2222</v>
      </c>
      <c r="H586" s="7">
        <v>3240</v>
      </c>
      <c r="I586" s="8">
        <f>SUMIF(Cargas!$C$6:$C$1064,C586,Cargas!$O$6:$O$1064)</f>
        <v>0</v>
      </c>
      <c r="J586" s="17">
        <f t="shared" si="9"/>
        <v>3240</v>
      </c>
      <c r="K586" s="34">
        <v>1410971</v>
      </c>
      <c r="L586" s="34">
        <v>193857</v>
      </c>
    </row>
    <row r="587" hidden="1">
      <c r="B587" s="64">
        <v>44474</v>
      </c>
      <c r="C587" s="9" t="s">
        <v>3177</v>
      </c>
      <c r="D587" s="6" t="s">
        <v>2653</v>
      </c>
      <c r="E587" s="6" t="s">
        <v>2220</v>
      </c>
      <c r="F587" s="6" t="s">
        <v>2226</v>
      </c>
      <c r="G587" s="6" t="s">
        <v>2258</v>
      </c>
      <c r="H587" s="7">
        <v>1080</v>
      </c>
      <c r="I587" s="8">
        <f>SUMIF(Cargas!$C$6:$C$1064,C587,Cargas!$O$6:$O$1064)</f>
        <v>0</v>
      </c>
      <c r="J587" s="17">
        <f t="shared" si="9"/>
        <v>1080</v>
      </c>
      <c r="K587" s="34">
        <v>1410970</v>
      </c>
      <c r="L587" s="34">
        <v>191962</v>
      </c>
    </row>
    <row r="588" hidden="1">
      <c r="B588" s="64">
        <v>44474</v>
      </c>
      <c r="C588" s="9" t="s">
        <v>3178</v>
      </c>
      <c r="D588" s="6" t="s">
        <v>2638</v>
      </c>
      <c r="E588" s="6" t="s">
        <v>2220</v>
      </c>
      <c r="F588" s="6" t="s">
        <v>2226</v>
      </c>
      <c r="G588" s="6" t="s">
        <v>2258</v>
      </c>
      <c r="H588" s="7">
        <v>3240</v>
      </c>
      <c r="I588" s="8">
        <f>SUMIF(Cargas!$C$6:$C$1064,C588,Cargas!$O$6:$O$1064)</f>
        <v>0</v>
      </c>
      <c r="J588" s="17">
        <f ref="J588:J651" t="shared" si="10">IF(ABS(H588-I588)&lt;20,0,H588-I588)</f>
        <v>3240</v>
      </c>
      <c r="K588" s="34">
        <v>1410969</v>
      </c>
      <c r="L588" s="34">
        <v>191852</v>
      </c>
    </row>
    <row r="589" hidden="1">
      <c r="B589" s="64">
        <v>44485</v>
      </c>
      <c r="C589" s="9" t="s">
        <v>3179</v>
      </c>
      <c r="D589" s="6" t="s">
        <v>2663</v>
      </c>
      <c r="E589" s="6" t="s">
        <v>2220</v>
      </c>
      <c r="F589" s="6" t="s">
        <v>2226</v>
      </c>
      <c r="G589" s="6" t="s">
        <v>2258</v>
      </c>
      <c r="H589" s="7">
        <v>3240</v>
      </c>
      <c r="I589" s="8">
        <f>SUMIF(Cargas!$C$6:$C$1064,C589,Cargas!$O$6:$O$1064)</f>
        <v>0</v>
      </c>
      <c r="J589" s="17">
        <f t="shared" si="10"/>
        <v>3240</v>
      </c>
      <c r="K589" s="34">
        <v>1411631</v>
      </c>
      <c r="L589" s="34">
        <v>194302</v>
      </c>
    </row>
    <row r="590" hidden="1">
      <c r="B590" s="64">
        <v>44480</v>
      </c>
      <c r="C590" s="9" t="s">
        <v>3180</v>
      </c>
      <c r="D590" s="6" t="s">
        <v>2659</v>
      </c>
      <c r="E590" s="6" t="s">
        <v>2220</v>
      </c>
      <c r="F590" s="6" t="s">
        <v>2221</v>
      </c>
      <c r="G590" s="6" t="s">
        <v>2222</v>
      </c>
      <c r="H590" s="7">
        <v>4320</v>
      </c>
      <c r="I590" s="8">
        <f>SUMIF(Cargas!$C$6:$C$1064,C590,Cargas!$O$6:$O$1064)</f>
        <v>0</v>
      </c>
      <c r="J590" s="17">
        <f t="shared" si="10"/>
        <v>4320</v>
      </c>
      <c r="K590" s="34">
        <v>1411632</v>
      </c>
      <c r="L590" s="34">
        <v>209148</v>
      </c>
    </row>
    <row r="591" hidden="1">
      <c r="B591" s="64">
        <v>44257</v>
      </c>
      <c r="C591" s="9" t="s">
        <v>3181</v>
      </c>
      <c r="D591" s="6" t="s">
        <v>2246</v>
      </c>
      <c r="E591" s="6" t="s">
        <v>2225</v>
      </c>
      <c r="F591" s="6" t="s">
        <v>2226</v>
      </c>
      <c r="G591" s="6" t="s">
        <v>2227</v>
      </c>
      <c r="H591" s="7">
        <v>1680</v>
      </c>
      <c r="I591" s="8">
        <f>SUMIF(Cargas!$C$6:$C$1064,C591,Cargas!$O$6:$O$1064)</f>
        <v>0</v>
      </c>
      <c r="J591" s="17">
        <f t="shared" si="10"/>
        <v>1680</v>
      </c>
      <c r="K591" s="34">
        <v>1392708</v>
      </c>
      <c r="L591" s="34">
        <v>46710</v>
      </c>
    </row>
    <row r="592" hidden="1">
      <c r="B592" s="64">
        <v>44487</v>
      </c>
      <c r="C592" s="9" t="s">
        <v>3182</v>
      </c>
      <c r="D592" s="6" t="s">
        <v>2692</v>
      </c>
      <c r="E592" s="6" t="s">
        <v>2220</v>
      </c>
      <c r="F592" s="6" t="s">
        <v>2221</v>
      </c>
      <c r="G592" s="6" t="s">
        <v>2222</v>
      </c>
      <c r="H592" s="7">
        <f>1080*5</f>
        <v>5400</v>
      </c>
      <c r="I592" s="8">
        <f>SUMIF(Cargas!$C$6:$C$1064,C592,Cargas!$O$6:$O$1064)</f>
        <v>0</v>
      </c>
      <c r="J592" s="17">
        <f t="shared" si="10"/>
        <v>5400</v>
      </c>
      <c r="K592" s="34">
        <v>1412297</v>
      </c>
      <c r="L592" s="34">
        <v>209255</v>
      </c>
    </row>
    <row r="593" hidden="1">
      <c r="B593" s="64">
        <v>44487</v>
      </c>
      <c r="C593" s="9" t="s">
        <v>3183</v>
      </c>
      <c r="D593" s="6" t="s">
        <v>2686</v>
      </c>
      <c r="E593" s="6" t="s">
        <v>2220</v>
      </c>
      <c r="F593" s="6" t="s">
        <v>2226</v>
      </c>
      <c r="G593" s="6" t="s">
        <v>2258</v>
      </c>
      <c r="H593" s="7">
        <v>1080</v>
      </c>
      <c r="I593" s="8">
        <f>SUMIF(Cargas!$C$6:$C$1064,C593,Cargas!$O$6:$O$1064)</f>
        <v>0</v>
      </c>
      <c r="J593" s="17">
        <f t="shared" si="10"/>
        <v>1080</v>
      </c>
      <c r="K593" s="34">
        <v>1412298</v>
      </c>
      <c r="L593" s="34">
        <v>202777</v>
      </c>
    </row>
    <row r="594" hidden="1">
      <c r="B594" s="64">
        <v>44487</v>
      </c>
      <c r="C594" s="9" t="s">
        <v>3184</v>
      </c>
      <c r="D594" s="6" t="s">
        <v>2674</v>
      </c>
      <c r="E594" s="6" t="s">
        <v>2220</v>
      </c>
      <c r="F594" s="6" t="s">
        <v>2226</v>
      </c>
      <c r="G594" s="6" t="s">
        <v>2258</v>
      </c>
      <c r="H594" s="7">
        <v>3240</v>
      </c>
      <c r="I594" s="8">
        <f>SUMIF(Cargas!$C$6:$C$1064,C594,Cargas!$O$6:$O$1064)</f>
        <v>0</v>
      </c>
      <c r="J594" s="17">
        <f t="shared" si="10"/>
        <v>3240</v>
      </c>
      <c r="K594" s="34">
        <v>1412296</v>
      </c>
      <c r="L594" s="34">
        <v>202888</v>
      </c>
    </row>
    <row r="595" hidden="1">
      <c r="B595" s="64">
        <v>44494</v>
      </c>
      <c r="C595" s="9" t="s">
        <v>3185</v>
      </c>
      <c r="D595" s="6" t="s">
        <v>2943</v>
      </c>
      <c r="E595" s="6" t="s">
        <v>2220</v>
      </c>
      <c r="F595" s="6" t="s">
        <v>2221</v>
      </c>
      <c r="G595" s="6" t="s">
        <v>2222</v>
      </c>
      <c r="H595" s="7">
        <v>4320</v>
      </c>
      <c r="I595" s="8">
        <f>SUMIF(Cargas!$C$6:$C$1064,C595,Cargas!$O$6:$O$1064)</f>
        <v>0</v>
      </c>
      <c r="J595" s="17">
        <f t="shared" si="10"/>
        <v>4320</v>
      </c>
      <c r="K595" s="34">
        <v>1413118</v>
      </c>
      <c r="L595" s="34">
        <v>222379</v>
      </c>
    </row>
    <row r="596" hidden="1">
      <c r="B596" s="64">
        <v>44498</v>
      </c>
      <c r="C596" s="9" t="s">
        <v>3186</v>
      </c>
      <c r="D596" s="6" t="s">
        <v>2705</v>
      </c>
      <c r="E596" s="6" t="s">
        <v>2220</v>
      </c>
      <c r="F596" s="6" t="s">
        <v>2226</v>
      </c>
      <c r="G596" s="6" t="s">
        <v>2258</v>
      </c>
      <c r="H596" s="7">
        <v>3240</v>
      </c>
      <c r="I596" s="8">
        <f>SUMIF(Cargas!$C$6:$C$1064,C596,Cargas!$O$6:$O$1064)</f>
        <v>0</v>
      </c>
      <c r="J596" s="17">
        <f t="shared" si="10"/>
        <v>3240</v>
      </c>
      <c r="K596" s="34">
        <v>1413115</v>
      </c>
      <c r="L596" s="34">
        <v>204093</v>
      </c>
    </row>
    <row r="597" hidden="1">
      <c r="B597" s="64">
        <v>44506</v>
      </c>
      <c r="C597" s="9" t="s">
        <v>3187</v>
      </c>
      <c r="D597" s="6" t="s">
        <v>2945</v>
      </c>
      <c r="E597" s="6" t="s">
        <v>2220</v>
      </c>
      <c r="F597" s="6" t="s">
        <v>2226</v>
      </c>
      <c r="G597" s="6" t="s">
        <v>2258</v>
      </c>
      <c r="H597" s="7">
        <v>4320</v>
      </c>
      <c r="I597" s="8">
        <f>SUMIF(Cargas!$C$6:$C$1064,C597,Cargas!$O$6:$O$1064)</f>
        <v>0</v>
      </c>
      <c r="J597" s="17">
        <f t="shared" si="10"/>
        <v>4320</v>
      </c>
      <c r="K597" s="34">
        <v>1413726</v>
      </c>
      <c r="L597" s="34">
        <v>213897</v>
      </c>
    </row>
    <row r="598" hidden="1">
      <c r="B598" s="64">
        <v>44271</v>
      </c>
      <c r="C598" s="9" t="s">
        <v>3188</v>
      </c>
      <c r="D598" s="6" t="s">
        <v>2268</v>
      </c>
      <c r="E598" s="6" t="s">
        <v>2225</v>
      </c>
      <c r="F598" s="6" t="s">
        <v>2226</v>
      </c>
      <c r="G598" s="6" t="s">
        <v>2227</v>
      </c>
      <c r="H598" s="7">
        <v>1680</v>
      </c>
      <c r="I598" s="8">
        <f>SUMIF(Cargas!$C$6:$C$1064,C598,Cargas!$O$6:$O$1064)</f>
        <v>0</v>
      </c>
      <c r="J598" s="17">
        <f t="shared" si="10"/>
        <v>1680</v>
      </c>
      <c r="K598" s="34">
        <v>1395035</v>
      </c>
      <c r="L598" s="34">
        <v>53373</v>
      </c>
    </row>
    <row r="599" hidden="1">
      <c r="B599" s="64">
        <v>44501</v>
      </c>
      <c r="C599" s="9" t="s">
        <v>3189</v>
      </c>
      <c r="D599" s="6" t="s">
        <v>2954</v>
      </c>
      <c r="E599" s="6" t="s">
        <v>2220</v>
      </c>
      <c r="F599" s="6" t="s">
        <v>2221</v>
      </c>
      <c r="G599" s="6" t="s">
        <v>2222</v>
      </c>
      <c r="H599" s="7">
        <v>5400</v>
      </c>
      <c r="I599" s="8">
        <f>SUMIF(Cargas!$C$6:$C$1064,C599,Cargas!$O$6:$O$1064)</f>
        <v>0</v>
      </c>
      <c r="J599" s="17">
        <f t="shared" si="10"/>
        <v>5400</v>
      </c>
      <c r="K599" s="34">
        <v>1413727</v>
      </c>
      <c r="L599" s="34">
        <v>222284</v>
      </c>
    </row>
    <row r="600" hidden="1">
      <c r="B600" s="64">
        <v>44513</v>
      </c>
      <c r="C600" s="9" t="s">
        <v>3190</v>
      </c>
      <c r="D600" s="6" t="s">
        <v>2956</v>
      </c>
      <c r="E600" s="6" t="s">
        <v>2220</v>
      </c>
      <c r="F600" s="6" t="s">
        <v>2226</v>
      </c>
      <c r="G600" s="6" t="s">
        <v>2258</v>
      </c>
      <c r="H600" s="7">
        <v>5400</v>
      </c>
      <c r="I600" s="8">
        <f>SUMIF(Cargas!$C$6:$C$1064,C600,Cargas!$O$6:$O$1064)</f>
        <v>0</v>
      </c>
      <c r="J600" s="17">
        <f t="shared" si="10"/>
        <v>5400</v>
      </c>
      <c r="K600" s="34">
        <v>1414555</v>
      </c>
      <c r="L600" s="34">
        <v>218626</v>
      </c>
    </row>
    <row r="601" hidden="1">
      <c r="B601" s="64">
        <v>44513</v>
      </c>
      <c r="C601" s="9" t="s">
        <v>3191</v>
      </c>
      <c r="D601" s="6" t="s">
        <v>2958</v>
      </c>
      <c r="E601" s="6" t="s">
        <v>2220</v>
      </c>
      <c r="F601" s="6" t="s">
        <v>2226</v>
      </c>
      <c r="G601" s="6" t="s">
        <v>2227</v>
      </c>
      <c r="H601" s="7">
        <v>1080</v>
      </c>
      <c r="I601" s="8">
        <f>SUMIF(Cargas!$C$6:$C$1064,C601,Cargas!$O$6:$O$1064)</f>
        <v>0</v>
      </c>
      <c r="J601" s="17">
        <f t="shared" si="10"/>
        <v>1080</v>
      </c>
      <c r="K601" s="34">
        <v>1414158</v>
      </c>
      <c r="L601" s="34">
        <v>215080</v>
      </c>
    </row>
    <row r="602" hidden="1">
      <c r="B602" s="64">
        <v>44510</v>
      </c>
      <c r="C602" s="9" t="s">
        <v>3192</v>
      </c>
      <c r="D602" s="6" t="s">
        <v>2960</v>
      </c>
      <c r="E602" s="6" t="s">
        <v>2220</v>
      </c>
      <c r="F602" s="6" t="s">
        <v>2221</v>
      </c>
      <c r="G602" s="6" t="s">
        <v>2222</v>
      </c>
      <c r="H602" s="7">
        <v>6480</v>
      </c>
      <c r="I602" s="8">
        <f>SUMIF(Cargas!$C$6:$C$1064,C602,Cargas!$O$6:$O$1064)</f>
        <v>0</v>
      </c>
      <c r="J602" s="17">
        <f t="shared" si="10"/>
        <v>6480</v>
      </c>
      <c r="K602" s="34">
        <v>1418405</v>
      </c>
      <c r="L602" s="34">
        <v>225316</v>
      </c>
    </row>
    <row r="603" hidden="1" ht="13.5" customHeight="1">
      <c r="B603" s="64">
        <v>44515</v>
      </c>
      <c r="C603" s="9" t="s">
        <v>3193</v>
      </c>
      <c r="D603" s="6" t="s">
        <v>2982</v>
      </c>
      <c r="E603" s="6" t="s">
        <v>2220</v>
      </c>
      <c r="F603" s="6" t="s">
        <v>2221</v>
      </c>
      <c r="G603" s="6" t="s">
        <v>2222</v>
      </c>
      <c r="H603" s="7">
        <v>5400</v>
      </c>
      <c r="I603" s="8">
        <f>SUMIF(Cargas!$C$6:$C$1064,C603,Cargas!$O$6:$O$1064)</f>
        <v>0</v>
      </c>
      <c r="J603" s="17">
        <f t="shared" si="10"/>
        <v>5400</v>
      </c>
      <c r="K603" s="34">
        <v>1415138</v>
      </c>
      <c r="L603" s="34">
        <v>225482</v>
      </c>
    </row>
    <row r="604" hidden="1" ht="13.5" customHeight="1">
      <c r="B604" s="64">
        <v>44520</v>
      </c>
      <c r="C604" s="9" t="s">
        <v>3194</v>
      </c>
      <c r="D604" s="6" t="s">
        <v>3195</v>
      </c>
      <c r="E604" s="6" t="s">
        <v>2220</v>
      </c>
      <c r="F604" s="6" t="s">
        <v>2226</v>
      </c>
      <c r="G604" s="6" t="s">
        <v>2258</v>
      </c>
      <c r="H604" s="7">
        <v>4320</v>
      </c>
      <c r="I604" s="8">
        <f>SUMIF(Cargas!$C$6:$C$1064,C604,Cargas!$O$6:$O$1064)</f>
        <v>0</v>
      </c>
      <c r="J604" s="17">
        <f t="shared" si="10"/>
        <v>4320</v>
      </c>
      <c r="K604" s="34">
        <v>1415135</v>
      </c>
      <c r="L604" s="34">
        <v>221436</v>
      </c>
    </row>
    <row r="605" hidden="1">
      <c r="B605" s="64">
        <v>44520</v>
      </c>
      <c r="C605" s="9" t="s">
        <v>3196</v>
      </c>
      <c r="D605" s="6" t="s">
        <v>3197</v>
      </c>
      <c r="E605" s="6" t="s">
        <v>2220</v>
      </c>
      <c r="F605" s="6" t="s">
        <v>2226</v>
      </c>
      <c r="G605" s="6" t="s">
        <v>2227</v>
      </c>
      <c r="H605" s="7">
        <v>1080</v>
      </c>
      <c r="I605" s="8">
        <f>SUMIF(Cargas!$C$6:$C$1064,C605,Cargas!$O$6:$O$1064)</f>
        <v>0</v>
      </c>
      <c r="J605" s="17">
        <f t="shared" si="10"/>
        <v>1080</v>
      </c>
      <c r="K605" s="34">
        <v>1415137</v>
      </c>
      <c r="L605" s="34">
        <v>220696</v>
      </c>
    </row>
    <row r="606" hidden="1">
      <c r="B606" s="64">
        <v>44285</v>
      </c>
      <c r="C606" s="9" t="s">
        <v>3198</v>
      </c>
      <c r="D606" s="6" t="s">
        <v>2274</v>
      </c>
      <c r="E606" s="6" t="s">
        <v>2225</v>
      </c>
      <c r="F606" s="6" t="s">
        <v>2226</v>
      </c>
      <c r="G606" s="6" t="s">
        <v>2227</v>
      </c>
      <c r="H606" s="7">
        <v>1680</v>
      </c>
      <c r="I606" s="8">
        <f>SUMIF(Cargas!$C$6:$C$1064,C606,Cargas!$O$6:$O$1064)</f>
        <v>0</v>
      </c>
      <c r="J606" s="17">
        <f t="shared" si="10"/>
        <v>1680</v>
      </c>
      <c r="K606" s="34">
        <v>1396398</v>
      </c>
      <c r="L606" s="34">
        <v>63106</v>
      </c>
    </row>
    <row r="607" hidden="1">
      <c r="B607" s="64">
        <v>44519</v>
      </c>
      <c r="C607" s="9" t="s">
        <v>3199</v>
      </c>
      <c r="D607" s="6" t="s">
        <v>2977</v>
      </c>
      <c r="E607" s="6" t="s">
        <v>2220</v>
      </c>
      <c r="F607" s="6" t="s">
        <v>2226</v>
      </c>
      <c r="G607" s="6" t="s">
        <v>2227</v>
      </c>
      <c r="H607" s="7">
        <v>1080</v>
      </c>
      <c r="I607" s="8">
        <f>SUMIF(Cargas!$C$6:$C$1064,C607,Cargas!$O$6:$O$1064)</f>
        <v>0</v>
      </c>
      <c r="J607" s="17">
        <f t="shared" si="10"/>
        <v>1080</v>
      </c>
      <c r="K607" s="34">
        <v>1415137</v>
      </c>
      <c r="L607" s="34">
        <v>220838</v>
      </c>
    </row>
    <row r="608" hidden="1">
      <c r="B608" s="64">
        <v>44523</v>
      </c>
      <c r="C608" s="9" t="s">
        <v>3200</v>
      </c>
      <c r="D608" s="6" t="s">
        <v>3201</v>
      </c>
      <c r="E608" s="6" t="s">
        <v>2220</v>
      </c>
      <c r="F608" s="6" t="s">
        <v>2226</v>
      </c>
      <c r="G608" s="6" t="s">
        <v>2227</v>
      </c>
      <c r="H608" s="7">
        <f>1080*5</f>
        <v>5400</v>
      </c>
      <c r="I608" s="8">
        <f>SUMIF(Cargas!$C$6:$C$1064,C608,Cargas!$O$6:$O$1064)</f>
        <v>0</v>
      </c>
      <c r="J608" s="17">
        <f t="shared" si="10"/>
        <v>5400</v>
      </c>
      <c r="K608" s="34">
        <v>1415626</v>
      </c>
      <c r="L608" s="34">
        <v>2510</v>
      </c>
    </row>
    <row r="609" hidden="1">
      <c r="B609" s="64">
        <v>44292</v>
      </c>
      <c r="C609" s="9" t="s">
        <v>3202</v>
      </c>
      <c r="D609" s="6" t="s">
        <v>2293</v>
      </c>
      <c r="E609" s="6" t="s">
        <v>2225</v>
      </c>
      <c r="F609" s="6" t="s">
        <v>2226</v>
      </c>
      <c r="G609" s="6" t="s">
        <v>2227</v>
      </c>
      <c r="H609" s="7">
        <v>1680</v>
      </c>
      <c r="I609" s="8">
        <f>SUMIF(Cargas!$C$6:$C$1064,C609,Cargas!$O$6:$O$1064)</f>
        <v>0</v>
      </c>
      <c r="J609" s="17">
        <f t="shared" si="10"/>
        <v>1680</v>
      </c>
      <c r="K609" s="34">
        <v>1396871</v>
      </c>
      <c r="L609" s="34">
        <v>66581</v>
      </c>
    </row>
    <row r="610" hidden="1">
      <c r="B610" s="64">
        <v>44525</v>
      </c>
      <c r="C610" s="9" t="s">
        <v>3203</v>
      </c>
      <c r="D610" s="6" t="s">
        <v>3204</v>
      </c>
      <c r="E610" s="6" t="s">
        <v>2220</v>
      </c>
      <c r="F610" s="6" t="s">
        <v>2226</v>
      </c>
      <c r="G610" s="6" t="s">
        <v>2227</v>
      </c>
      <c r="H610" s="7">
        <v>1112</v>
      </c>
      <c r="I610" s="8">
        <f>SUMIF(Cargas!$C$6:$C$1064,C610,Cargas!$O$6:$O$1064)</f>
        <v>0</v>
      </c>
      <c r="J610" s="17">
        <f t="shared" si="10"/>
        <v>1112</v>
      </c>
      <c r="K610" s="34">
        <v>1415627</v>
      </c>
      <c r="L610" s="34">
        <v>223603</v>
      </c>
    </row>
    <row r="611" hidden="1">
      <c r="B611" s="64">
        <v>44525</v>
      </c>
      <c r="C611" s="9" t="s">
        <v>3205</v>
      </c>
      <c r="D611" s="6" t="s">
        <v>3206</v>
      </c>
      <c r="E611" s="6" t="s">
        <v>2220</v>
      </c>
      <c r="F611" s="6" t="s">
        <v>2226</v>
      </c>
      <c r="G611" s="6" t="s">
        <v>2258</v>
      </c>
      <c r="H611" s="7">
        <v>3240</v>
      </c>
      <c r="I611" s="8">
        <f>SUMIF(Cargas!$C$6:$C$1064,C611,Cargas!$O$6:$O$1064)</f>
        <v>0</v>
      </c>
      <c r="J611" s="17">
        <f t="shared" si="10"/>
        <v>3240</v>
      </c>
      <c r="K611" s="34">
        <v>1415625</v>
      </c>
      <c r="L611" s="34">
        <v>225006</v>
      </c>
    </row>
    <row r="612" hidden="1">
      <c r="B612" s="64">
        <v>44525</v>
      </c>
      <c r="C612" s="9" t="s">
        <v>3207</v>
      </c>
      <c r="D612" s="6" t="s">
        <v>3208</v>
      </c>
      <c r="E612" s="6" t="s">
        <v>2220</v>
      </c>
      <c r="F612" s="6" t="s">
        <v>2226</v>
      </c>
      <c r="G612" s="6" t="s">
        <v>2227</v>
      </c>
      <c r="H612" s="7">
        <v>2160</v>
      </c>
      <c r="I612" s="8">
        <f>SUMIF(Cargas!$C$6:$C$1064,C612,Cargas!$O$6:$O$1064)</f>
        <v>0</v>
      </c>
      <c r="J612" s="17">
        <f t="shared" si="10"/>
        <v>2160</v>
      </c>
      <c r="K612" s="34">
        <v>1415625</v>
      </c>
      <c r="L612" s="34">
        <v>223791</v>
      </c>
    </row>
    <row r="613" hidden="1">
      <c r="A613" s="42"/>
      <c r="B613" s="64">
        <v>44609</v>
      </c>
      <c r="C613" s="9" t="s">
        <v>3209</v>
      </c>
      <c r="D613" s="6" t="s">
        <v>2321</v>
      </c>
      <c r="E613" s="6" t="s">
        <v>3108</v>
      </c>
      <c r="F613" s="6" t="s">
        <v>978</v>
      </c>
      <c r="G613" s="6" t="s">
        <v>2559</v>
      </c>
      <c r="H613" s="7">
        <v>2208</v>
      </c>
      <c r="I613" s="8">
        <f>SUMIF(Cargas!$C$6:$C$1064,C613,Cargas!$O$6:$O$1166)</f>
        <v>0</v>
      </c>
      <c r="J613" s="17">
        <f t="shared" si="10"/>
        <v>2208</v>
      </c>
      <c r="K613" s="34">
        <v>1422669</v>
      </c>
      <c r="L613" s="34">
        <v>31227</v>
      </c>
    </row>
    <row r="614" hidden="1">
      <c r="A614" s="42"/>
      <c r="B614" s="64">
        <v>44614</v>
      </c>
      <c r="C614" s="9" t="s">
        <v>3210</v>
      </c>
      <c r="D614" s="6" t="s">
        <v>2348</v>
      </c>
      <c r="E614" s="6" t="s">
        <v>865</v>
      </c>
      <c r="F614" s="6" t="s">
        <v>978</v>
      </c>
      <c r="G614" s="6" t="s">
        <v>2584</v>
      </c>
      <c r="H614" s="7">
        <v>2000</v>
      </c>
      <c r="I614" s="8">
        <f>SUMIF(Cargas!$C$6:$C$1064,C614,Cargas!$O$6:$O$1166)</f>
        <v>0</v>
      </c>
      <c r="J614" s="17">
        <f t="shared" si="10"/>
        <v>2000</v>
      </c>
      <c r="K614" s="34">
        <v>1422869</v>
      </c>
      <c r="L614" s="34">
        <v>37955</v>
      </c>
    </row>
    <row r="615" hidden="1">
      <c r="A615" s="42"/>
      <c r="B615" s="64">
        <v>44617</v>
      </c>
      <c r="C615" s="9" t="s">
        <v>3211</v>
      </c>
      <c r="D615" s="6" t="s">
        <v>983</v>
      </c>
      <c r="E615" s="6" t="s">
        <v>3108</v>
      </c>
      <c r="F615" s="6" t="s">
        <v>978</v>
      </c>
      <c r="G615" s="6" t="s">
        <v>2559</v>
      </c>
      <c r="H615" s="7">
        <v>2208</v>
      </c>
      <c r="I615" s="8">
        <f>SUMIF(Cargas!$C$6:$C$1064,C615,Cargas!$O$6:$O$1166)</f>
        <v>0</v>
      </c>
      <c r="J615" s="17">
        <f t="shared" si="10"/>
        <v>2208</v>
      </c>
      <c r="K615" s="34">
        <v>1423352</v>
      </c>
      <c r="L615" s="34">
        <v>38880</v>
      </c>
    </row>
    <row r="616" hidden="1">
      <c r="A616" s="42"/>
      <c r="B616" s="64">
        <v>44623</v>
      </c>
      <c r="C616" s="9" t="s">
        <v>3212</v>
      </c>
      <c r="D616" s="6" t="s">
        <v>2358</v>
      </c>
      <c r="E616" s="6" t="s">
        <v>3108</v>
      </c>
      <c r="F616" s="6" t="s">
        <v>978</v>
      </c>
      <c r="G616" s="6" t="s">
        <v>2559</v>
      </c>
      <c r="H616" s="7">
        <v>2208</v>
      </c>
      <c r="I616" s="8">
        <f>SUMIF(Cargas!$C$6:$C$1064,C616,Cargas!$O$6:$O$1166)</f>
        <v>0</v>
      </c>
      <c r="J616" s="17">
        <f t="shared" si="10"/>
        <v>2208</v>
      </c>
      <c r="K616" s="34">
        <v>1423696</v>
      </c>
      <c r="L616" s="34">
        <v>43248</v>
      </c>
    </row>
    <row r="617" hidden="1">
      <c r="A617" s="42"/>
      <c r="B617" s="64">
        <v>44618</v>
      </c>
      <c r="C617" s="9" t="s">
        <v>3213</v>
      </c>
      <c r="D617" s="6" t="s">
        <v>2379</v>
      </c>
      <c r="E617" s="6" t="s">
        <v>865</v>
      </c>
      <c r="F617" s="6" t="s">
        <v>978</v>
      </c>
      <c r="G617" s="6" t="s">
        <v>2317</v>
      </c>
      <c r="H617" s="7">
        <v>2000</v>
      </c>
      <c r="I617" s="8">
        <f>SUMIF(Cargas!$C$6:$C$1064,C617,Cargas!$O$6:$O$1166)</f>
        <v>0</v>
      </c>
      <c r="J617" s="17">
        <f t="shared" si="10"/>
        <v>2000</v>
      </c>
      <c r="K617" s="34">
        <v>1423353</v>
      </c>
      <c r="L617" s="34">
        <v>42122</v>
      </c>
    </row>
    <row r="618" hidden="1">
      <c r="A618" s="42"/>
      <c r="B618" s="64">
        <v>44628</v>
      </c>
      <c r="C618" s="9" t="s">
        <v>3214</v>
      </c>
      <c r="D618" s="6" t="s">
        <v>2383</v>
      </c>
      <c r="E618" s="6" t="s">
        <v>3108</v>
      </c>
      <c r="F618" s="6" t="s">
        <v>978</v>
      </c>
      <c r="G618" s="6" t="s">
        <v>2559</v>
      </c>
      <c r="H618" s="7">
        <v>1104</v>
      </c>
      <c r="I618" s="8">
        <f>SUMIF(Cargas!$C$6:$C$1064,C618,Cargas!$O$6:$O$1166)</f>
        <v>0</v>
      </c>
      <c r="J618" s="17">
        <f t="shared" si="10"/>
        <v>1104</v>
      </c>
      <c r="K618" s="34">
        <v>1424004</v>
      </c>
      <c r="L618" s="34">
        <v>48229</v>
      </c>
    </row>
    <row r="619" hidden="1">
      <c r="A619" s="42"/>
      <c r="B619" s="64">
        <v>44650</v>
      </c>
      <c r="C619" s="9" t="s">
        <v>3215</v>
      </c>
      <c r="D619" s="6" t="s">
        <v>3216</v>
      </c>
      <c r="E619" s="6" t="s">
        <v>3108</v>
      </c>
      <c r="F619" s="6" t="s">
        <v>978</v>
      </c>
      <c r="G619" s="6" t="s">
        <v>2559</v>
      </c>
      <c r="H619" s="7">
        <v>1104</v>
      </c>
      <c r="I619" s="8">
        <f>SUMIF(Cargas!$C$6:$C$1064,C619,Cargas!$O$6:$O$1166)</f>
        <v>0</v>
      </c>
      <c r="J619" s="17">
        <f t="shared" si="10"/>
        <v>1104</v>
      </c>
      <c r="K619" s="34">
        <v>1425761</v>
      </c>
      <c r="L619" s="34">
        <v>61931</v>
      </c>
    </row>
    <row r="620" hidden="1">
      <c r="A620" s="42"/>
      <c r="B620" s="64">
        <v>44729</v>
      </c>
      <c r="C620" s="9" t="s">
        <v>3217</v>
      </c>
      <c r="D620" s="6" t="s">
        <v>2793</v>
      </c>
      <c r="E620" s="6" t="s">
        <v>2794</v>
      </c>
      <c r="F620" s="6" t="s">
        <v>2226</v>
      </c>
      <c r="G620" s="6" t="s">
        <v>2258</v>
      </c>
      <c r="H620" s="7">
        <v>1250</v>
      </c>
      <c r="I620" s="8">
        <f>SUMIF(Cargas!$C$6:$C$1064,C620,Cargas!$O$6:$O$1166)</f>
        <v>0</v>
      </c>
      <c r="J620" s="17">
        <f t="shared" si="10"/>
        <v>1250</v>
      </c>
      <c r="K620" s="34">
        <v>1431560</v>
      </c>
      <c r="L620" s="34">
        <v>110506</v>
      </c>
    </row>
    <row r="621" hidden="1">
      <c r="A621" s="42"/>
      <c r="B621" s="64">
        <v>44729</v>
      </c>
      <c r="C621" s="9" t="s">
        <v>3218</v>
      </c>
      <c r="D621" s="6" t="s">
        <v>2808</v>
      </c>
      <c r="E621" s="6" t="s">
        <v>2794</v>
      </c>
      <c r="F621" s="6" t="s">
        <v>2226</v>
      </c>
      <c r="G621" s="6" t="s">
        <v>2258</v>
      </c>
      <c r="H621" s="7">
        <v>1250</v>
      </c>
      <c r="I621" s="8">
        <f>SUMIF(Cargas!$C$6:$C$1064,C621,Cargas!$O$6:$O$1166)</f>
        <v>0</v>
      </c>
      <c r="J621" s="17">
        <f t="shared" si="10"/>
        <v>1250</v>
      </c>
      <c r="K621" s="34">
        <v>1431562</v>
      </c>
      <c r="L621" s="34">
        <v>110507</v>
      </c>
    </row>
    <row r="622" hidden="1">
      <c r="A622" s="42"/>
      <c r="B622" s="64">
        <v>44732</v>
      </c>
      <c r="C622" s="9" t="s">
        <v>3219</v>
      </c>
      <c r="D622" s="6" t="s">
        <v>2815</v>
      </c>
      <c r="E622" s="6" t="s">
        <v>2794</v>
      </c>
      <c r="F622" s="6" t="s">
        <v>2226</v>
      </c>
      <c r="G622" s="6" t="s">
        <v>2258</v>
      </c>
      <c r="H622" s="7">
        <v>1250</v>
      </c>
      <c r="I622" s="8">
        <f>SUMIF(Cargas!$C$6:$C$1064,C622,Cargas!$O$6:$O$1166)</f>
        <v>0</v>
      </c>
      <c r="J622" s="17">
        <f t="shared" si="10"/>
        <v>1250</v>
      </c>
      <c r="K622" s="34">
        <v>1431563</v>
      </c>
      <c r="L622" s="34">
        <v>113095</v>
      </c>
    </row>
    <row r="623" hidden="1">
      <c r="A623" s="42"/>
      <c r="B623" s="64">
        <v>44678</v>
      </c>
      <c r="C623" s="9" t="s">
        <v>3220</v>
      </c>
      <c r="D623" s="6" t="s">
        <v>2373</v>
      </c>
      <c r="E623" s="6" t="s">
        <v>2377</v>
      </c>
      <c r="F623" s="6" t="s">
        <v>2226</v>
      </c>
      <c r="G623" s="6" t="s">
        <v>2258</v>
      </c>
      <c r="H623" s="7">
        <v>2208</v>
      </c>
      <c r="I623" s="8">
        <f>SUMIF(Cargas!$C$6:$C$1064,C623,Cargas!$O$6:$O$1166)</f>
        <v>0</v>
      </c>
      <c r="J623" s="17">
        <f t="shared" si="10"/>
        <v>2208</v>
      </c>
      <c r="K623" s="34">
        <v>1427331</v>
      </c>
      <c r="L623" s="34">
        <v>75860</v>
      </c>
    </row>
    <row r="624" hidden="1">
      <c r="A624" s="42"/>
      <c r="B624" s="64">
        <v>44692</v>
      </c>
      <c r="C624" s="9" t="s">
        <v>3221</v>
      </c>
      <c r="D624" s="6" t="s">
        <v>2376</v>
      </c>
      <c r="E624" s="6" t="s">
        <v>3222</v>
      </c>
      <c r="F624" s="6" t="s">
        <v>2226</v>
      </c>
      <c r="G624" s="6" t="s">
        <v>2258</v>
      </c>
      <c r="H624" s="7">
        <v>2288</v>
      </c>
      <c r="I624" s="8">
        <f>SUMIF(Cargas!$C$6:$C$1064,C624,Cargas!$O$6:$O$1166)</f>
        <v>0</v>
      </c>
      <c r="J624" s="17">
        <f t="shared" si="10"/>
        <v>2288</v>
      </c>
      <c r="K624" s="34">
        <v>1428162</v>
      </c>
      <c r="L624" s="34">
        <v>85582</v>
      </c>
    </row>
    <row r="625" hidden="1">
      <c r="A625" s="42"/>
      <c r="B625" s="64">
        <v>44719</v>
      </c>
      <c r="C625" s="9" t="s">
        <v>3223</v>
      </c>
      <c r="D625" s="6" t="s">
        <v>2398</v>
      </c>
      <c r="E625" s="6" t="s">
        <v>2377</v>
      </c>
      <c r="F625" s="6" t="s">
        <v>2226</v>
      </c>
      <c r="G625" s="6" t="s">
        <v>2258</v>
      </c>
      <c r="H625" s="7">
        <v>2288</v>
      </c>
      <c r="I625" s="8">
        <f>SUMIF(Cargas!$C$6:$C$1064,C625,Cargas!$O$6:$O$1166)</f>
        <v>0</v>
      </c>
      <c r="J625" s="17">
        <f t="shared" si="10"/>
        <v>2288</v>
      </c>
      <c r="K625" s="34">
        <v>1430916</v>
      </c>
      <c r="L625" s="34">
        <v>105249</v>
      </c>
    </row>
    <row r="626" hidden="1">
      <c r="A626" s="42"/>
      <c r="B626" s="64">
        <v>44729</v>
      </c>
      <c r="C626" s="9" t="s">
        <v>3224</v>
      </c>
      <c r="D626" s="6" t="s">
        <v>2393</v>
      </c>
      <c r="E626" s="6" t="s">
        <v>3222</v>
      </c>
      <c r="F626" s="6" t="s">
        <v>2226</v>
      </c>
      <c r="G626" s="6" t="s">
        <v>2258</v>
      </c>
      <c r="H626" s="7">
        <v>2288</v>
      </c>
      <c r="I626" s="8">
        <f>SUMIF(Cargas!$C$6:$C$1064,C626,Cargas!$O$6:$O$1166)</f>
        <v>0</v>
      </c>
      <c r="J626" s="17">
        <f t="shared" si="10"/>
        <v>2288</v>
      </c>
      <c r="K626" s="34">
        <v>1431585</v>
      </c>
      <c r="L626" s="34">
        <v>110625</v>
      </c>
    </row>
    <row r="627" hidden="1">
      <c r="A627" s="42"/>
      <c r="B627" s="64">
        <v>44762</v>
      </c>
      <c r="C627" s="9" t="s">
        <v>3225</v>
      </c>
      <c r="D627" s="6" t="s">
        <v>2442</v>
      </c>
      <c r="E627" s="6" t="s">
        <v>3226</v>
      </c>
      <c r="F627" s="6" t="s">
        <v>2226</v>
      </c>
      <c r="G627" s="6" t="s">
        <v>2258</v>
      </c>
      <c r="H627" s="7">
        <v>2288</v>
      </c>
      <c r="I627" s="8">
        <f>SUMIF(Cargas!$C$6:$C$1064,C627,Cargas!$O$6:$O$1166)</f>
        <v>0</v>
      </c>
      <c r="J627" s="17">
        <f t="shared" si="10"/>
        <v>2288</v>
      </c>
      <c r="K627" s="34">
        <v>1433477</v>
      </c>
      <c r="L627" s="34">
        <v>132780</v>
      </c>
    </row>
    <row r="628" hidden="1">
      <c r="A628" s="42"/>
      <c r="B628" s="64">
        <v>44781</v>
      </c>
      <c r="C628" s="9" t="s">
        <v>3227</v>
      </c>
      <c r="D628" s="6" t="s">
        <v>2451</v>
      </c>
      <c r="E628" s="6" t="s">
        <v>2780</v>
      </c>
      <c r="F628" s="6" t="s">
        <v>2226</v>
      </c>
      <c r="G628" s="6" t="s">
        <v>2258</v>
      </c>
      <c r="H628" s="7">
        <v>2288</v>
      </c>
      <c r="I628" s="8">
        <f>SUMIF(Cargas!$C$6:$C$1064,C628,Cargas!$O$6:$O$1166)</f>
        <v>0</v>
      </c>
      <c r="J628" s="17">
        <f t="shared" si="10"/>
        <v>2288</v>
      </c>
      <c r="K628" s="34">
        <v>1435415</v>
      </c>
      <c r="L628" s="34">
        <v>146579</v>
      </c>
    </row>
    <row r="629" hidden="1">
      <c r="A629" s="42"/>
      <c r="B629" s="64">
        <v>44799</v>
      </c>
      <c r="C629" s="9" t="s">
        <v>3228</v>
      </c>
      <c r="D629" s="6" t="s">
        <v>2480</v>
      </c>
      <c r="E629" s="6" t="s">
        <v>3226</v>
      </c>
      <c r="F629" s="6" t="s">
        <v>2226</v>
      </c>
      <c r="G629" s="6" t="s">
        <v>2258</v>
      </c>
      <c r="H629" s="7">
        <v>2288</v>
      </c>
      <c r="I629" s="8">
        <f>SUMIF(Cargas!$C$6:$C$1064,C629,Cargas!$O$6:$O$1166)</f>
        <v>0</v>
      </c>
      <c r="J629" s="17">
        <f t="shared" si="10"/>
        <v>2288</v>
      </c>
      <c r="K629" s="34">
        <v>1437569</v>
      </c>
      <c r="L629" s="34">
        <v>157156</v>
      </c>
    </row>
    <row r="630" hidden="1">
      <c r="A630" s="42"/>
      <c r="B630" s="64">
        <v>44813</v>
      </c>
      <c r="C630" s="9" t="s">
        <v>3229</v>
      </c>
      <c r="D630" s="6" t="s">
        <v>2518</v>
      </c>
      <c r="E630" s="6" t="s">
        <v>3226</v>
      </c>
      <c r="F630" s="6" t="s">
        <v>2226</v>
      </c>
      <c r="G630" s="6" t="s">
        <v>2258</v>
      </c>
      <c r="H630" s="7">
        <v>2288</v>
      </c>
      <c r="I630" s="8">
        <f>SUMIF(Cargas!$C$6:$C$1064,C630,Cargas!$O$6:$O$1166)</f>
        <v>0</v>
      </c>
      <c r="J630" s="17">
        <f t="shared" si="10"/>
        <v>2288</v>
      </c>
      <c r="K630" s="34">
        <v>1438846</v>
      </c>
      <c r="L630" s="34">
        <v>168383</v>
      </c>
    </row>
    <row r="631" hidden="1">
      <c r="A631" s="42"/>
      <c r="B631" s="64">
        <v>44825</v>
      </c>
      <c r="C631" s="9" t="s">
        <v>3230</v>
      </c>
      <c r="D631" s="6" t="s">
        <v>2540</v>
      </c>
      <c r="E631" s="6" t="s">
        <v>2780</v>
      </c>
      <c r="F631" s="6" t="s">
        <v>2226</v>
      </c>
      <c r="G631" s="6" t="s">
        <v>2258</v>
      </c>
      <c r="H631" s="7">
        <v>2280</v>
      </c>
      <c r="I631" s="8">
        <v>2280</v>
      </c>
      <c r="J631" s="17">
        <f t="shared" si="10"/>
        <v>0</v>
      </c>
      <c r="K631" s="34">
        <v>1439622</v>
      </c>
      <c r="L631" s="34"/>
    </row>
    <row r="632" hidden="1">
      <c r="A632" s="42"/>
      <c r="B632" s="64">
        <v>44850</v>
      </c>
      <c r="C632" s="9" t="s">
        <v>3231</v>
      </c>
      <c r="D632" s="6" t="s">
        <v>2853</v>
      </c>
      <c r="E632" s="6" t="s">
        <v>2780</v>
      </c>
      <c r="F632" s="6" t="s">
        <v>2226</v>
      </c>
      <c r="G632" s="6" t="s">
        <v>2258</v>
      </c>
      <c r="H632" s="7">
        <v>2280</v>
      </c>
      <c r="I632" s="8">
        <f>SUMIF(Cargas!$C$6:$C$1064,C632,Cargas!$O$6:$O$1166)</f>
        <v>0</v>
      </c>
      <c r="J632" s="17">
        <f t="shared" si="10"/>
        <v>2280</v>
      </c>
      <c r="K632" s="34">
        <v>1442870</v>
      </c>
      <c r="L632" s="34">
        <v>197950</v>
      </c>
    </row>
    <row r="633" hidden="1">
      <c r="B633" s="64">
        <v>45492</v>
      </c>
      <c r="C633" s="9" t="s">
        <v>387</v>
      </c>
      <c r="D633" s="6" t="s">
        <v>2820</v>
      </c>
      <c r="E633" s="6" t="s">
        <v>2812</v>
      </c>
      <c r="F633" s="6" t="s">
        <v>2226</v>
      </c>
      <c r="G633" s="6" t="s">
        <v>2818</v>
      </c>
      <c r="H633" s="7">
        <v>1400</v>
      </c>
      <c r="I633" s="8">
        <f>SUMIF(Cargas!$C$6:$C$1064,C633,Cargas!$O$6:$O$1064)</f>
        <v>1400</v>
      </c>
      <c r="J633" s="17">
        <f t="shared" si="10"/>
        <v>0</v>
      </c>
      <c r="K633" s="34">
        <v>1497567</v>
      </c>
      <c r="L633" s="34">
        <v>142518</v>
      </c>
    </row>
    <row r="634" hidden="1">
      <c r="B634" s="64">
        <v>45492</v>
      </c>
      <c r="C634" s="9" t="s">
        <v>398</v>
      </c>
      <c r="D634" s="6" t="s">
        <v>2822</v>
      </c>
      <c r="E634" s="6" t="s">
        <v>2812</v>
      </c>
      <c r="F634" s="6" t="s">
        <v>2226</v>
      </c>
      <c r="G634" s="6" t="s">
        <v>2818</v>
      </c>
      <c r="H634" s="7">
        <v>1400</v>
      </c>
      <c r="I634" s="8">
        <f>SUMIF(Cargas!$C$6:$C$1064,C634,Cargas!$O$6:$O$1064)</f>
        <v>1400</v>
      </c>
      <c r="J634" s="17">
        <f t="shared" si="10"/>
        <v>0</v>
      </c>
      <c r="K634" s="34"/>
      <c r="L634" s="34">
        <v>145207</v>
      </c>
    </row>
    <row r="635" hidden="1">
      <c r="A635" s="42"/>
      <c r="B635" s="64">
        <v>44566</v>
      </c>
      <c r="C635" s="9" t="s">
        <v>3232</v>
      </c>
      <c r="D635" s="6" t="s">
        <v>2256</v>
      </c>
      <c r="E635" s="6" t="s">
        <v>2712</v>
      </c>
      <c r="F635" s="6" t="s">
        <v>2226</v>
      </c>
      <c r="G635" s="6" t="s">
        <v>2282</v>
      </c>
      <c r="H635" s="7">
        <v>2112</v>
      </c>
      <c r="I635" s="8">
        <f>SUMIF(Cargas!$C$6:$C$1064,C635,Cargas!$O$6:$O$1166)</f>
        <v>0</v>
      </c>
      <c r="J635" s="17">
        <f t="shared" si="10"/>
        <v>2112</v>
      </c>
      <c r="K635" s="34" t="s">
        <v>29</v>
      </c>
      <c r="L635" s="34">
        <v>2660</v>
      </c>
    </row>
    <row r="636" hidden="1">
      <c r="B636" s="64">
        <v>44334</v>
      </c>
      <c r="C636" s="9" t="s">
        <v>3233</v>
      </c>
      <c r="D636" s="6" t="s">
        <v>2323</v>
      </c>
      <c r="E636" s="6" t="s">
        <v>2225</v>
      </c>
      <c r="F636" s="6" t="s">
        <v>2226</v>
      </c>
      <c r="G636" s="6" t="s">
        <v>2227</v>
      </c>
      <c r="H636" s="7">
        <v>1680</v>
      </c>
      <c r="I636" s="8">
        <f>SUMIF(Cargas!$C$6:$C$1064,C636,Cargas!$O$6:$O$1064)</f>
        <v>0</v>
      </c>
      <c r="J636" s="17">
        <f t="shared" si="10"/>
        <v>1680</v>
      </c>
      <c r="K636" s="34">
        <v>1399314</v>
      </c>
      <c r="L636" s="34">
        <v>94329</v>
      </c>
    </row>
    <row r="637" hidden="1">
      <c r="A637" s="42"/>
      <c r="B637" s="64">
        <v>44574</v>
      </c>
      <c r="C637" s="9" t="s">
        <v>3234</v>
      </c>
      <c r="D637" s="6" t="s">
        <v>2281</v>
      </c>
      <c r="E637" s="6" t="s">
        <v>2712</v>
      </c>
      <c r="F637" s="6" t="s">
        <v>2226</v>
      </c>
      <c r="G637" s="6" t="s">
        <v>2282</v>
      </c>
      <c r="H637" s="7">
        <v>2112</v>
      </c>
      <c r="I637" s="8">
        <f>SUMIF(Cargas!$C$6:$C$1064,C637,Cargas!$O$6:$O$1166)</f>
        <v>0</v>
      </c>
      <c r="J637" s="17">
        <f t="shared" si="10"/>
        <v>2112</v>
      </c>
      <c r="K637" s="34">
        <v>1420205</v>
      </c>
      <c r="L637" s="34">
        <v>8221</v>
      </c>
    </row>
    <row r="638" hidden="1">
      <c r="A638" s="42"/>
      <c r="B638" s="64">
        <v>44585</v>
      </c>
      <c r="C638" s="9" t="s">
        <v>3235</v>
      </c>
      <c r="D638" s="6" t="s">
        <v>2301</v>
      </c>
      <c r="E638" s="6" t="s">
        <v>2712</v>
      </c>
      <c r="F638" s="6" t="s">
        <v>2226</v>
      </c>
      <c r="G638" s="6" t="s">
        <v>2282</v>
      </c>
      <c r="H638" s="7">
        <v>2112</v>
      </c>
      <c r="I638" s="8">
        <f>SUMIF(Cargas!$C$6:$C$1064,C638,Cargas!$O$6:$O$1166)</f>
        <v>0</v>
      </c>
      <c r="J638" s="17">
        <f t="shared" si="10"/>
        <v>2112</v>
      </c>
      <c r="K638" s="34">
        <v>1420638</v>
      </c>
      <c r="L638" s="34">
        <v>17532</v>
      </c>
    </row>
    <row r="639" hidden="1">
      <c r="B639" s="64">
        <v>44348</v>
      </c>
      <c r="C639" s="9" t="s">
        <v>3236</v>
      </c>
      <c r="D639" s="6" t="s">
        <v>2365</v>
      </c>
      <c r="E639" s="6" t="s">
        <v>2225</v>
      </c>
      <c r="F639" s="6" t="s">
        <v>2226</v>
      </c>
      <c r="G639" s="6" t="s">
        <v>2227</v>
      </c>
      <c r="H639" s="7">
        <v>1680</v>
      </c>
      <c r="I639" s="8">
        <f>SUMIF(Cargas!$C$6:$C$1064,C639,Cargas!$O$6:$O$1064)</f>
        <v>0</v>
      </c>
      <c r="J639" s="17">
        <f t="shared" si="10"/>
        <v>1680</v>
      </c>
      <c r="K639" s="34">
        <v>1400889</v>
      </c>
      <c r="L639" s="34">
        <v>103313</v>
      </c>
    </row>
    <row r="640" hidden="1">
      <c r="A640" s="42"/>
      <c r="B640" s="64">
        <v>44599</v>
      </c>
      <c r="C640" s="9" t="s">
        <v>3237</v>
      </c>
      <c r="D640" s="6" t="s">
        <v>962</v>
      </c>
      <c r="E640" s="6" t="s">
        <v>2712</v>
      </c>
      <c r="F640" s="6" t="s">
        <v>2226</v>
      </c>
      <c r="G640" s="6" t="s">
        <v>2258</v>
      </c>
      <c r="H640" s="7">
        <v>2112</v>
      </c>
      <c r="I640" s="8">
        <f>SUMIF(Cargas!$C$6:$C$1064,C640,Cargas!$O$6:$O$1166)</f>
        <v>0</v>
      </c>
      <c r="J640" s="17">
        <f t="shared" si="10"/>
        <v>2112</v>
      </c>
      <c r="K640" s="34">
        <v>1421750</v>
      </c>
      <c r="L640" s="34">
        <v>26206</v>
      </c>
    </row>
    <row r="641" hidden="1">
      <c r="A641" s="42"/>
      <c r="B641" s="64">
        <v>44609</v>
      </c>
      <c r="C641" s="9" t="s">
        <v>3238</v>
      </c>
      <c r="D641" s="6" t="s">
        <v>2412</v>
      </c>
      <c r="E641" s="6" t="s">
        <v>2712</v>
      </c>
      <c r="F641" s="6" t="s">
        <v>2226</v>
      </c>
      <c r="G641" s="6" t="s">
        <v>2258</v>
      </c>
      <c r="H641" s="7">
        <v>2112</v>
      </c>
      <c r="I641" s="8">
        <f>SUMIF(Cargas!$C$6:$C$1064,C641,Cargas!$O$6:$O$1166)</f>
        <v>0</v>
      </c>
      <c r="J641" s="17">
        <f t="shared" si="10"/>
        <v>2112</v>
      </c>
      <c r="K641" s="34">
        <v>1422439</v>
      </c>
      <c r="L641" s="34">
        <v>31259</v>
      </c>
    </row>
    <row r="642" hidden="1">
      <c r="A642" s="42"/>
      <c r="B642" s="64">
        <v>44617</v>
      </c>
      <c r="C642" s="9" t="s">
        <v>3239</v>
      </c>
      <c r="D642" s="6" t="s">
        <v>2544</v>
      </c>
      <c r="E642" s="6" t="s">
        <v>2712</v>
      </c>
      <c r="F642" s="6" t="s">
        <v>2226</v>
      </c>
      <c r="G642" s="6" t="s">
        <v>2258</v>
      </c>
      <c r="H642" s="7">
        <v>2112</v>
      </c>
      <c r="I642" s="8">
        <f>SUMIF(Cargas!$C$6:$C$1064,C642,Cargas!$O$6:$O$1166)</f>
        <v>0</v>
      </c>
      <c r="J642" s="17">
        <f t="shared" si="10"/>
        <v>2112</v>
      </c>
      <c r="K642" s="34">
        <v>1422891</v>
      </c>
      <c r="L642" s="34">
        <v>36380</v>
      </c>
    </row>
    <row r="643" hidden="1">
      <c r="B643" s="64">
        <v>45492</v>
      </c>
      <c r="C643" s="9" t="s">
        <v>395</v>
      </c>
      <c r="D643" s="6" t="s">
        <v>2824</v>
      </c>
      <c r="E643" s="6" t="s">
        <v>2812</v>
      </c>
      <c r="F643" s="6" t="s">
        <v>2226</v>
      </c>
      <c r="G643" s="6" t="s">
        <v>2818</v>
      </c>
      <c r="H643" s="7">
        <v>1400</v>
      </c>
      <c r="I643" s="8">
        <f>SUMIF(Cargas!$C$6:$C$1064,C643,Cargas!$O$6:$O$1064)</f>
        <v>1400</v>
      </c>
      <c r="J643" s="17">
        <f t="shared" si="10"/>
        <v>0</v>
      </c>
      <c r="K643" s="34"/>
      <c r="L643" s="34">
        <v>145207</v>
      </c>
    </row>
    <row r="644" hidden="1">
      <c r="B644" s="64">
        <v>44369</v>
      </c>
      <c r="C644" s="9" t="s">
        <v>3240</v>
      </c>
      <c r="D644" s="6" t="s">
        <v>2404</v>
      </c>
      <c r="E644" s="6" t="s">
        <v>2225</v>
      </c>
      <c r="F644" s="6" t="s">
        <v>2226</v>
      </c>
      <c r="G644" s="6" t="s">
        <v>2227</v>
      </c>
      <c r="H644" s="7">
        <v>1680</v>
      </c>
      <c r="I644" s="8">
        <f>SUMIF(Cargas!$C$6:$C$1064,C644,Cargas!$O$6:$O$1064)</f>
        <v>0</v>
      </c>
      <c r="J644" s="17">
        <f t="shared" si="10"/>
        <v>1680</v>
      </c>
      <c r="K644" s="34">
        <v>1404951</v>
      </c>
      <c r="L644" s="34">
        <v>120505</v>
      </c>
    </row>
    <row r="645" hidden="1">
      <c r="A645" s="42"/>
      <c r="B645" s="64">
        <v>44627</v>
      </c>
      <c r="C645" s="9" t="s">
        <v>3241</v>
      </c>
      <c r="D645" s="6" t="s">
        <v>2620</v>
      </c>
      <c r="E645" s="6" t="s">
        <v>2712</v>
      </c>
      <c r="F645" s="6" t="s">
        <v>2226</v>
      </c>
      <c r="G645" s="6" t="s">
        <v>2258</v>
      </c>
      <c r="H645" s="7">
        <v>2112</v>
      </c>
      <c r="I645" s="8">
        <f>SUMIF(Cargas!$C$6:$C$1064,C645,Cargas!$O$6:$O$1166)</f>
        <v>0</v>
      </c>
      <c r="J645" s="17">
        <f t="shared" si="10"/>
        <v>2112</v>
      </c>
      <c r="K645" s="34">
        <v>1423821</v>
      </c>
      <c r="L645" s="34">
        <v>44107</v>
      </c>
    </row>
    <row r="646" hidden="1">
      <c r="B646" s="64">
        <v>45495</v>
      </c>
      <c r="C646" s="9" t="s">
        <v>404</v>
      </c>
      <c r="D646" s="6" t="s">
        <v>3095</v>
      </c>
      <c r="E646" s="6" t="s">
        <v>2812</v>
      </c>
      <c r="F646" s="6" t="s">
        <v>2226</v>
      </c>
      <c r="G646" s="6" t="s">
        <v>2818</v>
      </c>
      <c r="H646" s="7">
        <v>1400</v>
      </c>
      <c r="I646" s="8">
        <f>SUMIF(Cargas!$C$6:$C$1064,C646,Cargas!$O$6:$O$1064)</f>
        <v>1400</v>
      </c>
      <c r="J646" s="17">
        <f t="shared" si="10"/>
        <v>0</v>
      </c>
      <c r="K646" s="34">
        <v>1497570</v>
      </c>
      <c r="L646" s="34">
        <v>145207</v>
      </c>
    </row>
    <row r="647" hidden="1">
      <c r="A647" s="42"/>
      <c r="B647" s="64">
        <v>44645</v>
      </c>
      <c r="C647" s="9" t="s">
        <v>3242</v>
      </c>
      <c r="D647" s="6" t="s">
        <v>2669</v>
      </c>
      <c r="E647" s="6" t="s">
        <v>2712</v>
      </c>
      <c r="F647" s="6" t="s">
        <v>2226</v>
      </c>
      <c r="G647" s="6" t="s">
        <v>2258</v>
      </c>
      <c r="H647" s="7">
        <v>2112</v>
      </c>
      <c r="I647" s="8">
        <f>SUMIF(Cargas!$C$6:$C$1064,C647,Cargas!$O$6:$O$1166)</f>
        <v>0</v>
      </c>
      <c r="J647" s="17">
        <f t="shared" si="10"/>
        <v>2112</v>
      </c>
      <c r="K647" s="34">
        <v>1425322</v>
      </c>
      <c r="L647" s="34">
        <v>54813</v>
      </c>
    </row>
    <row r="648" hidden="1">
      <c r="B648" s="64">
        <v>45495</v>
      </c>
      <c r="C648" s="9" t="s">
        <v>405</v>
      </c>
      <c r="D648" s="6" t="s">
        <v>3097</v>
      </c>
      <c r="E648" s="6" t="s">
        <v>2812</v>
      </c>
      <c r="F648" s="6" t="s">
        <v>2226</v>
      </c>
      <c r="G648" s="6" t="s">
        <v>2818</v>
      </c>
      <c r="H648" s="7">
        <v>1400</v>
      </c>
      <c r="I648" s="8">
        <f>SUMIF(Cargas!$C$6:$C$1064,C648,Cargas!$O$6:$O$1064)</f>
        <v>1400</v>
      </c>
      <c r="J648" s="17">
        <f t="shared" si="10"/>
        <v>0</v>
      </c>
      <c r="K648" s="34">
        <v>1497572</v>
      </c>
      <c r="L648" s="34">
        <v>145207</v>
      </c>
    </row>
    <row r="649" hidden="1">
      <c r="A649" s="42"/>
      <c r="B649" s="64">
        <v>44665</v>
      </c>
      <c r="C649" s="9" t="s">
        <v>3243</v>
      </c>
      <c r="D649" s="6" t="s">
        <v>2930</v>
      </c>
      <c r="E649" s="6" t="s">
        <v>2712</v>
      </c>
      <c r="F649" s="6" t="s">
        <v>2226</v>
      </c>
      <c r="G649" s="6" t="s">
        <v>2258</v>
      </c>
      <c r="H649" s="7">
        <v>2112</v>
      </c>
      <c r="I649" s="8">
        <f>SUMIF(Cargas!$C$6:$C$1064,C649,Cargas!$O$6:$O$1166)</f>
        <v>0</v>
      </c>
      <c r="J649" s="17">
        <f t="shared" si="10"/>
        <v>2112</v>
      </c>
      <c r="K649" s="34">
        <v>1426674</v>
      </c>
      <c r="L649" s="34">
        <v>66957</v>
      </c>
    </row>
    <row r="650" hidden="1">
      <c r="B650" s="64">
        <v>45495</v>
      </c>
      <c r="C650" s="9" t="s">
        <v>406</v>
      </c>
      <c r="D650" s="6" t="s">
        <v>3099</v>
      </c>
      <c r="E650" s="6" t="s">
        <v>2812</v>
      </c>
      <c r="F650" s="6" t="s">
        <v>2226</v>
      </c>
      <c r="G650" s="6" t="s">
        <v>2818</v>
      </c>
      <c r="H650" s="7">
        <v>1400</v>
      </c>
      <c r="I650" s="8">
        <f>SUMIF(Cargas!$C$6:$C$1064,C650,Cargas!$O$6:$O$1064)</f>
        <v>1400</v>
      </c>
      <c r="J650" s="17">
        <f t="shared" si="10"/>
        <v>0</v>
      </c>
      <c r="K650" s="34">
        <v>1497573</v>
      </c>
      <c r="L650" s="34">
        <v>145207</v>
      </c>
    </row>
    <row r="651" hidden="1">
      <c r="A651" s="42"/>
      <c r="B651" s="72">
        <v>45127</v>
      </c>
      <c r="C651" s="73" t="s">
        <v>3244</v>
      </c>
      <c r="D651" s="74" t="s">
        <v>2811</v>
      </c>
      <c r="E651" s="74" t="s">
        <v>2812</v>
      </c>
      <c r="F651" s="74" t="s">
        <v>2226</v>
      </c>
      <c r="G651" s="74" t="s">
        <v>2818</v>
      </c>
      <c r="H651" s="75">
        <v>1400</v>
      </c>
      <c r="I651" s="76">
        <f>SUMIF(Cargas!$C$6:$C$1064,C651,Cargas!$O$6:$O$1064)</f>
        <v>0</v>
      </c>
      <c r="J651" s="77">
        <f t="shared" si="10"/>
        <v>1400</v>
      </c>
      <c r="K651" s="78">
        <v>1465967</v>
      </c>
      <c r="L651" s="78">
        <v>134674</v>
      </c>
    </row>
    <row r="652" hidden="1">
      <c r="A652" s="42"/>
      <c r="B652" s="72">
        <v>45127</v>
      </c>
      <c r="C652" s="73" t="s">
        <v>3245</v>
      </c>
      <c r="D652" s="74" t="s">
        <v>2817</v>
      </c>
      <c r="E652" s="74" t="s">
        <v>2812</v>
      </c>
      <c r="F652" s="74" t="s">
        <v>2226</v>
      </c>
      <c r="G652" s="74" t="s">
        <v>2818</v>
      </c>
      <c r="H652" s="75">
        <v>1400</v>
      </c>
      <c r="I652" s="76">
        <f>SUMIF(Cargas!$C$6:$C$1064,C652,Cargas!$O$6:$O$1064)</f>
        <v>0</v>
      </c>
      <c r="J652" s="77">
        <f ref="J652:J715" t="shared" si="11">IF(ABS(H652-I652)&lt;20,0,H652-I652)</f>
        <v>1400</v>
      </c>
      <c r="K652" s="78">
        <v>1465969</v>
      </c>
      <c r="L652" s="78">
        <v>134674</v>
      </c>
    </row>
    <row r="653" hidden="1">
      <c r="A653" s="42"/>
      <c r="B653" s="72">
        <v>45127</v>
      </c>
      <c r="C653" s="73" t="s">
        <v>3246</v>
      </c>
      <c r="D653" s="74" t="s">
        <v>2820</v>
      </c>
      <c r="E653" s="74" t="s">
        <v>2812</v>
      </c>
      <c r="F653" s="74" t="s">
        <v>2226</v>
      </c>
      <c r="G653" s="74" t="s">
        <v>2818</v>
      </c>
      <c r="H653" s="75">
        <v>1400</v>
      </c>
      <c r="I653" s="76">
        <f>SUMIF(Cargas!$C$6:$C$1064,C653,Cargas!$O$6:$O$1064)</f>
        <v>0</v>
      </c>
      <c r="J653" s="77">
        <f t="shared" si="11"/>
        <v>1400</v>
      </c>
      <c r="K653" s="78">
        <v>1465971</v>
      </c>
      <c r="L653" s="78">
        <v>134674</v>
      </c>
    </row>
    <row r="654" hidden="1">
      <c r="A654" s="42"/>
      <c r="B654" s="72">
        <v>45134</v>
      </c>
      <c r="C654" s="73" t="s">
        <v>3247</v>
      </c>
      <c r="D654" s="74" t="s">
        <v>2822</v>
      </c>
      <c r="E654" s="74" t="s">
        <v>2812</v>
      </c>
      <c r="F654" s="74" t="s">
        <v>2226</v>
      </c>
      <c r="G654" s="74" t="s">
        <v>2818</v>
      </c>
      <c r="H654" s="75">
        <v>1300</v>
      </c>
      <c r="I654" s="76">
        <f>SUMIF(Cargas!$C$6:$C$1064,C654,Cargas!$O$6:$O$1064)</f>
        <v>0</v>
      </c>
      <c r="J654" s="77">
        <f t="shared" si="11"/>
        <v>1300</v>
      </c>
      <c r="K654" s="78">
        <v>1465981</v>
      </c>
      <c r="L654" s="78">
        <v>140072</v>
      </c>
    </row>
    <row r="655" hidden="1">
      <c r="A655" s="42"/>
      <c r="B655" s="72">
        <v>45134</v>
      </c>
      <c r="C655" s="73" t="s">
        <v>3248</v>
      </c>
      <c r="D655" s="74" t="s">
        <v>2824</v>
      </c>
      <c r="E655" s="74" t="s">
        <v>2812</v>
      </c>
      <c r="F655" s="74" t="s">
        <v>2226</v>
      </c>
      <c r="G655" s="74" t="s">
        <v>2818</v>
      </c>
      <c r="H655" s="75">
        <v>1300</v>
      </c>
      <c r="I655" s="76">
        <f>SUMIF(Cargas!$C$6:$C$1064,C655,Cargas!$O$6:$O$1064)</f>
        <v>0</v>
      </c>
      <c r="J655" s="77">
        <f t="shared" si="11"/>
        <v>1300</v>
      </c>
      <c r="K655" s="78">
        <v>1465979</v>
      </c>
      <c r="L655" s="78">
        <v>140072</v>
      </c>
    </row>
    <row r="656" hidden="1">
      <c r="A656" s="42"/>
      <c r="B656" s="64">
        <v>44679</v>
      </c>
      <c r="C656" s="9" t="s">
        <v>3249</v>
      </c>
      <c r="D656" s="6" t="s">
        <v>2968</v>
      </c>
      <c r="E656" s="6" t="s">
        <v>2712</v>
      </c>
      <c r="F656" s="6" t="s">
        <v>2226</v>
      </c>
      <c r="G656" s="6" t="s">
        <v>2258</v>
      </c>
      <c r="H656" s="7">
        <v>2112</v>
      </c>
      <c r="I656" s="8">
        <f>SUMIF(Cargas!$C$6:$C$1064,C656,Cargas!$O$6:$O$1166)</f>
        <v>0</v>
      </c>
      <c r="J656" s="17">
        <f t="shared" si="11"/>
        <v>2112</v>
      </c>
      <c r="K656" s="34">
        <v>1427174</v>
      </c>
      <c r="L656" s="34">
        <v>76898</v>
      </c>
    </row>
    <row r="657" hidden="1">
      <c r="B657" s="64">
        <v>45495</v>
      </c>
      <c r="C657" s="9" t="s">
        <v>407</v>
      </c>
      <c r="D657" s="6" t="s">
        <v>3101</v>
      </c>
      <c r="E657" s="6" t="s">
        <v>2812</v>
      </c>
      <c r="F657" s="6" t="s">
        <v>2226</v>
      </c>
      <c r="G657" s="6" t="s">
        <v>2818</v>
      </c>
      <c r="H657" s="7">
        <v>1400</v>
      </c>
      <c r="I657" s="8">
        <f>SUMIF(Cargas!$C$6:$C$1064,C657,Cargas!$O$6:$O$1064)</f>
        <v>1400</v>
      </c>
      <c r="J657" s="17">
        <f t="shared" si="11"/>
        <v>0</v>
      </c>
      <c r="K657" s="34">
        <v>1497574</v>
      </c>
      <c r="L657" s="34">
        <v>145207</v>
      </c>
    </row>
    <row r="658" hidden="1">
      <c r="A658" s="42"/>
      <c r="B658" s="64">
        <v>44694</v>
      </c>
      <c r="C658" s="9" t="s">
        <v>3250</v>
      </c>
      <c r="D658" s="6" t="s">
        <v>3251</v>
      </c>
      <c r="E658" s="6" t="s">
        <v>2712</v>
      </c>
      <c r="F658" s="6" t="s">
        <v>2226</v>
      </c>
      <c r="G658" s="6" t="s">
        <v>2258</v>
      </c>
      <c r="H658" s="7">
        <v>2112</v>
      </c>
      <c r="I658" s="8">
        <f>SUMIF(Cargas!$C$6:$C$1064,C658,Cargas!$O$6:$O$1166)</f>
        <v>0</v>
      </c>
      <c r="J658" s="17">
        <f t="shared" si="11"/>
        <v>2112</v>
      </c>
      <c r="K658" s="34">
        <v>1429067</v>
      </c>
      <c r="L658" s="34">
        <v>89080</v>
      </c>
    </row>
    <row r="659" hidden="1" ht="14.25" customHeight="1">
      <c r="B659" s="64">
        <v>45495</v>
      </c>
      <c r="C659" s="9" t="s">
        <v>408</v>
      </c>
      <c r="D659" s="6" t="s">
        <v>3104</v>
      </c>
      <c r="E659" s="6" t="s">
        <v>2812</v>
      </c>
      <c r="F659" s="6" t="s">
        <v>2226</v>
      </c>
      <c r="G659" s="6" t="s">
        <v>2818</v>
      </c>
      <c r="H659" s="7">
        <v>1400</v>
      </c>
      <c r="I659" s="8">
        <f>SUMIF(Cargas!$C$6:$C$1064,C659,Cargas!$O$6:$O$1064)</f>
        <v>1400</v>
      </c>
      <c r="J659" s="17">
        <f t="shared" si="11"/>
        <v>0</v>
      </c>
      <c r="K659" s="34">
        <v>1497575</v>
      </c>
      <c r="L659" s="34">
        <v>145207</v>
      </c>
    </row>
    <row r="660" hidden="1" ht="14.25" customHeight="1">
      <c r="A660" s="42"/>
      <c r="B660" s="64">
        <v>44806</v>
      </c>
      <c r="C660" s="9" t="s">
        <v>3252</v>
      </c>
      <c r="D660" s="6" t="s">
        <v>3253</v>
      </c>
      <c r="E660" s="6" t="s">
        <v>2712</v>
      </c>
      <c r="F660" s="6" t="s">
        <v>2226</v>
      </c>
      <c r="G660" s="6" t="s">
        <v>2258</v>
      </c>
      <c r="H660" s="7">
        <v>2112</v>
      </c>
      <c r="I660" s="8">
        <f>SUMIF(Cargas!$C$6:$C$1064,C660,Cargas!$O$6:$O$1166)</f>
        <v>0</v>
      </c>
      <c r="J660" s="17">
        <f t="shared" si="11"/>
        <v>2112</v>
      </c>
      <c r="K660" s="34">
        <v>1437843</v>
      </c>
      <c r="L660" s="34">
        <v>163404</v>
      </c>
    </row>
    <row r="661" hidden="1" ht="14.25" customHeight="1">
      <c r="B661" s="64">
        <v>44391</v>
      </c>
      <c r="C661" s="9" t="s">
        <v>3254</v>
      </c>
      <c r="D661" s="6" t="s">
        <v>2422</v>
      </c>
      <c r="E661" s="6" t="s">
        <v>2225</v>
      </c>
      <c r="F661" s="6" t="s">
        <v>2226</v>
      </c>
      <c r="G661" s="6" t="s">
        <v>2227</v>
      </c>
      <c r="H661" s="7">
        <v>1680</v>
      </c>
      <c r="I661" s="8">
        <f>SUMIF(Cargas!$C$6:$C$1064,C661,Cargas!$O$6:$O$1064)</f>
        <v>0</v>
      </c>
      <c r="J661" s="17">
        <f t="shared" si="11"/>
        <v>1680</v>
      </c>
      <c r="K661" s="34">
        <v>1404016</v>
      </c>
      <c r="L661" s="34">
        <v>131056</v>
      </c>
    </row>
    <row r="662" hidden="1" ht="14.25" customHeight="1">
      <c r="B662" s="64">
        <v>45610</v>
      </c>
      <c r="C662" s="9" t="s">
        <v>693</v>
      </c>
      <c r="D662" s="6" t="s">
        <v>2842</v>
      </c>
      <c r="E662" s="6" t="s">
        <v>2987</v>
      </c>
      <c r="F662" s="6" t="s">
        <v>2226</v>
      </c>
      <c r="G662" s="6" t="s">
        <v>2988</v>
      </c>
      <c r="H662" s="7">
        <v>1760</v>
      </c>
      <c r="I662" s="8">
        <f>SUMIF(Cargas!$C$6:$C$1064,C662,Cargas!$O$6:$O$1064)</f>
        <v>1760</v>
      </c>
      <c r="J662" s="17">
        <f t="shared" si="11"/>
        <v>0</v>
      </c>
      <c r="K662" s="34"/>
      <c r="L662" s="34">
        <v>230977</v>
      </c>
    </row>
    <row r="663" hidden="1" ht="14.25" customHeight="1">
      <c r="B663" s="64">
        <v>45610</v>
      </c>
      <c r="C663" s="9" t="s">
        <v>697</v>
      </c>
      <c r="D663" s="6" t="s">
        <v>2846</v>
      </c>
      <c r="E663" s="6" t="s">
        <v>2987</v>
      </c>
      <c r="F663" s="6" t="s">
        <v>2226</v>
      </c>
      <c r="G663" s="6" t="s">
        <v>2988</v>
      </c>
      <c r="H663" s="7">
        <v>1760</v>
      </c>
      <c r="I663" s="8">
        <f>SUMIF(Cargas!$C$6:$C$1064,C663,Cargas!$O$6:$O$1064)</f>
        <v>1760</v>
      </c>
      <c r="J663" s="17">
        <f t="shared" si="11"/>
        <v>0</v>
      </c>
      <c r="K663" s="34"/>
      <c r="L663" s="34">
        <v>230977</v>
      </c>
    </row>
    <row r="664" hidden="1" ht="14.25" customHeight="1">
      <c r="B664" s="64">
        <v>45615</v>
      </c>
      <c r="C664" s="9" t="s">
        <v>708</v>
      </c>
      <c r="D664" s="6" t="s">
        <v>2860</v>
      </c>
      <c r="E664" s="6" t="s">
        <v>2987</v>
      </c>
      <c r="F664" s="6" t="s">
        <v>2226</v>
      </c>
      <c r="G664" s="6" t="s">
        <v>2988</v>
      </c>
      <c r="H664" s="7">
        <v>1760</v>
      </c>
      <c r="I664" s="8">
        <f>SUMIF(Cargas!$C$6:$C$1064,C664,Cargas!$O$6:$O$1064)</f>
        <v>1760</v>
      </c>
      <c r="J664" s="17">
        <f t="shared" si="11"/>
        <v>0</v>
      </c>
      <c r="K664" s="34"/>
      <c r="L664" s="34">
        <v>233184</v>
      </c>
    </row>
    <row r="665" hidden="1">
      <c r="A665" s="42"/>
      <c r="B665" s="64">
        <v>44819</v>
      </c>
      <c r="C665" s="9" t="s">
        <v>3255</v>
      </c>
      <c r="D665" s="6" t="s">
        <v>3256</v>
      </c>
      <c r="E665" s="6" t="s">
        <v>2712</v>
      </c>
      <c r="F665" s="6" t="s">
        <v>2226</v>
      </c>
      <c r="G665" s="6" t="s">
        <v>2258</v>
      </c>
      <c r="H665" s="7">
        <v>2112</v>
      </c>
      <c r="I665" s="8">
        <f>SUMIF(Cargas!$C$6:$C$1064,C665,Cargas!$O$6:$O$1166)</f>
        <v>0</v>
      </c>
      <c r="J665" s="17">
        <f t="shared" si="11"/>
        <v>2112</v>
      </c>
      <c r="K665" s="34">
        <v>1439810</v>
      </c>
      <c r="L665" s="34">
        <v>172187</v>
      </c>
    </row>
    <row r="666" hidden="1">
      <c r="B666" s="64">
        <v>44526</v>
      </c>
      <c r="C666" s="9" t="s">
        <v>3257</v>
      </c>
      <c r="D666" s="6" t="s">
        <v>3258</v>
      </c>
      <c r="E666" s="6" t="s">
        <v>3112</v>
      </c>
      <c r="F666" s="6" t="s">
        <v>2221</v>
      </c>
      <c r="G666" s="6" t="s">
        <v>2222</v>
      </c>
      <c r="H666" s="7">
        <v>1656</v>
      </c>
      <c r="I666" s="8">
        <f>SUMIF(Cargas!$C$6:$C$1166,C666,Cargas!$O$6:$O$1064)</f>
        <v>0</v>
      </c>
      <c r="J666" s="17">
        <f t="shared" si="11"/>
        <v>1656</v>
      </c>
      <c r="K666" s="34" t="s">
        <v>29</v>
      </c>
      <c r="L666" s="34" t="s">
        <v>29</v>
      </c>
    </row>
    <row r="667" hidden="1">
      <c r="B667" s="64">
        <v>45615</v>
      </c>
      <c r="C667" s="9" t="s">
        <v>711</v>
      </c>
      <c r="D667" s="6" t="s">
        <v>2862</v>
      </c>
      <c r="E667" s="6" t="s">
        <v>2987</v>
      </c>
      <c r="F667" s="6" t="s">
        <v>2226</v>
      </c>
      <c r="G667" s="6" t="s">
        <v>2988</v>
      </c>
      <c r="H667" s="7">
        <v>1760</v>
      </c>
      <c r="I667" s="8">
        <f>SUMIF(Cargas!$C$6:$C$1064,C667,Cargas!$O$6:$O$1064)</f>
        <v>1760</v>
      </c>
      <c r="J667" s="17">
        <f t="shared" si="11"/>
        <v>0</v>
      </c>
      <c r="K667" s="34"/>
      <c r="L667" s="34">
        <v>233184</v>
      </c>
    </row>
    <row r="668" hidden="1">
      <c r="B668" s="64">
        <v>45616</v>
      </c>
      <c r="C668" s="9" t="s">
        <v>721</v>
      </c>
      <c r="D668" s="6" t="s">
        <v>2873</v>
      </c>
      <c r="E668" s="6" t="s">
        <v>2987</v>
      </c>
      <c r="F668" s="6" t="s">
        <v>2226</v>
      </c>
      <c r="G668" s="6" t="s">
        <v>2988</v>
      </c>
      <c r="H668" s="7">
        <v>1760</v>
      </c>
      <c r="I668" s="8">
        <f>SUMIF(Cargas!$C$6:$C$1064,C668,Cargas!$O$6:$O$1064)</f>
        <v>1760</v>
      </c>
      <c r="J668" s="17">
        <f t="shared" si="11"/>
        <v>0</v>
      </c>
      <c r="K668" s="34"/>
      <c r="L668" s="34">
        <v>234058</v>
      </c>
    </row>
    <row r="669" hidden="1">
      <c r="B669" s="64">
        <v>45616</v>
      </c>
      <c r="C669" s="9" t="s">
        <v>724</v>
      </c>
      <c r="D669" s="6" t="s">
        <v>2879</v>
      </c>
      <c r="E669" s="6" t="s">
        <v>2987</v>
      </c>
      <c r="F669" s="6" t="s">
        <v>2226</v>
      </c>
      <c r="G669" s="6" t="s">
        <v>2988</v>
      </c>
      <c r="H669" s="7">
        <v>1760</v>
      </c>
      <c r="I669" s="8">
        <f>SUMIF(Cargas!$C$6:$C$1064,C669,Cargas!$O$6:$O$1064)</f>
        <v>1760</v>
      </c>
      <c r="J669" s="17">
        <f t="shared" si="11"/>
        <v>0</v>
      </c>
      <c r="K669" s="34"/>
      <c r="L669" s="34">
        <v>234058</v>
      </c>
    </row>
    <row r="670" hidden="1">
      <c r="B670" s="64">
        <v>45616</v>
      </c>
      <c r="C670" s="9" t="s">
        <v>727</v>
      </c>
      <c r="D670" s="6" t="s">
        <v>2923</v>
      </c>
      <c r="E670" s="6" t="s">
        <v>2987</v>
      </c>
      <c r="F670" s="6" t="s">
        <v>2226</v>
      </c>
      <c r="G670" s="6" t="s">
        <v>2988</v>
      </c>
      <c r="H670" s="7">
        <v>1760</v>
      </c>
      <c r="I670" s="8">
        <f>SUMIF(Cargas!$C$6:$C$1064,C670,Cargas!$O$6:$O$1064)</f>
        <v>1760</v>
      </c>
      <c r="J670" s="17">
        <f t="shared" si="11"/>
        <v>0</v>
      </c>
      <c r="K670" s="34"/>
      <c r="L670" s="34">
        <v>234058</v>
      </c>
    </row>
    <row r="671" hidden="1">
      <c r="B671" s="64">
        <v>45618</v>
      </c>
      <c r="C671" s="9" t="s">
        <v>752</v>
      </c>
      <c r="D671" s="6" t="s">
        <v>2938</v>
      </c>
      <c r="E671" s="6" t="s">
        <v>2987</v>
      </c>
      <c r="F671" s="6" t="s">
        <v>2226</v>
      </c>
      <c r="G671" s="6" t="s">
        <v>2988</v>
      </c>
      <c r="H671" s="7">
        <v>1760</v>
      </c>
      <c r="I671" s="8">
        <f>SUMIF(Cargas!$C$6:$C$1064,C671,Cargas!$O$6:$O$1064)</f>
        <v>1760</v>
      </c>
      <c r="J671" s="17">
        <f t="shared" si="11"/>
        <v>0</v>
      </c>
      <c r="K671" s="34"/>
      <c r="L671" s="34">
        <v>235828</v>
      </c>
    </row>
    <row r="672" hidden="1">
      <c r="B672" s="64">
        <v>45618</v>
      </c>
      <c r="C672" s="9" t="s">
        <v>755</v>
      </c>
      <c r="D672" s="6" t="s">
        <v>2950</v>
      </c>
      <c r="E672" s="6" t="s">
        <v>2987</v>
      </c>
      <c r="F672" s="6" t="s">
        <v>2226</v>
      </c>
      <c r="G672" s="6" t="s">
        <v>2988</v>
      </c>
      <c r="H672" s="7">
        <v>1760</v>
      </c>
      <c r="I672" s="8">
        <f>SUMIF(Cargas!$C$6:$C$1064,C672,Cargas!$O$6:$O$1064)</f>
        <v>1760</v>
      </c>
      <c r="J672" s="17">
        <f t="shared" si="11"/>
        <v>0</v>
      </c>
      <c r="K672" s="34"/>
      <c r="L672" s="34">
        <v>235828</v>
      </c>
    </row>
    <row r="673" hidden="1">
      <c r="B673" s="64">
        <v>45618</v>
      </c>
      <c r="C673" s="9" t="s">
        <v>758</v>
      </c>
      <c r="D673" s="6" t="s">
        <v>3259</v>
      </c>
      <c r="E673" s="6" t="s">
        <v>2987</v>
      </c>
      <c r="F673" s="6" t="s">
        <v>2226</v>
      </c>
      <c r="G673" s="6" t="s">
        <v>2988</v>
      </c>
      <c r="H673" s="7">
        <v>1760</v>
      </c>
      <c r="I673" s="8">
        <f>SUMIF(Cargas!$C$6:$C$1064,C673,Cargas!$O$6:$O$1064)</f>
        <v>1760</v>
      </c>
      <c r="J673" s="17">
        <f t="shared" si="11"/>
        <v>0</v>
      </c>
      <c r="K673" s="34"/>
      <c r="L673" s="34">
        <v>235828</v>
      </c>
    </row>
    <row r="674" hidden="1">
      <c r="B674" s="64">
        <v>45567</v>
      </c>
      <c r="C674" s="9" t="s">
        <v>604</v>
      </c>
      <c r="D674" s="6" t="s">
        <v>2315</v>
      </c>
      <c r="E674" s="6" t="s">
        <v>2559</v>
      </c>
      <c r="F674" s="6" t="s">
        <v>978</v>
      </c>
      <c r="G674" s="6" t="s">
        <v>2559</v>
      </c>
      <c r="H674" s="7">
        <v>2208</v>
      </c>
      <c r="I674" s="8">
        <f>SUMIF(Cargas!$C$6:$C$1064,C674,Cargas!$O$6:$O$1064)</f>
        <v>2208</v>
      </c>
      <c r="J674" s="17">
        <f t="shared" si="11"/>
        <v>0</v>
      </c>
      <c r="K674" s="34">
        <v>1505599</v>
      </c>
      <c r="L674" s="34">
        <v>205647</v>
      </c>
    </row>
    <row r="675" hidden="1">
      <c r="B675" s="64">
        <v>45541</v>
      </c>
      <c r="C675" s="9" t="s">
        <v>521</v>
      </c>
      <c r="D675" s="6" t="s">
        <v>3260</v>
      </c>
      <c r="E675" s="6" t="s">
        <v>3261</v>
      </c>
      <c r="F675" s="6" t="s">
        <v>2226</v>
      </c>
      <c r="G675" s="6" t="s">
        <v>401</v>
      </c>
      <c r="H675" s="7">
        <v>1300</v>
      </c>
      <c r="I675" s="8">
        <f>SUMIF(Cargas!$C$6:$C$1064,C675,Cargas!$O$6:$O$1064)</f>
        <v>1300</v>
      </c>
      <c r="J675" s="17">
        <f t="shared" si="11"/>
        <v>0</v>
      </c>
      <c r="K675" s="34"/>
      <c r="L675" s="34">
        <v>176816</v>
      </c>
    </row>
    <row r="676" hidden="1">
      <c r="B676" s="64">
        <v>45583</v>
      </c>
      <c r="C676" s="9" t="s">
        <v>679</v>
      </c>
      <c r="D676" s="6" t="s">
        <v>2321</v>
      </c>
      <c r="E676" s="6" t="s">
        <v>2559</v>
      </c>
      <c r="F676" s="6" t="s">
        <v>978</v>
      </c>
      <c r="G676" s="6" t="s">
        <v>2559</v>
      </c>
      <c r="H676" s="7">
        <v>2208</v>
      </c>
      <c r="I676" s="8">
        <f>SUMIF(Cargas!$C$6:$C$1064,C676,Cargas!$O$6:$O$1064)</f>
        <v>2208</v>
      </c>
      <c r="J676" s="17">
        <f t="shared" si="11"/>
        <v>0</v>
      </c>
      <c r="K676" s="34">
        <v>1507564</v>
      </c>
      <c r="L676" s="34">
        <v>227676</v>
      </c>
    </row>
    <row r="677" hidden="1">
      <c r="B677" s="64">
        <v>45590</v>
      </c>
      <c r="C677" s="9" t="s">
        <v>717</v>
      </c>
      <c r="D677" s="6" t="s">
        <v>2348</v>
      </c>
      <c r="E677" s="6" t="s">
        <v>2559</v>
      </c>
      <c r="F677" s="6" t="s">
        <v>978</v>
      </c>
      <c r="G677" s="6" t="s">
        <v>2559</v>
      </c>
      <c r="H677" s="7">
        <v>2208</v>
      </c>
      <c r="I677" s="8">
        <f>SUMIF(Cargas!$C$6:$C$1064,C677,Cargas!$O$6:$O$1064)</f>
        <v>2208</v>
      </c>
      <c r="J677" s="17">
        <f t="shared" si="11"/>
        <v>0</v>
      </c>
      <c r="K677" s="34">
        <v>1508203</v>
      </c>
      <c r="L677" s="34">
        <v>234371</v>
      </c>
    </row>
    <row r="678" hidden="1">
      <c r="B678" s="64">
        <v>45615</v>
      </c>
      <c r="C678" s="9" t="s">
        <v>771</v>
      </c>
      <c r="D678" s="6" t="s">
        <v>983</v>
      </c>
      <c r="E678" s="6" t="s">
        <v>2559</v>
      </c>
      <c r="F678" s="6" t="s">
        <v>978</v>
      </c>
      <c r="G678" s="6" t="s">
        <v>2559</v>
      </c>
      <c r="H678" s="7">
        <v>2228</v>
      </c>
      <c r="I678" s="8">
        <f>SUMIF(Cargas!$C$6:$C$1064,C678,Cargas!$O$6:$O$1064)</f>
        <v>2228</v>
      </c>
      <c r="J678" s="17">
        <f t="shared" si="11"/>
        <v>0</v>
      </c>
      <c r="K678" s="34">
        <v>1510754</v>
      </c>
      <c r="L678" s="34">
        <v>238509</v>
      </c>
    </row>
    <row r="679" hidden="1">
      <c r="A679" s="42"/>
      <c r="B679" s="64">
        <v>44831</v>
      </c>
      <c r="C679" s="9" t="s">
        <v>3262</v>
      </c>
      <c r="D679" s="6" t="s">
        <v>3263</v>
      </c>
      <c r="E679" s="6" t="s">
        <v>2712</v>
      </c>
      <c r="F679" s="6" t="s">
        <v>2226</v>
      </c>
      <c r="G679" s="6" t="s">
        <v>2258</v>
      </c>
      <c r="H679" s="7">
        <v>2112</v>
      </c>
      <c r="I679" s="8">
        <f>SUMIF(Cargas!$C$6:$C$1064,C679,Cargas!$O$6:$O$1166)</f>
        <v>0</v>
      </c>
      <c r="J679" s="17">
        <f t="shared" si="11"/>
        <v>2112</v>
      </c>
      <c r="K679" s="34">
        <v>1440629</v>
      </c>
      <c r="L679" s="34">
        <v>180594</v>
      </c>
    </row>
    <row r="680" hidden="1">
      <c r="A680" s="42"/>
      <c r="B680" s="64">
        <v>44832</v>
      </c>
      <c r="C680" s="9" t="s">
        <v>3264</v>
      </c>
      <c r="D680" s="6" t="s">
        <v>3265</v>
      </c>
      <c r="E680" s="6" t="s">
        <v>2712</v>
      </c>
      <c r="F680" s="6" t="s">
        <v>2226</v>
      </c>
      <c r="G680" s="6" t="s">
        <v>2282</v>
      </c>
      <c r="H680" s="7">
        <v>2112</v>
      </c>
      <c r="I680" s="8">
        <f>SUMIF(Cargas!$C$6:$C$1064,C680,Cargas!$O$6:$O$1166)</f>
        <v>0</v>
      </c>
      <c r="J680" s="17">
        <f t="shared" si="11"/>
        <v>2112</v>
      </c>
      <c r="K680" s="34">
        <v>1441129</v>
      </c>
      <c r="L680" s="34">
        <v>183736</v>
      </c>
    </row>
    <row r="681" hidden="1">
      <c r="A681" s="42"/>
      <c r="B681" s="64">
        <v>44847</v>
      </c>
      <c r="C681" s="9" t="s">
        <v>3266</v>
      </c>
      <c r="D681" s="6" t="s">
        <v>3267</v>
      </c>
      <c r="E681" s="6" t="s">
        <v>2712</v>
      </c>
      <c r="F681" s="6" t="s">
        <v>2226</v>
      </c>
      <c r="G681" s="6" t="s">
        <v>2258</v>
      </c>
      <c r="H681" s="7">
        <v>2112</v>
      </c>
      <c r="I681" s="8">
        <f>SUMIF(Cargas!$C$6:$C$1064,C681,Cargas!$O$6:$O$1166)</f>
        <v>0</v>
      </c>
      <c r="J681" s="17">
        <f t="shared" si="11"/>
        <v>2112</v>
      </c>
      <c r="K681" s="34">
        <v>1442750</v>
      </c>
      <c r="L681" s="34">
        <v>195808</v>
      </c>
    </row>
    <row r="682" hidden="1">
      <c r="A682" s="42"/>
      <c r="B682" s="64">
        <v>44871</v>
      </c>
      <c r="C682" s="9" t="s">
        <v>3268</v>
      </c>
      <c r="D682" s="6" t="s">
        <v>3269</v>
      </c>
      <c r="E682" s="6" t="s">
        <v>3270</v>
      </c>
      <c r="F682" s="6" t="s">
        <v>2226</v>
      </c>
      <c r="G682" s="6" t="s">
        <v>2258</v>
      </c>
      <c r="H682" s="7">
        <v>2208</v>
      </c>
      <c r="I682" s="8">
        <f>SUMIF(Cargas!$C$6:$C$1064,C682,Cargas!$O$6:$O$1166)</f>
        <v>0</v>
      </c>
      <c r="J682" s="17">
        <f t="shared" si="11"/>
        <v>2208</v>
      </c>
      <c r="K682" s="34">
        <v>1444503</v>
      </c>
      <c r="L682" s="34">
        <v>210026</v>
      </c>
    </row>
    <row r="683" hidden="1">
      <c r="A683" s="42"/>
      <c r="B683" s="64">
        <v>44883</v>
      </c>
      <c r="C683" s="9" t="s">
        <v>3271</v>
      </c>
      <c r="D683" s="6" t="s">
        <v>3272</v>
      </c>
      <c r="E683" s="6" t="s">
        <v>2712</v>
      </c>
      <c r="F683" s="6" t="s">
        <v>2226</v>
      </c>
      <c r="G683" s="6" t="s">
        <v>2258</v>
      </c>
      <c r="H683" s="7">
        <v>2112</v>
      </c>
      <c r="I683" s="8">
        <f>SUMIF(Cargas!$C$6:$C$1064,C683,Cargas!$O$6:$O$1166)</f>
        <v>0</v>
      </c>
      <c r="J683" s="17">
        <f t="shared" si="11"/>
        <v>2112</v>
      </c>
      <c r="K683" s="34">
        <v>1446059</v>
      </c>
      <c r="L683" s="34">
        <v>222915</v>
      </c>
    </row>
    <row r="684" hidden="1">
      <c r="A684" s="42"/>
      <c r="B684" s="64">
        <v>44883</v>
      </c>
      <c r="C684" s="9" t="s">
        <v>3273</v>
      </c>
      <c r="D684" s="6" t="s">
        <v>3274</v>
      </c>
      <c r="E684" s="6" t="s">
        <v>2712</v>
      </c>
      <c r="F684" s="6" t="s">
        <v>2226</v>
      </c>
      <c r="G684" s="6" t="s">
        <v>2258</v>
      </c>
      <c r="H684" s="7">
        <v>2112</v>
      </c>
      <c r="I684" s="8">
        <f>SUMIF(Cargas!$C$6:$C$1064,C684,Cargas!$O$6:$O$1166)</f>
        <v>0</v>
      </c>
      <c r="J684" s="17">
        <f t="shared" si="11"/>
        <v>2112</v>
      </c>
      <c r="K684" s="133">
        <v>1446060</v>
      </c>
      <c r="L684" s="34">
        <v>219941</v>
      </c>
    </row>
    <row r="685" hidden="1">
      <c r="A685" s="42"/>
      <c r="B685" s="64">
        <v>44871</v>
      </c>
      <c r="C685" s="9" t="s">
        <v>3275</v>
      </c>
      <c r="D685" s="6" t="s">
        <v>3276</v>
      </c>
      <c r="E685" s="6" t="s">
        <v>3270</v>
      </c>
      <c r="F685" s="6" t="s">
        <v>2226</v>
      </c>
      <c r="G685" s="6" t="s">
        <v>2258</v>
      </c>
      <c r="H685" s="7">
        <v>2112</v>
      </c>
      <c r="I685" s="8">
        <f>SUMIF(Cargas!$C$6:$C$1064,C685,Cargas!$O$6:$O$1166)</f>
        <v>0</v>
      </c>
      <c r="J685" s="17">
        <f t="shared" si="11"/>
        <v>2112</v>
      </c>
      <c r="K685" s="133">
        <v>1446884</v>
      </c>
      <c r="L685" s="34">
        <v>223937</v>
      </c>
    </row>
    <row r="686" hidden="1">
      <c r="A686" s="42"/>
      <c r="B686" s="64">
        <v>44895</v>
      </c>
      <c r="C686" s="9" t="s">
        <v>3277</v>
      </c>
      <c r="D686" s="6" t="s">
        <v>3278</v>
      </c>
      <c r="E686" s="6" t="s">
        <v>3270</v>
      </c>
      <c r="F686" s="6" t="s">
        <v>2226</v>
      </c>
      <c r="G686" s="6" t="s">
        <v>2258</v>
      </c>
      <c r="H686" s="7">
        <v>2496</v>
      </c>
      <c r="I686" s="8">
        <f>SUMIF(Cargas!$C$6:$C$1064,C686,Cargas!$O$6:$O$1166)</f>
        <v>0</v>
      </c>
      <c r="J686" s="17">
        <f t="shared" si="11"/>
        <v>2496</v>
      </c>
      <c r="K686" s="34" t="s">
        <v>3279</v>
      </c>
      <c r="L686" s="34">
        <v>229010</v>
      </c>
    </row>
    <row r="687" hidden="1">
      <c r="A687" s="42"/>
      <c r="B687" s="64">
        <v>44908</v>
      </c>
      <c r="C687" s="9" t="s">
        <v>3280</v>
      </c>
      <c r="D687" s="6" t="s">
        <v>3281</v>
      </c>
      <c r="E687" s="6" t="s">
        <v>3282</v>
      </c>
      <c r="F687" s="6" t="s">
        <v>2226</v>
      </c>
      <c r="G687" s="6" t="s">
        <v>2258</v>
      </c>
      <c r="H687" s="7">
        <v>2596</v>
      </c>
      <c r="I687" s="8">
        <f>SUMIF(Cargas!$C$6:$C$1064,C687,Cargas!$O$6:$O$1166)</f>
        <v>0</v>
      </c>
      <c r="J687" s="17">
        <f t="shared" si="11"/>
        <v>2596</v>
      </c>
      <c r="K687" s="34" t="s">
        <v>3283</v>
      </c>
      <c r="L687" s="34" t="s">
        <v>3284</v>
      </c>
    </row>
    <row r="688" hidden="1">
      <c r="A688" s="42"/>
      <c r="B688" s="64">
        <v>44910</v>
      </c>
      <c r="C688" s="9" t="s">
        <v>3285</v>
      </c>
      <c r="D688" s="6" t="s">
        <v>3286</v>
      </c>
      <c r="E688" s="6" t="s">
        <v>3287</v>
      </c>
      <c r="F688" s="6" t="s">
        <v>2226</v>
      </c>
      <c r="G688" s="6" t="s">
        <v>2258</v>
      </c>
      <c r="H688" s="7">
        <v>2112</v>
      </c>
      <c r="I688" s="8">
        <f>SUMIF(Cargas!$C$6:$C$1064,C688,Cargas!$O$6:$O$1166)</f>
        <v>0</v>
      </c>
      <c r="J688" s="17">
        <f t="shared" si="11"/>
        <v>2112</v>
      </c>
      <c r="K688" s="34">
        <v>1448300</v>
      </c>
      <c r="L688" s="34">
        <v>239740</v>
      </c>
    </row>
    <row r="689" hidden="1">
      <c r="A689" s="42"/>
      <c r="B689" s="64">
        <v>44916</v>
      </c>
      <c r="C689" s="9" t="s">
        <v>3288</v>
      </c>
      <c r="D689" s="6" t="s">
        <v>3289</v>
      </c>
      <c r="E689" s="6" t="s">
        <v>3287</v>
      </c>
      <c r="F689" s="6" t="s">
        <v>2226</v>
      </c>
      <c r="G689" s="6" t="s">
        <v>2258</v>
      </c>
      <c r="H689" s="7">
        <v>2112</v>
      </c>
      <c r="I689" s="8">
        <f>SUMIF(Cargas!$C$6:$C$1064,C689,Cargas!$O$6:$O$1166)</f>
        <v>0</v>
      </c>
      <c r="J689" s="17">
        <f t="shared" si="11"/>
        <v>2112</v>
      </c>
      <c r="K689" s="34">
        <v>1448792</v>
      </c>
      <c r="L689" s="34">
        <v>243636</v>
      </c>
    </row>
    <row r="690" hidden="1">
      <c r="A690" s="42"/>
      <c r="B690" s="64">
        <v>44922</v>
      </c>
      <c r="C690" s="9" t="s">
        <v>3290</v>
      </c>
      <c r="D690" s="6" t="s">
        <v>3291</v>
      </c>
      <c r="E690" s="6" t="s">
        <v>3287</v>
      </c>
      <c r="F690" s="6" t="s">
        <v>2226</v>
      </c>
      <c r="G690" s="6" t="s">
        <v>2258</v>
      </c>
      <c r="H690" s="7">
        <v>2112</v>
      </c>
      <c r="I690" s="8">
        <f>SUMIF(Cargas!$C$6:$C$1064,C690,Cargas!$O$6:$O$1166)</f>
        <v>0</v>
      </c>
      <c r="J690" s="17">
        <f t="shared" si="11"/>
        <v>2112</v>
      </c>
      <c r="K690" s="34">
        <v>1449054</v>
      </c>
      <c r="L690" s="34">
        <v>247555</v>
      </c>
    </row>
    <row r="691" hidden="1">
      <c r="B691" s="64">
        <v>45461</v>
      </c>
      <c r="C691" s="9" t="s">
        <v>462</v>
      </c>
      <c r="D691" s="6" t="s">
        <v>3292</v>
      </c>
      <c r="E691" s="6" t="s">
        <v>3293</v>
      </c>
      <c r="F691" s="6" t="s">
        <v>2221</v>
      </c>
      <c r="G691" s="6" t="s">
        <v>2222</v>
      </c>
      <c r="H691" s="7">
        <v>2600</v>
      </c>
      <c r="I691" s="8">
        <f>SUMIF(Cargas!$C$6:$C$1064,C691,Cargas!$O$6:$O$1064)</f>
        <v>2600</v>
      </c>
      <c r="J691" s="17">
        <f t="shared" si="11"/>
        <v>0</v>
      </c>
      <c r="K691" s="34"/>
      <c r="L691" s="34">
        <v>160526</v>
      </c>
    </row>
    <row r="692" hidden="1">
      <c r="A692" s="79"/>
      <c r="B692" s="80">
        <v>45299</v>
      </c>
      <c r="C692" s="81" t="s">
        <v>33</v>
      </c>
      <c r="D692" s="82" t="s">
        <v>3294</v>
      </c>
      <c r="E692" s="82" t="s">
        <v>3295</v>
      </c>
      <c r="F692" s="82" t="s">
        <v>2226</v>
      </c>
      <c r="G692" s="82" t="s">
        <v>2258</v>
      </c>
      <c r="H692" s="83">
        <v>2925</v>
      </c>
      <c r="I692" s="84">
        <f>SUMIF(Cargas!$C$6:$C$1064,C692,Cargas!$O$6:$O$1064)</f>
        <v>2925</v>
      </c>
      <c r="J692" s="85">
        <f t="shared" si="11"/>
        <v>0</v>
      </c>
      <c r="K692" s="86"/>
      <c r="L692" s="86">
        <v>12651</v>
      </c>
      <c r="M692" s="32"/>
    </row>
    <row r="693" hidden="1">
      <c r="B693" s="64">
        <v>44409</v>
      </c>
      <c r="C693" s="9" t="s">
        <v>3296</v>
      </c>
      <c r="D693" s="6" t="s">
        <v>2430</v>
      </c>
      <c r="E693" s="6" t="s">
        <v>2225</v>
      </c>
      <c r="F693" s="6" t="s">
        <v>2226</v>
      </c>
      <c r="G693" s="6" t="s">
        <v>2227</v>
      </c>
      <c r="H693" s="7">
        <v>1680</v>
      </c>
      <c r="I693" s="8">
        <f>SUMIF(Cargas!$C$6:$C$1064,C693,Cargas!$O$6:$O$1064)</f>
        <v>0</v>
      </c>
      <c r="J693" s="17">
        <f t="shared" si="11"/>
        <v>1680</v>
      </c>
      <c r="K693" s="34">
        <v>1404912</v>
      </c>
      <c r="L693" s="34">
        <v>143242</v>
      </c>
    </row>
    <row r="694" hidden="1">
      <c r="A694" s="79"/>
      <c r="B694" s="80">
        <v>45334</v>
      </c>
      <c r="C694" s="81" t="s">
        <v>76</v>
      </c>
      <c r="D694" s="82" t="s">
        <v>3297</v>
      </c>
      <c r="E694" s="82" t="s">
        <v>3295</v>
      </c>
      <c r="F694" s="82" t="s">
        <v>2226</v>
      </c>
      <c r="G694" s="82" t="s">
        <v>2258</v>
      </c>
      <c r="H694" s="83">
        <f>990+6270</f>
        <v>7260</v>
      </c>
      <c r="I694" s="84">
        <f>SUMIF(Cargas!$C$6:$C$1064,C694,Cargas!$O$6:$O$1064)</f>
        <v>7260</v>
      </c>
      <c r="J694" s="85">
        <f t="shared" si="11"/>
        <v>0</v>
      </c>
      <c r="K694" s="86"/>
      <c r="L694" s="86">
        <v>29690</v>
      </c>
      <c r="M694" s="32"/>
    </row>
    <row r="695" hidden="1">
      <c r="A695" s="79"/>
      <c r="B695" s="80">
        <v>45363</v>
      </c>
      <c r="C695" s="81" t="s">
        <v>149</v>
      </c>
      <c r="D695" s="82" t="s">
        <v>3298</v>
      </c>
      <c r="E695" s="82" t="s">
        <v>3295</v>
      </c>
      <c r="F695" s="82" t="s">
        <v>2226</v>
      </c>
      <c r="G695" s="82" t="s">
        <v>2258</v>
      </c>
      <c r="H695" s="83">
        <v>7920</v>
      </c>
      <c r="I695" s="84">
        <f>SUMIF(Cargas!$C$6:$C$1064,C695,Cargas!$O$6:$O$1064)</f>
        <v>7920</v>
      </c>
      <c r="J695" s="85">
        <f t="shared" si="11"/>
        <v>0</v>
      </c>
      <c r="K695" s="86"/>
      <c r="L695" s="86">
        <v>49078</v>
      </c>
      <c r="M695" s="32"/>
    </row>
    <row r="696" hidden="1">
      <c r="A696" s="79"/>
      <c r="B696" s="80">
        <v>45384</v>
      </c>
      <c r="C696" s="81" t="s">
        <v>180</v>
      </c>
      <c r="D696" s="82" t="s">
        <v>3299</v>
      </c>
      <c r="E696" s="82" t="s">
        <v>3295</v>
      </c>
      <c r="F696" s="82" t="s">
        <v>2226</v>
      </c>
      <c r="G696" s="82" t="s">
        <v>2258</v>
      </c>
      <c r="H696" s="83">
        <v>7920</v>
      </c>
      <c r="I696" s="84">
        <f>SUMIF(Cargas!$C$6:$C$1064,C696,Cargas!$O$6:$O$1064)</f>
        <v>7920</v>
      </c>
      <c r="J696" s="85">
        <f t="shared" si="11"/>
        <v>0</v>
      </c>
      <c r="K696" s="86"/>
      <c r="L696" s="86">
        <v>64508</v>
      </c>
      <c r="M696" s="32"/>
    </row>
    <row r="697" hidden="1" ht="14.25" customHeight="1">
      <c r="B697" s="64">
        <v>44568</v>
      </c>
      <c r="C697" s="9" t="s">
        <v>3300</v>
      </c>
      <c r="D697" s="6" t="s">
        <v>2224</v>
      </c>
      <c r="E697" s="6" t="s">
        <v>2225</v>
      </c>
      <c r="F697" s="6" t="s">
        <v>2226</v>
      </c>
      <c r="G697" s="6" t="s">
        <v>2227</v>
      </c>
      <c r="H697" s="7">
        <v>1680</v>
      </c>
      <c r="I697" s="8">
        <f>SUMIF(Cargas!$C$6:$C$1064,C697,Cargas!$O$6:$O$1064)</f>
        <v>0</v>
      </c>
      <c r="J697" s="17">
        <f t="shared" si="11"/>
        <v>1680</v>
      </c>
      <c r="K697" s="34">
        <v>1418745</v>
      </c>
      <c r="L697" s="34">
        <v>12595</v>
      </c>
    </row>
    <row r="698" hidden="1" ht="14.25" customHeight="1">
      <c r="B698" s="64">
        <v>44579</v>
      </c>
      <c r="C698" s="9" t="s">
        <v>3301</v>
      </c>
      <c r="D698" s="6" t="s">
        <v>2246</v>
      </c>
      <c r="E698" s="6" t="s">
        <v>2225</v>
      </c>
      <c r="F698" s="6" t="s">
        <v>2226</v>
      </c>
      <c r="G698" s="6" t="s">
        <v>2227</v>
      </c>
      <c r="H698" s="7">
        <v>1680</v>
      </c>
      <c r="I698" s="8">
        <f>SUMIF(Cargas!$C$6:$C$1064,C698,Cargas!$O$6:$O$1064)</f>
        <v>0</v>
      </c>
      <c r="J698" s="17">
        <f t="shared" si="11"/>
        <v>1680</v>
      </c>
      <c r="K698" s="34">
        <v>1419987</v>
      </c>
      <c r="L698" s="34">
        <v>20106</v>
      </c>
    </row>
    <row r="699" hidden="1" ht="14.25" customHeight="1">
      <c r="A699" s="42"/>
      <c r="B699" s="72">
        <v>45134</v>
      </c>
      <c r="C699" s="73" t="s">
        <v>3302</v>
      </c>
      <c r="D699" s="74" t="s">
        <v>3095</v>
      </c>
      <c r="E699" s="74" t="s">
        <v>2812</v>
      </c>
      <c r="F699" s="74" t="s">
        <v>2226</v>
      </c>
      <c r="G699" s="74" t="s">
        <v>3303</v>
      </c>
      <c r="H699" s="75">
        <v>1400</v>
      </c>
      <c r="I699" s="76">
        <f>SUMIF(Cargas!$C$6:$C$1064,C699,Cargas!$O$6:$O$1064)</f>
        <v>0</v>
      </c>
      <c r="J699" s="77">
        <f t="shared" si="11"/>
        <v>1400</v>
      </c>
      <c r="K699" s="78">
        <v>1465977</v>
      </c>
      <c r="L699" s="78">
        <v>140070</v>
      </c>
    </row>
    <row r="700" hidden="1" ht="14.25" customHeight="1">
      <c r="A700" s="79"/>
      <c r="B700" s="72">
        <v>45138</v>
      </c>
      <c r="C700" s="73" t="s">
        <v>3304</v>
      </c>
      <c r="D700" s="74" t="s">
        <v>3097</v>
      </c>
      <c r="E700" s="74" t="s">
        <v>2812</v>
      </c>
      <c r="F700" s="74" t="s">
        <v>2226</v>
      </c>
      <c r="G700" s="74" t="s">
        <v>2818</v>
      </c>
      <c r="H700" s="75">
        <v>1400</v>
      </c>
      <c r="I700" s="76">
        <f>SUMIF(Cargas!$C$6:$C$1064,C700,Cargas!$O$6:$O$1064)</f>
        <v>0</v>
      </c>
      <c r="J700" s="77">
        <f t="shared" si="11"/>
        <v>1400</v>
      </c>
      <c r="K700" s="78">
        <v>1465982</v>
      </c>
      <c r="L700" s="78" t="s">
        <v>3305</v>
      </c>
      <c r="M700" s="32"/>
    </row>
    <row r="701" hidden="1" ht="14.25" customHeight="1">
      <c r="A701" s="79"/>
      <c r="B701" s="72">
        <v>45138</v>
      </c>
      <c r="C701" s="73" t="s">
        <v>3306</v>
      </c>
      <c r="D701" s="74" t="s">
        <v>3099</v>
      </c>
      <c r="E701" s="74" t="s">
        <v>2812</v>
      </c>
      <c r="F701" s="74" t="s">
        <v>2226</v>
      </c>
      <c r="G701" s="74" t="s">
        <v>2818</v>
      </c>
      <c r="H701" s="75">
        <v>1400</v>
      </c>
      <c r="I701" s="76">
        <f>SUMIF(Cargas!$C$6:$C$1064,C701,Cargas!$O$6:$O$1064)</f>
        <v>0</v>
      </c>
      <c r="J701" s="77">
        <f t="shared" si="11"/>
        <v>1400</v>
      </c>
      <c r="K701" s="78">
        <v>1465984</v>
      </c>
      <c r="L701" s="78" t="s">
        <v>3305</v>
      </c>
      <c r="M701" s="32"/>
    </row>
    <row r="702" hidden="1" ht="14.25" customHeight="1">
      <c r="A702" s="42"/>
      <c r="B702" s="64">
        <v>45138</v>
      </c>
      <c r="C702" s="73" t="s">
        <v>3307</v>
      </c>
      <c r="D702" s="74" t="s">
        <v>3101</v>
      </c>
      <c r="E702" s="74" t="s">
        <v>2812</v>
      </c>
      <c r="F702" s="74" t="s">
        <v>2226</v>
      </c>
      <c r="G702" s="74" t="s">
        <v>2818</v>
      </c>
      <c r="H702" s="75">
        <v>1400</v>
      </c>
      <c r="I702" s="76">
        <f>SUMIF(Cargas!$C$6:$C$1064,C702,Cargas!$O$6:$O$1064)</f>
        <v>0</v>
      </c>
      <c r="J702" s="77">
        <f t="shared" si="11"/>
        <v>1400</v>
      </c>
      <c r="K702" s="78">
        <v>1465983</v>
      </c>
      <c r="L702" s="78">
        <v>143309</v>
      </c>
    </row>
    <row r="703" hidden="1" ht="14.25" customHeight="1">
      <c r="A703" s="79"/>
      <c r="B703" s="72">
        <v>45141</v>
      </c>
      <c r="C703" s="73" t="s">
        <v>3308</v>
      </c>
      <c r="D703" s="74" t="s">
        <v>3104</v>
      </c>
      <c r="E703" s="74" t="s">
        <v>2812</v>
      </c>
      <c r="F703" s="74" t="s">
        <v>2226</v>
      </c>
      <c r="G703" s="74" t="s">
        <v>2818</v>
      </c>
      <c r="H703" s="75">
        <v>1400</v>
      </c>
      <c r="I703" s="76">
        <f>SUMIF(Cargas!$C$6:$C$1064,C703,Cargas!$O$6:$O$1064)</f>
        <v>0</v>
      </c>
      <c r="J703" s="77">
        <f t="shared" si="11"/>
        <v>1400</v>
      </c>
      <c r="K703" s="78">
        <v>1467096</v>
      </c>
      <c r="L703" s="78">
        <v>144472</v>
      </c>
      <c r="M703" s="32"/>
    </row>
    <row r="704" hidden="1" ht="14.25" customHeight="1">
      <c r="A704" s="42"/>
      <c r="B704" s="72">
        <v>45141</v>
      </c>
      <c r="C704" s="73" t="s">
        <v>3309</v>
      </c>
      <c r="D704" s="74" t="s">
        <v>3106</v>
      </c>
      <c r="E704" s="74" t="s">
        <v>2812</v>
      </c>
      <c r="F704" s="74" t="s">
        <v>2226</v>
      </c>
      <c r="G704" s="74" t="s">
        <v>2818</v>
      </c>
      <c r="H704" s="75">
        <v>1400</v>
      </c>
      <c r="I704" s="76">
        <f>SUMIF(Cargas!$C$6:$C$1064,C704,Cargas!$O$6:$O$1064)</f>
        <v>0</v>
      </c>
      <c r="J704" s="77">
        <f t="shared" si="11"/>
        <v>1400</v>
      </c>
      <c r="K704" s="78">
        <v>1467097</v>
      </c>
      <c r="L704" s="78">
        <v>144472</v>
      </c>
    </row>
    <row r="705" hidden="1" ht="14.25" customHeight="1">
      <c r="A705" s="42"/>
      <c r="B705" s="72">
        <v>45142</v>
      </c>
      <c r="C705" s="73" t="s">
        <v>3310</v>
      </c>
      <c r="D705" s="74" t="s">
        <v>3311</v>
      </c>
      <c r="E705" s="74" t="s">
        <v>2812</v>
      </c>
      <c r="F705" s="74" t="s">
        <v>2226</v>
      </c>
      <c r="G705" s="74" t="s">
        <v>2818</v>
      </c>
      <c r="H705" s="75">
        <v>1400</v>
      </c>
      <c r="I705" s="76">
        <f>SUMIF(Cargas!$C$6:$C$1064,C705,Cargas!$O$6:$O$1064)</f>
        <v>0</v>
      </c>
      <c r="J705" s="77">
        <f t="shared" si="11"/>
        <v>1400</v>
      </c>
      <c r="K705" s="78">
        <v>1467099</v>
      </c>
      <c r="L705" s="78">
        <v>148288</v>
      </c>
    </row>
    <row r="706" hidden="1" ht="14.25" customHeight="1">
      <c r="A706" s="42"/>
      <c r="B706" s="72">
        <v>45145</v>
      </c>
      <c r="C706" s="73" t="s">
        <v>3312</v>
      </c>
      <c r="D706" s="74" t="s">
        <v>3313</v>
      </c>
      <c r="E706" s="74" t="s">
        <v>2812</v>
      </c>
      <c r="F706" s="74" t="s">
        <v>2226</v>
      </c>
      <c r="G706" s="74" t="s">
        <v>2818</v>
      </c>
      <c r="H706" s="75">
        <v>1400</v>
      </c>
      <c r="I706" s="76">
        <f>SUMIF(Cargas!$C$6:$C$1064,C706,Cargas!$O$6:$O$1064)</f>
        <v>0</v>
      </c>
      <c r="J706" s="77">
        <f t="shared" si="11"/>
        <v>1400</v>
      </c>
      <c r="K706" s="78">
        <v>1467102</v>
      </c>
      <c r="L706" s="78">
        <v>148288</v>
      </c>
    </row>
    <row r="707" hidden="1" ht="14.25" customHeight="1">
      <c r="B707" s="64">
        <v>44586</v>
      </c>
      <c r="C707" s="9" t="s">
        <v>3314</v>
      </c>
      <c r="D707" s="6" t="s">
        <v>2268</v>
      </c>
      <c r="E707" s="6" t="s">
        <v>2225</v>
      </c>
      <c r="F707" s="6" t="s">
        <v>2226</v>
      </c>
      <c r="G707" s="6" t="s">
        <v>2227</v>
      </c>
      <c r="H707" s="7">
        <v>1680</v>
      </c>
      <c r="I707" s="8">
        <f>SUMIF(Cargas!$C$6:$C$1064,C707,Cargas!$O$6:$O$1064)</f>
        <v>0</v>
      </c>
      <c r="J707" s="17">
        <f t="shared" si="11"/>
        <v>1680</v>
      </c>
      <c r="K707" s="34">
        <v>1420321</v>
      </c>
      <c r="L707" s="34">
        <v>26208</v>
      </c>
    </row>
    <row r="708" hidden="1" ht="14.25" customHeight="1">
      <c r="B708" s="64">
        <v>44600</v>
      </c>
      <c r="C708" s="9" t="s">
        <v>3315</v>
      </c>
      <c r="D708" s="6" t="s">
        <v>2274</v>
      </c>
      <c r="E708" s="6" t="s">
        <v>2225</v>
      </c>
      <c r="F708" s="6" t="s">
        <v>2226</v>
      </c>
      <c r="G708" s="6" t="s">
        <v>2227</v>
      </c>
      <c r="H708" s="7">
        <v>1680</v>
      </c>
      <c r="I708" s="8">
        <f>SUMIF(Cargas!$C$6:$C$1064,C708,Cargas!$O$6:$O$1064)</f>
        <v>0</v>
      </c>
      <c r="J708" s="17">
        <f t="shared" si="11"/>
        <v>1680</v>
      </c>
      <c r="K708" s="34">
        <v>1421037</v>
      </c>
      <c r="L708" s="34">
        <v>35780</v>
      </c>
    </row>
    <row r="709" hidden="1">
      <c r="B709" s="64">
        <v>44618</v>
      </c>
      <c r="C709" s="9" t="s">
        <v>3316</v>
      </c>
      <c r="D709" s="6" t="s">
        <v>2293</v>
      </c>
      <c r="E709" s="6" t="s">
        <v>2225</v>
      </c>
      <c r="F709" s="6" t="s">
        <v>2226</v>
      </c>
      <c r="G709" s="6" t="s">
        <v>2227</v>
      </c>
      <c r="H709" s="7">
        <v>1680</v>
      </c>
      <c r="I709" s="8">
        <f>SUMIF(Cargas!$C$6:$C$1064,C709,Cargas!$O$6:$O$1064)</f>
        <v>0</v>
      </c>
      <c r="J709" s="17">
        <f t="shared" si="11"/>
        <v>1680</v>
      </c>
      <c r="K709" s="34">
        <v>1422036</v>
      </c>
      <c r="L709" s="34">
        <v>46104</v>
      </c>
    </row>
    <row r="710" hidden="1">
      <c r="B710" s="64">
        <v>44623</v>
      </c>
      <c r="C710" s="9" t="s">
        <v>3317</v>
      </c>
      <c r="D710" s="6" t="s">
        <v>2304</v>
      </c>
      <c r="E710" s="6" t="s">
        <v>2225</v>
      </c>
      <c r="F710" s="6" t="s">
        <v>2226</v>
      </c>
      <c r="G710" s="6" t="s">
        <v>2227</v>
      </c>
      <c r="H710" s="7">
        <v>1680</v>
      </c>
      <c r="I710" s="8">
        <f>SUMIF(Cargas!$C$6:$C$1064,C710,Cargas!$O$6:$O$1064)</f>
        <v>0</v>
      </c>
      <c r="J710" s="17">
        <f t="shared" si="11"/>
        <v>1680</v>
      </c>
      <c r="K710" s="34">
        <v>1422616</v>
      </c>
      <c r="L710" s="34">
        <v>49905</v>
      </c>
    </row>
    <row r="711" hidden="1">
      <c r="B711" s="64">
        <v>44639</v>
      </c>
      <c r="C711" s="9" t="s">
        <v>3318</v>
      </c>
      <c r="D711" s="6" t="s">
        <v>2323</v>
      </c>
      <c r="E711" s="6" t="s">
        <v>2220</v>
      </c>
      <c r="F711" s="6" t="s">
        <v>2226</v>
      </c>
      <c r="G711" s="6" t="s">
        <v>2227</v>
      </c>
      <c r="H711" s="7">
        <v>1680</v>
      </c>
      <c r="I711" s="8">
        <f>SUMIF(Cargas!$C$6:$C$1064,C711,Cargas!$O$6:$O$1064)</f>
        <v>0</v>
      </c>
      <c r="J711" s="17">
        <f t="shared" si="11"/>
        <v>1680</v>
      </c>
      <c r="K711" s="34">
        <v>1424135</v>
      </c>
      <c r="L711" s="34" t="s">
        <v>29</v>
      </c>
    </row>
    <row r="712" hidden="1">
      <c r="B712" s="64">
        <v>44653</v>
      </c>
      <c r="C712" s="9" t="s">
        <v>3319</v>
      </c>
      <c r="D712" s="6" t="s">
        <v>2365</v>
      </c>
      <c r="E712" s="6" t="s">
        <v>2220</v>
      </c>
      <c r="F712" s="6" t="s">
        <v>2226</v>
      </c>
      <c r="G712" s="6" t="s">
        <v>2227</v>
      </c>
      <c r="H712" s="7">
        <v>1680</v>
      </c>
      <c r="I712" s="8">
        <f>SUMIF(Cargas!$C$6:$C$1064,C712,Cargas!$O$6:$O$1064)</f>
        <v>0</v>
      </c>
      <c r="J712" s="17">
        <f t="shared" si="11"/>
        <v>1680</v>
      </c>
      <c r="K712" s="34">
        <v>1424891</v>
      </c>
      <c r="L712" s="34">
        <v>66956</v>
      </c>
    </row>
    <row r="713" hidden="1">
      <c r="B713" s="64">
        <v>44431</v>
      </c>
      <c r="C713" s="9" t="s">
        <v>3320</v>
      </c>
      <c r="D713" s="6" t="s">
        <v>2471</v>
      </c>
      <c r="E713" s="6" t="s">
        <v>2225</v>
      </c>
      <c r="F713" s="6" t="s">
        <v>2226</v>
      </c>
      <c r="G713" s="6" t="s">
        <v>2227</v>
      </c>
      <c r="H713" s="7">
        <v>1680</v>
      </c>
      <c r="I713" s="8">
        <f>SUMIF(Cargas!$C$6:$C$1064,C713,Cargas!$O$6:$O$1064)</f>
        <v>0</v>
      </c>
      <c r="J713" s="17">
        <f t="shared" si="11"/>
        <v>1680</v>
      </c>
      <c r="K713" s="34">
        <v>1406703</v>
      </c>
      <c r="L713" s="34">
        <v>156938</v>
      </c>
    </row>
    <row r="714" hidden="1">
      <c r="B714" s="64">
        <v>44439</v>
      </c>
      <c r="C714" s="9" t="s">
        <v>3321</v>
      </c>
      <c r="D714" s="6" t="s">
        <v>2510</v>
      </c>
      <c r="E714" s="6" t="s">
        <v>2225</v>
      </c>
      <c r="F714" s="6" t="s">
        <v>2226</v>
      </c>
      <c r="G714" s="6" t="s">
        <v>2227</v>
      </c>
      <c r="H714" s="7">
        <v>1680</v>
      </c>
      <c r="I714" s="8">
        <f>SUMIF(Cargas!$C$6:$C$1064,C714,Cargas!$O$6:$O$1064)</f>
        <v>0</v>
      </c>
      <c r="J714" s="17">
        <f t="shared" si="11"/>
        <v>1680</v>
      </c>
      <c r="K714" s="34">
        <v>1407985</v>
      </c>
      <c r="L714" s="34">
        <v>162468</v>
      </c>
    </row>
    <row r="715" hidden="1">
      <c r="B715" s="64">
        <v>44461</v>
      </c>
      <c r="C715" s="9" t="s">
        <v>3322</v>
      </c>
      <c r="D715" s="6" t="s">
        <v>2546</v>
      </c>
      <c r="E715" s="6" t="s">
        <v>2225</v>
      </c>
      <c r="F715" s="6" t="s">
        <v>2226</v>
      </c>
      <c r="G715" s="6" t="s">
        <v>2227</v>
      </c>
      <c r="H715" s="7">
        <v>1680</v>
      </c>
      <c r="I715" s="8">
        <f>SUMIF(Cargas!$C$6:$C$1166,C715,Cargas!$O$6:$O$1166)</f>
        <v>0</v>
      </c>
      <c r="J715" s="17">
        <f t="shared" si="11"/>
        <v>1680</v>
      </c>
      <c r="K715" s="34">
        <v>1409075</v>
      </c>
      <c r="L715" s="34">
        <v>173990</v>
      </c>
    </row>
    <row r="716" hidden="1">
      <c r="B716" s="64">
        <v>44463</v>
      </c>
      <c r="C716" s="9" t="s">
        <v>3323</v>
      </c>
      <c r="D716" s="6" t="s">
        <v>2577</v>
      </c>
      <c r="E716" s="6" t="s">
        <v>2225</v>
      </c>
      <c r="F716" s="6" t="s">
        <v>2226</v>
      </c>
      <c r="G716" s="6" t="s">
        <v>2227</v>
      </c>
      <c r="H716" s="7">
        <v>1680</v>
      </c>
      <c r="I716" s="8">
        <f>SUMIF(Cargas!$C$6:$C$1166,C716,Cargas!$O$6:$O$1166)</f>
        <v>0</v>
      </c>
      <c r="J716" s="17">
        <f ref="J716:J779" t="shared" si="12">IF(ABS(H716-I716)&lt;20,0,H716-I716)</f>
        <v>1680</v>
      </c>
      <c r="K716" s="34">
        <v>1409713</v>
      </c>
      <c r="L716" s="34">
        <v>183153</v>
      </c>
    </row>
    <row r="717" hidden="1">
      <c r="B717" s="64">
        <v>44474</v>
      </c>
      <c r="C717" s="9" t="s">
        <v>3324</v>
      </c>
      <c r="D717" s="6" t="s">
        <v>2602</v>
      </c>
      <c r="E717" s="6" t="s">
        <v>2225</v>
      </c>
      <c r="F717" s="6" t="s">
        <v>2226</v>
      </c>
      <c r="G717" s="6" t="s">
        <v>2227</v>
      </c>
      <c r="H717" s="7">
        <v>1680</v>
      </c>
      <c r="I717" s="8">
        <f>SUMIF(Cargas!$C$6:$C$1166,C717,Cargas!$O$6:$O$1166)</f>
        <v>0</v>
      </c>
      <c r="J717" s="17">
        <f t="shared" si="12"/>
        <v>1680</v>
      </c>
      <c r="K717" s="34">
        <v>1410968</v>
      </c>
      <c r="L717" s="34">
        <v>188254</v>
      </c>
    </row>
    <row r="718" hidden="1">
      <c r="B718" s="64">
        <v>44485</v>
      </c>
      <c r="C718" s="9" t="s">
        <v>3325</v>
      </c>
      <c r="D718" s="6" t="s">
        <v>2618</v>
      </c>
      <c r="E718" s="6" t="s">
        <v>2225</v>
      </c>
      <c r="F718" s="6" t="s">
        <v>2226</v>
      </c>
      <c r="G718" s="6" t="s">
        <v>2227</v>
      </c>
      <c r="H718" s="7">
        <v>1680</v>
      </c>
      <c r="I718" s="8">
        <f>SUMIF(Cargas!$C$6:$C$1166,C718,Cargas!$O$6:$O$1166)</f>
        <v>0</v>
      </c>
      <c r="J718" s="17">
        <f t="shared" si="12"/>
        <v>1680</v>
      </c>
      <c r="K718" s="34">
        <v>1411629</v>
      </c>
      <c r="L718" s="34">
        <v>194140</v>
      </c>
    </row>
    <row r="719" hidden="1">
      <c r="B719" s="64">
        <v>44487</v>
      </c>
      <c r="C719" s="9" t="s">
        <v>3326</v>
      </c>
      <c r="D719" s="6" t="s">
        <v>2645</v>
      </c>
      <c r="E719" s="6" t="s">
        <v>2225</v>
      </c>
      <c r="F719" s="6" t="s">
        <v>2226</v>
      </c>
      <c r="G719" s="6" t="s">
        <v>2227</v>
      </c>
      <c r="H719" s="7">
        <v>1680</v>
      </c>
      <c r="I719" s="8">
        <f>SUMIF(Cargas!$C$6:$C$1166,C719,Cargas!$O$6:$O$1166)</f>
        <v>0</v>
      </c>
      <c r="J719" s="17">
        <f t="shared" si="12"/>
        <v>1680</v>
      </c>
      <c r="K719" s="34">
        <v>1412295</v>
      </c>
      <c r="L719" s="34">
        <v>200815</v>
      </c>
    </row>
    <row r="720" hidden="1">
      <c r="B720" s="64">
        <v>44498</v>
      </c>
      <c r="C720" s="9" t="s">
        <v>3327</v>
      </c>
      <c r="D720" s="6" t="s">
        <v>2655</v>
      </c>
      <c r="E720" s="6" t="s">
        <v>2225</v>
      </c>
      <c r="F720" s="6" t="s">
        <v>2226</v>
      </c>
      <c r="G720" s="6" t="s">
        <v>2227</v>
      </c>
      <c r="H720" s="7">
        <v>1680</v>
      </c>
      <c r="I720" s="8">
        <f>SUMIF(Cargas!$C$6:$C$1166,C720,Cargas!$O$6:$O$1166)</f>
        <v>0</v>
      </c>
      <c r="J720" s="17">
        <f t="shared" si="12"/>
        <v>1680</v>
      </c>
      <c r="K720" s="34">
        <v>1413082</v>
      </c>
      <c r="L720" s="34">
        <v>205360</v>
      </c>
    </row>
    <row r="721" hidden="1">
      <c r="B721" s="64">
        <v>44506</v>
      </c>
      <c r="C721" s="9" t="s">
        <v>3328</v>
      </c>
      <c r="D721" s="6" t="s">
        <v>2676</v>
      </c>
      <c r="E721" s="6" t="s">
        <v>2225</v>
      </c>
      <c r="F721" s="6" t="s">
        <v>2226</v>
      </c>
      <c r="G721" s="6" t="s">
        <v>2227</v>
      </c>
      <c r="H721" s="7">
        <f>1680*2</f>
        <v>3360</v>
      </c>
      <c r="I721" s="8">
        <f>SUMIF(Cargas!$C$6:$C$1166,C721,Cargas!$O$6:$O$1166)</f>
        <v>0</v>
      </c>
      <c r="J721" s="17">
        <f t="shared" si="12"/>
        <v>3360</v>
      </c>
      <c r="K721" s="34">
        <v>1413685</v>
      </c>
      <c r="L721" s="34" t="s">
        <v>3329</v>
      </c>
    </row>
    <row r="722" hidden="1">
      <c r="B722" s="64">
        <v>44520</v>
      </c>
      <c r="C722" s="9" t="s">
        <v>3330</v>
      </c>
      <c r="D722" s="6" t="s">
        <v>2694</v>
      </c>
      <c r="E722" s="6" t="s">
        <v>2225</v>
      </c>
      <c r="F722" s="6" t="s">
        <v>2226</v>
      </c>
      <c r="G722" s="6" t="s">
        <v>2227</v>
      </c>
      <c r="H722" s="7">
        <v>1680</v>
      </c>
      <c r="I722" s="8">
        <f>SUMIF(Cargas!$C$6:$C$1166,C722,Cargas!$O$6:$O$1166)</f>
        <v>0</v>
      </c>
      <c r="J722" s="17">
        <f t="shared" si="12"/>
        <v>1680</v>
      </c>
      <c r="K722" s="34">
        <v>1415072</v>
      </c>
      <c r="L722" s="34">
        <v>219274</v>
      </c>
    </row>
    <row r="723" hidden="1">
      <c r="B723" s="64">
        <v>44674</v>
      </c>
      <c r="C723" s="9" t="s">
        <v>3331</v>
      </c>
      <c r="D723" s="6" t="s">
        <v>2404</v>
      </c>
      <c r="E723" s="6" t="s">
        <v>2220</v>
      </c>
      <c r="F723" s="6" t="s">
        <v>2226</v>
      </c>
      <c r="G723" s="6" t="s">
        <v>2227</v>
      </c>
      <c r="H723" s="7">
        <v>1680</v>
      </c>
      <c r="I723" s="8">
        <f>SUMIF(Cargas!$C$6:$C$1064,C723,Cargas!$O$6:$O$1064)</f>
        <v>0</v>
      </c>
      <c r="J723" s="17">
        <f t="shared" si="12"/>
        <v>1680</v>
      </c>
      <c r="K723" s="34">
        <v>1425697</v>
      </c>
      <c r="L723" s="34">
        <v>78081</v>
      </c>
    </row>
    <row r="724" hidden="1" ht="15" customHeight="1">
      <c r="B724" s="64">
        <v>44525</v>
      </c>
      <c r="C724" s="9" t="s">
        <v>3332</v>
      </c>
      <c r="D724" s="6" t="s">
        <v>3333</v>
      </c>
      <c r="E724" s="6" t="s">
        <v>2225</v>
      </c>
      <c r="F724" s="6" t="s">
        <v>2226</v>
      </c>
      <c r="G724" s="6" t="s">
        <v>2227</v>
      </c>
      <c r="H724" s="7">
        <v>1680</v>
      </c>
      <c r="I724" s="8">
        <f>SUMIF(Cargas!$C$6:$C$1166,C724,Cargas!$O$6:$O$1166)</f>
        <v>0</v>
      </c>
      <c r="J724" s="17">
        <f t="shared" si="12"/>
        <v>1680</v>
      </c>
      <c r="K724" s="34">
        <v>1415631</v>
      </c>
      <c r="L724" s="34">
        <v>222524</v>
      </c>
    </row>
    <row r="725" hidden="1">
      <c r="B725" s="64">
        <v>44691</v>
      </c>
      <c r="C725" s="9" t="s">
        <v>3334</v>
      </c>
      <c r="D725" s="6" t="s">
        <v>2422</v>
      </c>
      <c r="E725" s="6" t="s">
        <v>2220</v>
      </c>
      <c r="F725" s="6" t="s">
        <v>2226</v>
      </c>
      <c r="G725" s="6" t="s">
        <v>2227</v>
      </c>
      <c r="H725" s="7">
        <v>1680</v>
      </c>
      <c r="I725" s="8">
        <f>SUMIF(Cargas!$C$6:$C$1064,C725,Cargas!$O$6:$O$1064)</f>
        <v>0</v>
      </c>
      <c r="J725" s="17">
        <f t="shared" si="12"/>
        <v>1680</v>
      </c>
      <c r="K725" s="34">
        <v>1428006</v>
      </c>
      <c r="L725" s="34">
        <v>91153</v>
      </c>
    </row>
    <row r="726" hidden="1">
      <c r="B726" s="64">
        <v>44691</v>
      </c>
      <c r="C726" s="9" t="s">
        <v>3335</v>
      </c>
      <c r="D726" s="6" t="s">
        <v>2430</v>
      </c>
      <c r="E726" s="6" t="s">
        <v>2220</v>
      </c>
      <c r="F726" s="6" t="s">
        <v>2226</v>
      </c>
      <c r="G726" s="6" t="s">
        <v>2227</v>
      </c>
      <c r="H726" s="7">
        <v>1680</v>
      </c>
      <c r="I726" s="8">
        <f>SUMIF(Cargas!$C$6:$C$1064,C726,Cargas!$O$6:$O$1064)</f>
        <v>0</v>
      </c>
      <c r="J726" s="17">
        <f t="shared" si="12"/>
        <v>1680</v>
      </c>
      <c r="K726" s="34">
        <v>1427167</v>
      </c>
      <c r="L726" s="34">
        <v>91154</v>
      </c>
    </row>
    <row r="727" hidden="1">
      <c r="B727" s="64">
        <v>44716</v>
      </c>
      <c r="C727" s="9" t="s">
        <v>3336</v>
      </c>
      <c r="D727" s="6" t="s">
        <v>2471</v>
      </c>
      <c r="E727" s="6" t="s">
        <v>2220</v>
      </c>
      <c r="F727" s="6" t="s">
        <v>2226</v>
      </c>
      <c r="G727" s="6" t="s">
        <v>2227</v>
      </c>
      <c r="H727" s="7">
        <v>1680</v>
      </c>
      <c r="I727" s="8">
        <f>SUMIF(Cargas!$C$6:$C$1064,C727,Cargas!$O$6:$O$1064)</f>
        <v>0</v>
      </c>
      <c r="J727" s="17">
        <f t="shared" si="12"/>
        <v>1680</v>
      </c>
      <c r="K727" s="34">
        <v>1429754</v>
      </c>
      <c r="L727" s="34">
        <v>108528</v>
      </c>
    </row>
    <row r="728" hidden="1">
      <c r="B728" s="64">
        <v>44730</v>
      </c>
      <c r="C728" s="9" t="s">
        <v>3337</v>
      </c>
      <c r="D728" s="6" t="s">
        <v>2510</v>
      </c>
      <c r="E728" s="6" t="s">
        <v>2220</v>
      </c>
      <c r="F728" s="6" t="s">
        <v>2226</v>
      </c>
      <c r="G728" s="6" t="s">
        <v>2227</v>
      </c>
      <c r="H728" s="7">
        <v>1680</v>
      </c>
      <c r="I728" s="8">
        <f>SUMIF(Cargas!$C$6:$C$1064,C728,Cargas!$O$6:$O$1064)</f>
        <v>0</v>
      </c>
      <c r="J728" s="17">
        <f t="shared" si="12"/>
        <v>1680</v>
      </c>
      <c r="K728" s="34">
        <v>1430742</v>
      </c>
      <c r="L728" s="34">
        <v>118131</v>
      </c>
    </row>
    <row r="729" hidden="1">
      <c r="B729" s="64">
        <v>44744</v>
      </c>
      <c r="C729" s="9" t="s">
        <v>3338</v>
      </c>
      <c r="D729" s="6" t="s">
        <v>2546</v>
      </c>
      <c r="E729" s="6" t="s">
        <v>2220</v>
      </c>
      <c r="F729" s="6" t="s">
        <v>2226</v>
      </c>
      <c r="G729" s="6" t="s">
        <v>2227</v>
      </c>
      <c r="H729" s="7">
        <v>1680</v>
      </c>
      <c r="I729" s="8">
        <f>SUMIF(Cargas!$C$6:$C$1064,C729,Cargas!$O$6:$O$1064)</f>
        <v>0</v>
      </c>
      <c r="J729" s="17">
        <f t="shared" si="12"/>
        <v>1680</v>
      </c>
      <c r="K729" s="34">
        <v>1431810</v>
      </c>
      <c r="L729" s="34">
        <v>131833</v>
      </c>
    </row>
    <row r="730" hidden="1">
      <c r="B730" s="64">
        <v>44755</v>
      </c>
      <c r="C730" s="9" t="s">
        <v>3339</v>
      </c>
      <c r="D730" s="6" t="s">
        <v>2577</v>
      </c>
      <c r="E730" s="6" t="s">
        <v>2220</v>
      </c>
      <c r="F730" s="6" t="s">
        <v>2226</v>
      </c>
      <c r="G730" s="6" t="s">
        <v>2227</v>
      </c>
      <c r="H730" s="7">
        <v>1680</v>
      </c>
      <c r="I730" s="8">
        <f>SUMIF(Cargas!$C$6:$C$1064,C730,Cargas!$O$6:$O$1064)</f>
        <v>0</v>
      </c>
      <c r="J730" s="17">
        <f t="shared" si="12"/>
        <v>1680</v>
      </c>
      <c r="K730" s="34">
        <v>1433304</v>
      </c>
      <c r="L730" s="34">
        <v>136880</v>
      </c>
    </row>
    <row r="731" hidden="1" ht="14.25" customHeight="1">
      <c r="A731" s="79"/>
      <c r="B731" s="72">
        <v>45145</v>
      </c>
      <c r="C731" s="73" t="s">
        <v>3340</v>
      </c>
      <c r="D731" s="74" t="s">
        <v>3341</v>
      </c>
      <c r="E731" s="74" t="s">
        <v>2812</v>
      </c>
      <c r="F731" s="74" t="s">
        <v>2226</v>
      </c>
      <c r="G731" s="74" t="s">
        <v>2818</v>
      </c>
      <c r="H731" s="75">
        <v>1400</v>
      </c>
      <c r="I731" s="76">
        <f>SUMIF(Cargas!$C$6:$C$1064,C731,Cargas!$O$6:$O$1064)</f>
        <v>0</v>
      </c>
      <c r="J731" s="77">
        <f t="shared" si="12"/>
        <v>1400</v>
      </c>
      <c r="K731" s="78">
        <v>1461007</v>
      </c>
      <c r="L731" s="78" t="s">
        <v>3342</v>
      </c>
      <c r="M731" s="32"/>
    </row>
    <row r="732" hidden="1">
      <c r="A732" s="79"/>
      <c r="B732" s="72">
        <v>45145</v>
      </c>
      <c r="C732" s="73" t="s">
        <v>3343</v>
      </c>
      <c r="D732" s="74" t="s">
        <v>3344</v>
      </c>
      <c r="E732" s="74" t="s">
        <v>2812</v>
      </c>
      <c r="F732" s="74" t="s">
        <v>2226</v>
      </c>
      <c r="G732" s="74" t="s">
        <v>2818</v>
      </c>
      <c r="H732" s="75">
        <v>1400</v>
      </c>
      <c r="I732" s="76">
        <f>SUMIF(Cargas!$C$6:$C$1064,C732,Cargas!$O$6:$O$1064)</f>
        <v>0</v>
      </c>
      <c r="J732" s="77">
        <f t="shared" si="12"/>
        <v>1400</v>
      </c>
      <c r="K732" s="78">
        <v>1467109</v>
      </c>
      <c r="L732" s="78" t="s">
        <v>3342</v>
      </c>
      <c r="M732" s="32"/>
    </row>
    <row r="733" hidden="1">
      <c r="B733" s="64">
        <v>44776</v>
      </c>
      <c r="C733" s="9" t="s">
        <v>3345</v>
      </c>
      <c r="D733" s="6" t="s">
        <v>2602</v>
      </c>
      <c r="E733" s="6" t="s">
        <v>2220</v>
      </c>
      <c r="F733" s="6" t="s">
        <v>2226</v>
      </c>
      <c r="G733" s="6" t="s">
        <v>2227</v>
      </c>
      <c r="H733" s="7">
        <v>1680</v>
      </c>
      <c r="I733" s="8">
        <f>SUMIF(Cargas!$C$6:$C$1064,C733,Cargas!$O$6:$O$1064)</f>
        <v>0</v>
      </c>
      <c r="J733" s="17">
        <f t="shared" si="12"/>
        <v>1680</v>
      </c>
      <c r="K733" s="34">
        <v>1434407</v>
      </c>
      <c r="L733" s="34">
        <v>152648</v>
      </c>
    </row>
    <row r="734" hidden="1">
      <c r="B734" s="64">
        <v>44789</v>
      </c>
      <c r="C734" s="9" t="s">
        <v>3346</v>
      </c>
      <c r="D734" s="6" t="s">
        <v>2618</v>
      </c>
      <c r="E734" s="6" t="s">
        <v>2220</v>
      </c>
      <c r="F734" s="6" t="s">
        <v>2226</v>
      </c>
      <c r="G734" s="6" t="s">
        <v>2227</v>
      </c>
      <c r="H734" s="7">
        <v>1680</v>
      </c>
      <c r="I734" s="8">
        <f>SUMIF(Cargas!$C$6:$C$1064,C734,Cargas!$O$6:$O$1064)</f>
        <v>0</v>
      </c>
      <c r="J734" s="17">
        <f t="shared" si="12"/>
        <v>1680</v>
      </c>
      <c r="K734" s="34">
        <v>1436148</v>
      </c>
      <c r="L734" s="34">
        <v>159535</v>
      </c>
    </row>
    <row r="735" hidden="1">
      <c r="B735" s="64">
        <v>44803</v>
      </c>
      <c r="C735" s="9" t="s">
        <v>3347</v>
      </c>
      <c r="D735" s="6" t="s">
        <v>2645</v>
      </c>
      <c r="E735" s="6" t="s">
        <v>2220</v>
      </c>
      <c r="F735" s="6" t="s">
        <v>2226</v>
      </c>
      <c r="G735" s="6" t="s">
        <v>2227</v>
      </c>
      <c r="H735" s="7">
        <v>1680</v>
      </c>
      <c r="I735" s="8">
        <f>SUMIF(Cargas!$C$6:$C$1064,C735,Cargas!$O$6:$O$1064)</f>
        <v>0</v>
      </c>
      <c r="J735" s="17">
        <f t="shared" si="12"/>
        <v>1680</v>
      </c>
      <c r="K735" s="34">
        <v>1437901</v>
      </c>
      <c r="L735" s="34">
        <v>169528</v>
      </c>
    </row>
    <row r="736" hidden="1">
      <c r="B736" s="64">
        <v>44201</v>
      </c>
      <c r="C736" s="9" t="s">
        <v>3348</v>
      </c>
      <c r="D736" s="6" t="s">
        <v>993</v>
      </c>
      <c r="E736" s="6" t="s">
        <v>2697</v>
      </c>
      <c r="F736" s="6" t="s">
        <v>2226</v>
      </c>
      <c r="G736" s="6" t="s">
        <v>2227</v>
      </c>
      <c r="H736" s="7">
        <v>2160</v>
      </c>
      <c r="I736" s="8">
        <f>SUMIF(Cargas!$C$6:$C$1064,C736,Cargas!$O$6:$O$1064)</f>
        <v>0</v>
      </c>
      <c r="J736" s="17">
        <f t="shared" si="12"/>
        <v>2160</v>
      </c>
      <c r="K736" s="46">
        <v>1391009</v>
      </c>
      <c r="L736" s="34">
        <v>13687</v>
      </c>
    </row>
    <row r="737" hidden="1">
      <c r="B737" s="64">
        <v>44201</v>
      </c>
      <c r="C737" s="9" t="s">
        <v>3349</v>
      </c>
      <c r="D737" s="6" t="s">
        <v>2232</v>
      </c>
      <c r="E737" s="6" t="s">
        <v>2697</v>
      </c>
      <c r="F737" s="6" t="s">
        <v>2226</v>
      </c>
      <c r="G737" s="6" t="s">
        <v>2227</v>
      </c>
      <c r="H737" s="7">
        <v>2100</v>
      </c>
      <c r="I737" s="8">
        <f>SUMIF(Cargas!$C$6:$C$1064,C737,Cargas!$O$6:$O$1064)</f>
        <v>0</v>
      </c>
      <c r="J737" s="17">
        <f t="shared" si="12"/>
        <v>2100</v>
      </c>
      <c r="K737" s="34">
        <v>1391010</v>
      </c>
      <c r="L737" s="34">
        <v>14514</v>
      </c>
    </row>
    <row r="738" hidden="1">
      <c r="B738" s="64">
        <v>45483</v>
      </c>
      <c r="C738" s="9" t="s">
        <v>339</v>
      </c>
      <c r="D738" s="6" t="s">
        <v>2793</v>
      </c>
      <c r="E738" s="6" t="s">
        <v>2794</v>
      </c>
      <c r="F738" s="6" t="s">
        <v>2226</v>
      </c>
      <c r="G738" s="6" t="s">
        <v>2282</v>
      </c>
      <c r="H738" s="7">
        <v>1200</v>
      </c>
      <c r="I738" s="8">
        <f>SUMIF(Cargas!$C$6:$C$1064,C738,Cargas!$O$6:$O$1064)</f>
        <v>1200</v>
      </c>
      <c r="J738" s="17">
        <f t="shared" si="12"/>
        <v>0</v>
      </c>
      <c r="K738" s="34"/>
      <c r="L738" s="34">
        <v>134585</v>
      </c>
    </row>
    <row r="739" hidden="1">
      <c r="B739" s="64">
        <v>44818</v>
      </c>
      <c r="C739" s="9" t="s">
        <v>3350</v>
      </c>
      <c r="D739" s="6" t="s">
        <v>2655</v>
      </c>
      <c r="E739" s="6" t="s">
        <v>2225</v>
      </c>
      <c r="F739" s="6" t="s">
        <v>2226</v>
      </c>
      <c r="G739" s="6" t="s">
        <v>2227</v>
      </c>
      <c r="H739" s="7">
        <v>1680</v>
      </c>
      <c r="I739" s="8">
        <f>SUMIF(Cargas!$C$6:$C$1064,C739,Cargas!$O$6:$O$1064)</f>
        <v>0</v>
      </c>
      <c r="J739" s="17">
        <f t="shared" si="12"/>
        <v>1680</v>
      </c>
      <c r="K739" s="34">
        <v>1439163</v>
      </c>
      <c r="L739" s="34">
        <v>181128</v>
      </c>
    </row>
    <row r="740" hidden="1">
      <c r="B740" s="64">
        <v>44236</v>
      </c>
      <c r="C740" s="9" t="s">
        <v>3351</v>
      </c>
      <c r="D740" s="6" t="s">
        <v>2242</v>
      </c>
      <c r="E740" s="6" t="s">
        <v>2697</v>
      </c>
      <c r="F740" s="6" t="s">
        <v>2226</v>
      </c>
      <c r="G740" s="6" t="s">
        <v>2227</v>
      </c>
      <c r="H740" s="7">
        <v>3240</v>
      </c>
      <c r="I740" s="8">
        <f>SUMIF(Cargas!$C$6:$C$1064,C740,Cargas!$O$6:$O$1064)</f>
        <v>0</v>
      </c>
      <c r="J740" s="17">
        <f t="shared" si="12"/>
        <v>3240</v>
      </c>
      <c r="K740" s="46">
        <v>1392550</v>
      </c>
      <c r="L740" s="34">
        <v>31374</v>
      </c>
    </row>
    <row r="741" hidden="1">
      <c r="B741" s="64">
        <v>44236</v>
      </c>
      <c r="C741" s="9" t="s">
        <v>3352</v>
      </c>
      <c r="D741" s="6" t="s">
        <v>2240</v>
      </c>
      <c r="E741" s="6" t="s">
        <v>2697</v>
      </c>
      <c r="F741" s="6" t="s">
        <v>2226</v>
      </c>
      <c r="G741" s="6" t="s">
        <v>2227</v>
      </c>
      <c r="H741" s="7">
        <v>2100</v>
      </c>
      <c r="I741" s="8">
        <f>SUMIF(Cargas!$C$6:$C$1064,C741,Cargas!$O$6:$O$1064)</f>
        <v>0</v>
      </c>
      <c r="J741" s="17">
        <f t="shared" si="12"/>
        <v>2100</v>
      </c>
      <c r="K741" s="34">
        <v>1392551</v>
      </c>
      <c r="L741" s="34">
        <v>31324</v>
      </c>
    </row>
    <row r="742" hidden="1">
      <c r="B742" s="64">
        <v>45491</v>
      </c>
      <c r="C742" s="9" t="s">
        <v>358</v>
      </c>
      <c r="D742" s="6" t="s">
        <v>2808</v>
      </c>
      <c r="E742" s="6" t="s">
        <v>2794</v>
      </c>
      <c r="F742" s="6" t="s">
        <v>2226</v>
      </c>
      <c r="G742" s="6" t="s">
        <v>401</v>
      </c>
      <c r="H742" s="7">
        <v>1250</v>
      </c>
      <c r="I742" s="8">
        <f>SUMIF(Cargas!$C$6:$C$1064,C742,Cargas!$O$6:$O$1064)</f>
        <v>1250</v>
      </c>
      <c r="J742" s="17">
        <f t="shared" si="12"/>
        <v>0</v>
      </c>
      <c r="K742" s="34"/>
      <c r="L742" s="34">
        <v>139400</v>
      </c>
    </row>
    <row r="743" hidden="1">
      <c r="B743" s="64">
        <v>44243</v>
      </c>
      <c r="C743" s="9" t="s">
        <v>3353</v>
      </c>
      <c r="D743" s="6" t="s">
        <v>2250</v>
      </c>
      <c r="E743" s="6" t="s">
        <v>2697</v>
      </c>
      <c r="F743" s="6" t="s">
        <v>2226</v>
      </c>
      <c r="G743" s="6" t="s">
        <v>2227</v>
      </c>
      <c r="H743" s="7">
        <v>2160</v>
      </c>
      <c r="I743" s="8">
        <f>SUMIF(Cargas!$C$6:$C$1064,C743,Cargas!$O$6:$O$1064)</f>
        <v>0</v>
      </c>
      <c r="J743" s="17">
        <f t="shared" si="12"/>
        <v>2160</v>
      </c>
      <c r="K743" s="46">
        <v>1392552</v>
      </c>
      <c r="L743" s="46">
        <v>35996</v>
      </c>
    </row>
    <row r="744" hidden="1">
      <c r="B744" s="64">
        <v>44243</v>
      </c>
      <c r="C744" s="9" t="s">
        <v>3354</v>
      </c>
      <c r="D744" s="6" t="s">
        <v>2248</v>
      </c>
      <c r="E744" s="6" t="s">
        <v>2697</v>
      </c>
      <c r="F744" s="6" t="s">
        <v>2226</v>
      </c>
      <c r="G744" s="6" t="s">
        <v>2227</v>
      </c>
      <c r="H744" s="7">
        <v>2100</v>
      </c>
      <c r="I744" s="8">
        <f>SUMIF(Cargas!$C$6:$C$1064,C744,Cargas!$O$6:$O$1064)</f>
        <v>0</v>
      </c>
      <c r="J744" s="17">
        <f t="shared" si="12"/>
        <v>2100</v>
      </c>
      <c r="K744" s="34">
        <v>1392553</v>
      </c>
      <c r="L744" s="34">
        <v>36047</v>
      </c>
    </row>
    <row r="745" hidden="1">
      <c r="B745" s="64">
        <v>44257</v>
      </c>
      <c r="C745" s="9" t="s">
        <v>3355</v>
      </c>
      <c r="D745" s="6" t="s">
        <v>2264</v>
      </c>
      <c r="E745" s="6" t="s">
        <v>2697</v>
      </c>
      <c r="F745" s="6" t="s">
        <v>2226</v>
      </c>
      <c r="G745" s="6" t="s">
        <v>2227</v>
      </c>
      <c r="H745" s="7">
        <v>3240</v>
      </c>
      <c r="I745" s="8">
        <f>SUMIF(Cargas!$C$6:$C$1064,C745,Cargas!$O$6:$O$1064)</f>
        <v>0</v>
      </c>
      <c r="J745" s="17">
        <f t="shared" si="12"/>
        <v>3240</v>
      </c>
      <c r="K745" s="46">
        <v>1394650</v>
      </c>
      <c r="L745" s="46">
        <v>46883</v>
      </c>
    </row>
    <row r="746" hidden="1">
      <c r="B746" s="64">
        <v>44257</v>
      </c>
      <c r="C746" s="9" t="s">
        <v>3356</v>
      </c>
      <c r="D746" s="6" t="s">
        <v>2260</v>
      </c>
      <c r="E746" s="6" t="s">
        <v>2697</v>
      </c>
      <c r="F746" s="6" t="s">
        <v>2226</v>
      </c>
      <c r="G746" s="6" t="s">
        <v>2227</v>
      </c>
      <c r="H746" s="7">
        <v>2100</v>
      </c>
      <c r="I746" s="8">
        <f>SUMIF(Cargas!$C$6:$C$1064,C746,Cargas!$O$6:$O$1064)</f>
        <v>0</v>
      </c>
      <c r="J746" s="17">
        <f t="shared" si="12"/>
        <v>2100</v>
      </c>
      <c r="K746" s="34">
        <v>1394651</v>
      </c>
      <c r="L746" s="34">
        <v>46915</v>
      </c>
    </row>
    <row r="747" hidden="1">
      <c r="B747" s="64">
        <v>44831</v>
      </c>
      <c r="C747" s="9" t="s">
        <v>3357</v>
      </c>
      <c r="D747" s="6" t="s">
        <v>2676</v>
      </c>
      <c r="E747" s="6" t="s">
        <v>2225</v>
      </c>
      <c r="F747" s="6" t="s">
        <v>2226</v>
      </c>
      <c r="G747" s="6" t="s">
        <v>2227</v>
      </c>
      <c r="H747" s="7">
        <v>1680</v>
      </c>
      <c r="I747" s="8">
        <f>SUMIF(Cargas!$C$6:$C$1064,C747,Cargas!$O$6:$O$1064)</f>
        <v>0</v>
      </c>
      <c r="J747" s="17">
        <f t="shared" si="12"/>
        <v>1680</v>
      </c>
      <c r="K747" s="34">
        <v>1440540</v>
      </c>
      <c r="L747" s="34">
        <v>190726</v>
      </c>
    </row>
    <row r="748" hidden="1">
      <c r="B748" s="64">
        <v>45491</v>
      </c>
      <c r="C748" s="9" t="s">
        <v>355</v>
      </c>
      <c r="D748" s="6" t="s">
        <v>2815</v>
      </c>
      <c r="E748" s="6" t="s">
        <v>2794</v>
      </c>
      <c r="F748" s="6" t="s">
        <v>2226</v>
      </c>
      <c r="G748" s="6" t="s">
        <v>394</v>
      </c>
      <c r="H748" s="7">
        <v>1250</v>
      </c>
      <c r="I748" s="8">
        <f>SUMIF(Cargas!$C$6:$C$1064,C748,Cargas!$O$6:$O$1064)</f>
        <v>1250</v>
      </c>
      <c r="J748" s="17">
        <f t="shared" si="12"/>
        <v>0</v>
      </c>
      <c r="K748" s="34"/>
      <c r="L748" s="34">
        <v>139406</v>
      </c>
    </row>
    <row r="749" hidden="1">
      <c r="B749" s="64">
        <v>44839</v>
      </c>
      <c r="C749" s="9" t="s">
        <v>3358</v>
      </c>
      <c r="D749" s="6" t="s">
        <v>2694</v>
      </c>
      <c r="E749" s="6" t="s">
        <v>2225</v>
      </c>
      <c r="F749" s="6" t="s">
        <v>2226</v>
      </c>
      <c r="G749" s="6" t="s">
        <v>2227</v>
      </c>
      <c r="H749" s="7">
        <v>1680</v>
      </c>
      <c r="I749" s="8">
        <f>SUMIF(Cargas!$C$6:$C$1064,C749,Cargas!$O$6:$O$1064)</f>
        <v>0</v>
      </c>
      <c r="J749" s="17">
        <f t="shared" si="12"/>
        <v>1680</v>
      </c>
      <c r="K749" s="34">
        <v>1441332</v>
      </c>
      <c r="L749" s="34">
        <v>196861</v>
      </c>
    </row>
    <row r="750" hidden="1">
      <c r="B750" s="64">
        <v>45492</v>
      </c>
      <c r="C750" s="9" t="s">
        <v>374</v>
      </c>
      <c r="D750" s="6" t="s">
        <v>2828</v>
      </c>
      <c r="E750" s="6" t="s">
        <v>2794</v>
      </c>
      <c r="F750" s="6" t="s">
        <v>2226</v>
      </c>
      <c r="G750" s="6" t="s">
        <v>412</v>
      </c>
      <c r="H750" s="7">
        <v>1250</v>
      </c>
      <c r="I750" s="8">
        <f>SUMIF(Cargas!$C$6:$C$1064,C750,Cargas!$O$6:$O$1064)</f>
        <v>1250</v>
      </c>
      <c r="J750" s="17">
        <f t="shared" si="12"/>
        <v>0</v>
      </c>
      <c r="K750" s="34"/>
      <c r="L750" s="34">
        <v>140436</v>
      </c>
    </row>
    <row r="751" hidden="1">
      <c r="B751" s="64">
        <v>44852</v>
      </c>
      <c r="C751" s="9" t="s">
        <v>3359</v>
      </c>
      <c r="D751" s="6" t="s">
        <v>3333</v>
      </c>
      <c r="E751" s="6" t="s">
        <v>2225</v>
      </c>
      <c r="F751" s="6" t="s">
        <v>2226</v>
      </c>
      <c r="G751" s="6" t="s">
        <v>2227</v>
      </c>
      <c r="H751" s="7">
        <v>1680</v>
      </c>
      <c r="I751" s="8">
        <f>SUMIF(Cargas!$C$6:$C$1064,C751,Cargas!$O$6:$O$1064)</f>
        <v>0</v>
      </c>
      <c r="J751" s="17">
        <f t="shared" si="12"/>
        <v>1680</v>
      </c>
      <c r="K751" s="34">
        <v>1442443</v>
      </c>
      <c r="L751" s="34">
        <v>205976</v>
      </c>
    </row>
    <row r="752" hidden="1">
      <c r="B752" s="64">
        <v>44867</v>
      </c>
      <c r="C752" s="9" t="s">
        <v>3360</v>
      </c>
      <c r="D752" s="6" t="s">
        <v>3361</v>
      </c>
      <c r="E752" s="6" t="s">
        <v>2225</v>
      </c>
      <c r="F752" s="6" t="s">
        <v>2226</v>
      </c>
      <c r="G752" s="6" t="s">
        <v>2227</v>
      </c>
      <c r="H752" s="7">
        <v>1680</v>
      </c>
      <c r="I752" s="8">
        <f>SUMIF(Cargas!$C$6:$C$1064,C752,Cargas!$O$6:$O$1064)</f>
        <v>0</v>
      </c>
      <c r="J752" s="17">
        <f t="shared" si="12"/>
        <v>1680</v>
      </c>
      <c r="K752" s="34">
        <v>1444032</v>
      </c>
      <c r="L752" s="34">
        <v>215351</v>
      </c>
    </row>
    <row r="753" hidden="1">
      <c r="B753" s="64">
        <v>44880</v>
      </c>
      <c r="C753" s="9" t="s">
        <v>3362</v>
      </c>
      <c r="D753" s="6" t="s">
        <v>2985</v>
      </c>
      <c r="E753" s="6" t="s">
        <v>2225</v>
      </c>
      <c r="F753" s="6" t="s">
        <v>2226</v>
      </c>
      <c r="G753" s="6" t="s">
        <v>2227</v>
      </c>
      <c r="H753" s="7">
        <v>1680</v>
      </c>
      <c r="I753" s="8">
        <f>SUMIF(Cargas!$C$6:$C$1064,C753,Cargas!$O$6:$O$1064)</f>
        <v>0</v>
      </c>
      <c r="J753" s="17">
        <f t="shared" si="12"/>
        <v>1680</v>
      </c>
      <c r="K753" s="34">
        <v>1445359</v>
      </c>
      <c r="L753" s="34">
        <v>233235</v>
      </c>
    </row>
    <row r="754" hidden="1">
      <c r="B754" s="64">
        <v>44897</v>
      </c>
      <c r="C754" s="9" t="s">
        <v>3363</v>
      </c>
      <c r="D754" s="6" t="s">
        <v>3030</v>
      </c>
      <c r="E754" s="6" t="s">
        <v>2225</v>
      </c>
      <c r="F754" s="6" t="s">
        <v>2226</v>
      </c>
      <c r="G754" s="6" t="s">
        <v>2227</v>
      </c>
      <c r="H754" s="7">
        <v>1680</v>
      </c>
      <c r="I754" s="8">
        <f>SUMIF(Cargas!$C$6:$C$1064,C754,Cargas!$O$6:$O$1064)</f>
        <v>0</v>
      </c>
      <c r="J754" s="17">
        <f t="shared" si="12"/>
        <v>1680</v>
      </c>
      <c r="K754" s="34">
        <v>1446878</v>
      </c>
      <c r="L754" s="34">
        <v>241017</v>
      </c>
    </row>
    <row r="755" hidden="1">
      <c r="B755" s="64">
        <v>44915</v>
      </c>
      <c r="C755" s="9" t="s">
        <v>3364</v>
      </c>
      <c r="D755" s="6" t="s">
        <v>3365</v>
      </c>
      <c r="E755" s="6" t="s">
        <v>2225</v>
      </c>
      <c r="F755" s="6" t="s">
        <v>2226</v>
      </c>
      <c r="G755" s="6" t="s">
        <v>2227</v>
      </c>
      <c r="H755" s="7">
        <v>1680</v>
      </c>
      <c r="I755" s="8">
        <f>SUMIF(Cargas!$C$6:$C$1064,C755,Cargas!$O$6:$O$1064)</f>
        <v>0</v>
      </c>
      <c r="J755" s="17">
        <f t="shared" si="12"/>
        <v>1680</v>
      </c>
      <c r="K755" s="34">
        <v>1448302</v>
      </c>
      <c r="L755" s="34">
        <v>2225</v>
      </c>
    </row>
    <row r="756" hidden="1">
      <c r="B756" s="64">
        <v>44796</v>
      </c>
      <c r="C756" s="9" t="s">
        <v>3366</v>
      </c>
      <c r="D756" s="6" t="s">
        <v>993</v>
      </c>
      <c r="E756" s="6" t="s">
        <v>2220</v>
      </c>
      <c r="F756" s="6" t="s">
        <v>2226</v>
      </c>
      <c r="G756" s="6" t="s">
        <v>2227</v>
      </c>
      <c r="H756" s="7">
        <v>2160</v>
      </c>
      <c r="I756" s="8">
        <f>SUMIF(Cargas!$C$6:$C$1064,C756,Cargas!$O$6:$O$1064)</f>
        <v>0</v>
      </c>
      <c r="J756" s="17">
        <f t="shared" si="12"/>
        <v>2160</v>
      </c>
      <c r="K756" s="34">
        <v>1436228</v>
      </c>
      <c r="L756" s="34">
        <v>167387</v>
      </c>
    </row>
    <row r="757" hidden="1">
      <c r="B757" s="64">
        <v>44810</v>
      </c>
      <c r="C757" s="9" t="s">
        <v>3367</v>
      </c>
      <c r="D757" s="6" t="s">
        <v>2242</v>
      </c>
      <c r="E757" s="6" t="s">
        <v>2697</v>
      </c>
      <c r="F757" s="6" t="s">
        <v>2226</v>
      </c>
      <c r="G757" s="6" t="s">
        <v>2227</v>
      </c>
      <c r="H757" s="7">
        <v>2160</v>
      </c>
      <c r="I757" s="8">
        <f>SUMIF(Cargas!$C$6:$C$1064,C757,Cargas!$O$6:$O$1064)</f>
        <v>0</v>
      </c>
      <c r="J757" s="17">
        <f t="shared" si="12"/>
        <v>2160</v>
      </c>
      <c r="K757" s="34">
        <v>1437274</v>
      </c>
      <c r="L757" s="34">
        <v>177488</v>
      </c>
    </row>
    <row r="758" hidden="1">
      <c r="B758" s="64">
        <v>44818</v>
      </c>
      <c r="C758" s="9" t="s">
        <v>3368</v>
      </c>
      <c r="D758" s="6" t="s">
        <v>2250</v>
      </c>
      <c r="E758" s="6" t="s">
        <v>2697</v>
      </c>
      <c r="F758" s="6" t="s">
        <v>2226</v>
      </c>
      <c r="G758" s="6" t="s">
        <v>2227</v>
      </c>
      <c r="H758" s="7">
        <v>2160</v>
      </c>
      <c r="I758" s="8">
        <f>SUMIF(Cargas!$C$6:$C$1064,C758,Cargas!$O$6:$O$1064)</f>
        <v>0</v>
      </c>
      <c r="J758" s="17">
        <f t="shared" si="12"/>
        <v>2160</v>
      </c>
      <c r="K758" s="34">
        <v>1439475</v>
      </c>
      <c r="L758" s="34">
        <v>181830</v>
      </c>
    </row>
    <row r="759" hidden="1">
      <c r="B759" s="64">
        <v>44824</v>
      </c>
      <c r="C759" s="9" t="s">
        <v>3369</v>
      </c>
      <c r="D759" s="6" t="s">
        <v>2264</v>
      </c>
      <c r="E759" s="6" t="s">
        <v>2697</v>
      </c>
      <c r="F759" s="6" t="s">
        <v>2226</v>
      </c>
      <c r="G759" s="6" t="s">
        <v>2227</v>
      </c>
      <c r="H759" s="7">
        <v>2160</v>
      </c>
      <c r="I759" s="8">
        <f>SUMIF(Cargas!$C$6:$C$1064,C759,Cargas!$O$6:$O$1064)</f>
        <v>0</v>
      </c>
      <c r="J759" s="17">
        <f t="shared" si="12"/>
        <v>2160</v>
      </c>
      <c r="K759" s="34">
        <v>1440360</v>
      </c>
      <c r="L759" s="34">
        <v>187034</v>
      </c>
    </row>
    <row r="760" hidden="1">
      <c r="B760" s="64">
        <v>44831</v>
      </c>
      <c r="C760" s="9" t="s">
        <v>3370</v>
      </c>
      <c r="D760" s="6" t="s">
        <v>2270</v>
      </c>
      <c r="E760" s="6" t="s">
        <v>2697</v>
      </c>
      <c r="F760" s="6" t="s">
        <v>2226</v>
      </c>
      <c r="G760" s="6" t="s">
        <v>2227</v>
      </c>
      <c r="H760" s="7">
        <v>2160</v>
      </c>
      <c r="I760" s="8">
        <f>SUMIF(Cargas!$C$6:$C$1064,C760,Cargas!$O$6:$O$1064)</f>
        <v>0</v>
      </c>
      <c r="J760" s="17">
        <f t="shared" si="12"/>
        <v>2160</v>
      </c>
      <c r="K760" s="34">
        <v>1440963</v>
      </c>
      <c r="L760" s="34">
        <v>191738</v>
      </c>
    </row>
    <row r="761" hidden="1">
      <c r="B761" s="64">
        <v>44839</v>
      </c>
      <c r="C761" s="9" t="s">
        <v>3371</v>
      </c>
      <c r="D761" s="6" t="s">
        <v>2279</v>
      </c>
      <c r="E761" s="6" t="s">
        <v>2697</v>
      </c>
      <c r="F761" s="6" t="s">
        <v>2226</v>
      </c>
      <c r="G761" s="6" t="s">
        <v>2227</v>
      </c>
      <c r="H761" s="7">
        <v>2160</v>
      </c>
      <c r="I761" s="8">
        <f>SUMIF(Cargas!$C$6:$C$1064,C761,Cargas!$O$6:$O$1064)</f>
        <v>0</v>
      </c>
      <c r="J761" s="17">
        <f t="shared" si="12"/>
        <v>2160</v>
      </c>
      <c r="K761" s="34">
        <v>1441539</v>
      </c>
      <c r="L761" s="34">
        <v>196235</v>
      </c>
    </row>
    <row r="762" hidden="1">
      <c r="B762" s="64">
        <v>44852</v>
      </c>
      <c r="C762" s="9" t="s">
        <v>3372</v>
      </c>
      <c r="D762" s="6" t="s">
        <v>2289</v>
      </c>
      <c r="E762" s="6" t="s">
        <v>2697</v>
      </c>
      <c r="F762" s="6" t="s">
        <v>2226</v>
      </c>
      <c r="G762" s="6" t="s">
        <v>2227</v>
      </c>
      <c r="H762" s="7">
        <v>2160</v>
      </c>
      <c r="I762" s="8">
        <f>SUMIF(Cargas!$C$6:$C$1064,C762,Cargas!$O$6:$O$1064)</f>
        <v>0</v>
      </c>
      <c r="J762" s="17">
        <f t="shared" si="12"/>
        <v>2160</v>
      </c>
      <c r="K762" s="34">
        <v>1442748</v>
      </c>
      <c r="L762" s="34">
        <v>207192</v>
      </c>
    </row>
    <row r="763" hidden="1">
      <c r="B763" s="64">
        <v>44271</v>
      </c>
      <c r="C763" s="9" t="s">
        <v>3373</v>
      </c>
      <c r="D763" s="6" t="s">
        <v>2270</v>
      </c>
      <c r="E763" s="6" t="s">
        <v>2697</v>
      </c>
      <c r="F763" s="6" t="s">
        <v>2226</v>
      </c>
      <c r="G763" s="6" t="s">
        <v>2227</v>
      </c>
      <c r="H763" s="7">
        <v>4320</v>
      </c>
      <c r="I763" s="8">
        <f>SUMIF(Cargas!$C$6:$C$1064,C763,Cargas!$O$6:$O$1064)</f>
        <v>0</v>
      </c>
      <c r="J763" s="17">
        <f t="shared" si="12"/>
        <v>4320</v>
      </c>
      <c r="K763" s="46">
        <v>1395482</v>
      </c>
      <c r="L763" s="46">
        <v>53539</v>
      </c>
    </row>
    <row r="764" hidden="1">
      <c r="B764" s="64">
        <v>44271</v>
      </c>
      <c r="C764" s="9" t="s">
        <v>3374</v>
      </c>
      <c r="D764" s="6" t="s">
        <v>2262</v>
      </c>
      <c r="E764" s="6" t="s">
        <v>2697</v>
      </c>
      <c r="F764" s="6" t="s">
        <v>2226</v>
      </c>
      <c r="G764" s="6" t="s">
        <v>2227</v>
      </c>
      <c r="H764" s="7">
        <v>4200</v>
      </c>
      <c r="I764" s="8">
        <f>SUMIF(Cargas!$C$6:$C$1064,C764,Cargas!$O$6:$O$1064)</f>
        <v>0</v>
      </c>
      <c r="J764" s="17">
        <f t="shared" si="12"/>
        <v>4200</v>
      </c>
      <c r="K764" s="34">
        <v>1395483</v>
      </c>
      <c r="L764" s="34">
        <v>53590</v>
      </c>
    </row>
    <row r="765" hidden="1">
      <c r="B765" s="64">
        <v>44278</v>
      </c>
      <c r="C765" s="9" t="s">
        <v>3375</v>
      </c>
      <c r="D765" s="6" t="s">
        <v>2279</v>
      </c>
      <c r="E765" s="6" t="s">
        <v>2697</v>
      </c>
      <c r="F765" s="6" t="s">
        <v>2226</v>
      </c>
      <c r="G765" s="6" t="s">
        <v>2227</v>
      </c>
      <c r="H765" s="7">
        <v>2160</v>
      </c>
      <c r="I765" s="8">
        <f>SUMIF(Cargas!$C$6:$C$1064,C765,Cargas!$O$6:$O$1064)</f>
        <v>0</v>
      </c>
      <c r="J765" s="17">
        <f t="shared" si="12"/>
        <v>2160</v>
      </c>
      <c r="K765" s="46">
        <v>1395951</v>
      </c>
      <c r="L765" s="46">
        <v>58247</v>
      </c>
    </row>
    <row r="766" hidden="1">
      <c r="B766" s="64">
        <v>44278</v>
      </c>
      <c r="C766" s="9" t="s">
        <v>3376</v>
      </c>
      <c r="D766" s="6" t="s">
        <v>2276</v>
      </c>
      <c r="E766" s="6" t="s">
        <v>2697</v>
      </c>
      <c r="F766" s="6" t="s">
        <v>2226</v>
      </c>
      <c r="G766" s="6" t="s">
        <v>2227</v>
      </c>
      <c r="H766" s="7">
        <v>2100</v>
      </c>
      <c r="I766" s="8">
        <f>SUMIF(Cargas!$C$6:$C$1064,C766,Cargas!$O$6:$O$1064)</f>
        <v>0</v>
      </c>
      <c r="J766" s="17">
        <f t="shared" si="12"/>
        <v>2100</v>
      </c>
      <c r="K766" s="34">
        <v>1395952</v>
      </c>
      <c r="L766" s="34">
        <v>58295</v>
      </c>
    </row>
    <row r="767" hidden="1">
      <c r="B767" s="64">
        <v>44874</v>
      </c>
      <c r="C767" s="9" t="s">
        <v>3377</v>
      </c>
      <c r="D767" s="6" t="s">
        <v>2299</v>
      </c>
      <c r="E767" s="6" t="s">
        <v>2697</v>
      </c>
      <c r="F767" s="6" t="s">
        <v>2226</v>
      </c>
      <c r="G767" s="6" t="s">
        <v>2227</v>
      </c>
      <c r="H767" s="7">
        <v>2160</v>
      </c>
      <c r="I767" s="8">
        <f>SUMIF(Cargas!$C$6:$C$1064,C767,Cargas!$O$6:$O$1064)</f>
        <v>0</v>
      </c>
      <c r="J767" s="17">
        <f t="shared" si="12"/>
        <v>2160</v>
      </c>
      <c r="K767" s="34">
        <v>1444317</v>
      </c>
      <c r="L767" s="34">
        <v>228045</v>
      </c>
    </row>
    <row r="768" hidden="1">
      <c r="B768" s="64">
        <v>44285</v>
      </c>
      <c r="C768" s="9" t="s">
        <v>3378</v>
      </c>
      <c r="D768" s="6" t="s">
        <v>2289</v>
      </c>
      <c r="E768" s="6" t="s">
        <v>2697</v>
      </c>
      <c r="F768" s="6" t="s">
        <v>2226</v>
      </c>
      <c r="G768" s="6" t="s">
        <v>2227</v>
      </c>
      <c r="H768" s="7">
        <v>2160</v>
      </c>
      <c r="I768" s="8">
        <f>SUMIF(Cargas!$C$6:$C$1064,C768,Cargas!$O$6:$O$1064)</f>
        <v>0</v>
      </c>
      <c r="J768" s="17">
        <f t="shared" si="12"/>
        <v>2160</v>
      </c>
      <c r="K768" s="46">
        <v>1396395</v>
      </c>
      <c r="L768" s="46">
        <v>62947</v>
      </c>
    </row>
    <row r="769" hidden="1">
      <c r="B769" s="64">
        <v>44285</v>
      </c>
      <c r="C769" s="9" t="s">
        <v>3379</v>
      </c>
      <c r="D769" s="6" t="s">
        <v>2287</v>
      </c>
      <c r="E769" s="6" t="s">
        <v>2697</v>
      </c>
      <c r="F769" s="6" t="s">
        <v>2226</v>
      </c>
      <c r="G769" s="6" t="s">
        <v>2227</v>
      </c>
      <c r="H769" s="7">
        <v>2100</v>
      </c>
      <c r="I769" s="8">
        <f>SUMIF(Cargas!$C$6:$C$1064,C769,Cargas!$O$6:$O$1064)</f>
        <v>0</v>
      </c>
      <c r="J769" s="17">
        <f t="shared" si="12"/>
        <v>2100</v>
      </c>
      <c r="K769" s="34">
        <v>1396396</v>
      </c>
      <c r="L769" s="34">
        <v>63009</v>
      </c>
    </row>
    <row r="770" hidden="1">
      <c r="B770" s="64">
        <v>44292</v>
      </c>
      <c r="C770" s="9" t="s">
        <v>3380</v>
      </c>
      <c r="D770" s="6" t="s">
        <v>2299</v>
      </c>
      <c r="E770" s="6" t="s">
        <v>2697</v>
      </c>
      <c r="F770" s="6" t="s">
        <v>2226</v>
      </c>
      <c r="G770" s="6" t="s">
        <v>2227</v>
      </c>
      <c r="H770" s="7">
        <v>2160</v>
      </c>
      <c r="I770" s="8">
        <f>SUMIF(Cargas!$C$6:$C$1064,C770,Cargas!$O$6:$O$1064)</f>
        <v>0</v>
      </c>
      <c r="J770" s="17">
        <f t="shared" si="12"/>
        <v>2160</v>
      </c>
      <c r="K770" s="46">
        <v>1396866</v>
      </c>
      <c r="L770" s="46">
        <v>63836</v>
      </c>
    </row>
    <row r="771" hidden="1">
      <c r="B771" s="64">
        <v>44880</v>
      </c>
      <c r="C771" s="9" t="s">
        <v>3381</v>
      </c>
      <c r="D771" s="6" t="s">
        <v>2313</v>
      </c>
      <c r="E771" s="6" t="s">
        <v>2697</v>
      </c>
      <c r="F771" s="6" t="s">
        <v>2226</v>
      </c>
      <c r="G771" s="6" t="s">
        <v>2227</v>
      </c>
      <c r="H771" s="7">
        <v>2160</v>
      </c>
      <c r="I771" s="8">
        <f>SUMIF(Cargas!$C$6:$C$1064,C771,Cargas!$O$6:$O$1064)</f>
        <v>0</v>
      </c>
      <c r="J771" s="17">
        <f t="shared" si="12"/>
        <v>2160</v>
      </c>
      <c r="K771" s="34">
        <v>1445764</v>
      </c>
      <c r="L771" s="34">
        <v>233395</v>
      </c>
    </row>
    <row r="772" hidden="1">
      <c r="B772" s="64">
        <v>44539</v>
      </c>
      <c r="C772" s="9" t="s">
        <v>3382</v>
      </c>
      <c r="D772" s="6" t="s">
        <v>2321</v>
      </c>
      <c r="E772" s="6" t="s">
        <v>865</v>
      </c>
      <c r="F772" s="6" t="s">
        <v>978</v>
      </c>
      <c r="G772" s="6" t="s">
        <v>3383</v>
      </c>
      <c r="H772" s="7">
        <v>2000</v>
      </c>
      <c r="I772" s="8">
        <f>SUMIF(Cargas!$C$6:$C$1166,C772,Cargas!$O$6:$O$1064)</f>
        <v>0</v>
      </c>
      <c r="J772" s="17">
        <f t="shared" si="12"/>
        <v>2000</v>
      </c>
      <c r="K772" s="34">
        <v>1417701</v>
      </c>
      <c r="L772" s="34">
        <v>226073</v>
      </c>
    </row>
    <row r="773" hidden="1">
      <c r="B773" s="64">
        <v>44543</v>
      </c>
      <c r="C773" s="9" t="s">
        <v>3384</v>
      </c>
      <c r="D773" s="6" t="s">
        <v>3385</v>
      </c>
      <c r="E773" s="6" t="s">
        <v>2220</v>
      </c>
      <c r="F773" s="6" t="s">
        <v>2226</v>
      </c>
      <c r="G773" s="6" t="s">
        <v>2258</v>
      </c>
      <c r="H773" s="7">
        <v>3240</v>
      </c>
      <c r="I773" s="8">
        <f>SUMIF(Cargas!$C$6:$C$1064,C773,Cargas!$O$6:$O$1064)</f>
        <v>0</v>
      </c>
      <c r="J773" s="17">
        <f t="shared" si="12"/>
        <v>3240</v>
      </c>
      <c r="K773" s="34">
        <v>1417738</v>
      </c>
      <c r="L773" s="34">
        <v>239541</v>
      </c>
    </row>
    <row r="774" hidden="1">
      <c r="B774" s="64">
        <v>44292</v>
      </c>
      <c r="C774" s="9" t="s">
        <v>3386</v>
      </c>
      <c r="D774" s="6" t="s">
        <v>2297</v>
      </c>
      <c r="E774" s="6" t="s">
        <v>2697</v>
      </c>
      <c r="F774" s="6" t="s">
        <v>2226</v>
      </c>
      <c r="G774" s="6" t="s">
        <v>2227</v>
      </c>
      <c r="H774" s="7">
        <v>2100</v>
      </c>
      <c r="I774" s="8">
        <f>SUMIF(Cargas!$C$6:$C$1064,C774,Cargas!$O$6:$O$1064)</f>
        <v>0</v>
      </c>
      <c r="J774" s="17">
        <f t="shared" si="12"/>
        <v>2100</v>
      </c>
      <c r="K774" s="34">
        <v>1396867</v>
      </c>
      <c r="L774" s="34">
        <v>63906</v>
      </c>
    </row>
    <row r="775" hidden="1">
      <c r="A775" s="42"/>
      <c r="B775" s="64">
        <v>44537</v>
      </c>
      <c r="C775" s="9" t="s">
        <v>3387</v>
      </c>
      <c r="D775" s="6" t="s">
        <v>2669</v>
      </c>
      <c r="E775" s="6" t="s">
        <v>2712</v>
      </c>
      <c r="F775" s="6" t="s">
        <v>2226</v>
      </c>
      <c r="G775" s="6" t="s">
        <v>2227</v>
      </c>
      <c r="H775" s="7">
        <v>1936</v>
      </c>
      <c r="I775" s="8">
        <f>SUMIF(Cargas!$C$6:$C$1064,C775,Cargas!$O$6:$O$1166)</f>
        <v>0</v>
      </c>
      <c r="J775" s="17">
        <f t="shared" si="12"/>
        <v>1936</v>
      </c>
      <c r="K775" s="34">
        <v>1417849</v>
      </c>
      <c r="L775" s="34" t="s">
        <v>3388</v>
      </c>
    </row>
    <row r="776" hidden="1">
      <c r="B776" s="64">
        <v>44539</v>
      </c>
      <c r="C776" s="9" t="s">
        <v>3389</v>
      </c>
      <c r="D776" s="6" t="s">
        <v>2348</v>
      </c>
      <c r="E776" s="6" t="s">
        <v>865</v>
      </c>
      <c r="F776" s="6" t="s">
        <v>978</v>
      </c>
      <c r="G776" s="6" t="s">
        <v>3383</v>
      </c>
      <c r="H776" s="7">
        <v>3000</v>
      </c>
      <c r="I776" s="8">
        <f>SUMIF(Cargas!$C$6:$C$1166,C776,Cargas!$O$6:$O$1064)</f>
        <v>0</v>
      </c>
      <c r="J776" s="17">
        <f t="shared" si="12"/>
        <v>3000</v>
      </c>
      <c r="K776" s="34">
        <v>1418336</v>
      </c>
      <c r="L776" s="34" t="s">
        <v>29</v>
      </c>
    </row>
    <row r="777" hidden="1">
      <c r="B777" s="64">
        <v>44533</v>
      </c>
      <c r="C777" s="9" t="s">
        <v>3390</v>
      </c>
      <c r="D777" s="6" t="s">
        <v>3391</v>
      </c>
      <c r="E777" s="6" t="s">
        <v>2220</v>
      </c>
      <c r="F777" s="6" t="s">
        <v>2226</v>
      </c>
      <c r="G777" s="6" t="s">
        <v>2258</v>
      </c>
      <c r="H777" s="7">
        <v>3240</v>
      </c>
      <c r="I777" s="8">
        <f>SUMIF(Cargas!$C$6:$C$1064,C777,Cargas!$O$6:$O$1064)</f>
        <v>0</v>
      </c>
      <c r="J777" s="17">
        <f t="shared" si="12"/>
        <v>3240</v>
      </c>
      <c r="K777" s="34">
        <v>1416159</v>
      </c>
      <c r="L777" s="34" t="s">
        <v>29</v>
      </c>
    </row>
    <row r="778" hidden="1">
      <c r="B778" s="64">
        <v>44533</v>
      </c>
      <c r="C778" s="9" t="s">
        <v>3392</v>
      </c>
      <c r="D778" s="6" t="s">
        <v>3393</v>
      </c>
      <c r="E778" s="6" t="s">
        <v>2220</v>
      </c>
      <c r="F778" s="6" t="s">
        <v>2226</v>
      </c>
      <c r="G778" s="6" t="s">
        <v>2258</v>
      </c>
      <c r="H778" s="7">
        <v>3240</v>
      </c>
      <c r="I778" s="8">
        <f>SUMIF(Cargas!$C$6:$C$1064,C778,Cargas!$O$6:$O$1064)</f>
        <v>0</v>
      </c>
      <c r="J778" s="17">
        <f t="shared" si="12"/>
        <v>3240</v>
      </c>
      <c r="K778" s="34">
        <v>1416163</v>
      </c>
      <c r="L778" s="34" t="s">
        <v>29</v>
      </c>
    </row>
    <row r="779" hidden="1">
      <c r="B779" s="64">
        <v>44533</v>
      </c>
      <c r="C779" s="9" t="s">
        <v>3394</v>
      </c>
      <c r="D779" s="6" t="s">
        <v>3395</v>
      </c>
      <c r="E779" s="6" t="s">
        <v>2220</v>
      </c>
      <c r="F779" s="6" t="s">
        <v>2226</v>
      </c>
      <c r="G779" s="6" t="s">
        <v>2282</v>
      </c>
      <c r="H779" s="7">
        <v>1080</v>
      </c>
      <c r="I779" s="8">
        <f>SUMIF(Cargas!$C$6:$C$1064,C779,Cargas!$O$6:$O$1064)</f>
        <v>0</v>
      </c>
      <c r="J779" s="17">
        <f t="shared" si="12"/>
        <v>1080</v>
      </c>
      <c r="K779" s="34">
        <v>1416164</v>
      </c>
      <c r="L779" s="34" t="s">
        <v>29</v>
      </c>
    </row>
    <row r="780" hidden="1">
      <c r="B780" s="64">
        <v>44540</v>
      </c>
      <c r="C780" s="9" t="s">
        <v>3396</v>
      </c>
      <c r="D780" s="6" t="s">
        <v>3397</v>
      </c>
      <c r="E780" s="6" t="s">
        <v>2220</v>
      </c>
      <c r="F780" s="6" t="s">
        <v>2226</v>
      </c>
      <c r="G780" s="6" t="s">
        <v>2227</v>
      </c>
      <c r="H780" s="7">
        <v>2160</v>
      </c>
      <c r="I780" s="8">
        <f>SUMIF(Cargas!$C$6:$C$1064,C780,Cargas!$O$6:$O$1064)</f>
        <v>0</v>
      </c>
      <c r="J780" s="17">
        <f ref="J780:J843" t="shared" si="13">IF(ABS(H780-I780)&lt;20,0,H780-I780)</f>
        <v>2160</v>
      </c>
      <c r="K780" s="34">
        <v>1416848</v>
      </c>
      <c r="L780" s="34" t="s">
        <v>29</v>
      </c>
    </row>
    <row r="781" hidden="1">
      <c r="B781" s="64">
        <v>44543</v>
      </c>
      <c r="C781" s="9" t="s">
        <v>3398</v>
      </c>
      <c r="D781" s="6" t="s">
        <v>3399</v>
      </c>
      <c r="E781" s="6" t="s">
        <v>2220</v>
      </c>
      <c r="F781" s="6" t="s">
        <v>2226</v>
      </c>
      <c r="G781" s="6" t="s">
        <v>2258</v>
      </c>
      <c r="H781" s="7">
        <v>3240</v>
      </c>
      <c r="I781" s="8">
        <f>SUMIF(Cargas!$C$6:$C$1064,C781,Cargas!$O$6:$O$1064)</f>
        <v>0</v>
      </c>
      <c r="J781" s="17">
        <f t="shared" si="13"/>
        <v>3240</v>
      </c>
      <c r="K781" s="34">
        <v>1417737</v>
      </c>
      <c r="L781" s="34" t="s">
        <v>29</v>
      </c>
    </row>
    <row r="782" hidden="1">
      <c r="B782" s="64">
        <v>44304</v>
      </c>
      <c r="C782" s="9" t="s">
        <v>3400</v>
      </c>
      <c r="D782" s="6" t="s">
        <v>2313</v>
      </c>
      <c r="E782" s="6" t="s">
        <v>2697</v>
      </c>
      <c r="F782" s="6" t="s">
        <v>2226</v>
      </c>
      <c r="G782" s="6" t="s">
        <v>2227</v>
      </c>
      <c r="H782" s="7">
        <v>2160</v>
      </c>
      <c r="I782" s="8">
        <f>SUMIF(Cargas!$C$6:$C$1064,C782,Cargas!$O$6:$O$1064)</f>
        <v>0</v>
      </c>
      <c r="J782" s="17">
        <f t="shared" si="13"/>
        <v>2160</v>
      </c>
      <c r="K782" s="46">
        <v>1397340</v>
      </c>
      <c r="L782" s="46">
        <v>75879</v>
      </c>
    </row>
    <row r="783" hidden="1">
      <c r="B783" s="64">
        <v>44304</v>
      </c>
      <c r="C783" s="9" t="s">
        <v>3401</v>
      </c>
      <c r="D783" s="6" t="s">
        <v>2311</v>
      </c>
      <c r="E783" s="6" t="s">
        <v>2697</v>
      </c>
      <c r="F783" s="6" t="s">
        <v>2226</v>
      </c>
      <c r="G783" s="6" t="s">
        <v>2227</v>
      </c>
      <c r="H783" s="7">
        <v>2100</v>
      </c>
      <c r="I783" s="8">
        <f>SUMIF(Cargas!$C$6:$C$1064,C783,Cargas!$O$6:$O$1064)</f>
        <v>0</v>
      </c>
      <c r="J783" s="17">
        <f t="shared" si="13"/>
        <v>2100</v>
      </c>
      <c r="K783" s="34">
        <v>1397341</v>
      </c>
      <c r="L783" s="34">
        <v>76051</v>
      </c>
    </row>
    <row r="784" hidden="1">
      <c r="B784" s="64">
        <v>44307</v>
      </c>
      <c r="C784" s="9" t="s">
        <v>3402</v>
      </c>
      <c r="D784" s="6" t="s">
        <v>2329</v>
      </c>
      <c r="E784" s="6" t="s">
        <v>2697</v>
      </c>
      <c r="F784" s="6" t="s">
        <v>2226</v>
      </c>
      <c r="G784" s="6" t="s">
        <v>2227</v>
      </c>
      <c r="H784" s="7">
        <v>2160</v>
      </c>
      <c r="I784" s="8">
        <f>SUMIF(Cargas!$C$6:$C$1064,C784,Cargas!$O$6:$O$1064)</f>
        <v>0</v>
      </c>
      <c r="J784" s="17">
        <f t="shared" si="13"/>
        <v>2160</v>
      </c>
      <c r="K784" s="46">
        <v>1397818</v>
      </c>
      <c r="L784" s="46">
        <v>76020</v>
      </c>
    </row>
    <row r="785" hidden="1">
      <c r="B785" s="64">
        <v>44543</v>
      </c>
      <c r="C785" s="9" t="s">
        <v>3403</v>
      </c>
      <c r="D785" s="6" t="s">
        <v>3404</v>
      </c>
      <c r="E785" s="6" t="s">
        <v>2220</v>
      </c>
      <c r="F785" s="6" t="s">
        <v>2226</v>
      </c>
      <c r="G785" s="6" t="s">
        <v>2227</v>
      </c>
      <c r="H785" s="7">
        <v>1080</v>
      </c>
      <c r="I785" s="8">
        <f>SUMIF(Cargas!$C$6:$C$1064,C785,Cargas!$O$6:$O$1064)</f>
        <v>0</v>
      </c>
      <c r="J785" s="17">
        <f t="shared" si="13"/>
        <v>1080</v>
      </c>
      <c r="K785" s="34">
        <v>1417739</v>
      </c>
      <c r="L785" s="34" t="s">
        <v>29</v>
      </c>
    </row>
    <row r="786" hidden="1">
      <c r="B786" s="64">
        <v>44313</v>
      </c>
      <c r="C786" s="9" t="s">
        <v>3405</v>
      </c>
      <c r="D786" s="6" t="s">
        <v>2333</v>
      </c>
      <c r="E786" s="6" t="s">
        <v>2697</v>
      </c>
      <c r="F786" s="6" t="s">
        <v>2226</v>
      </c>
      <c r="G786" s="6" t="s">
        <v>2227</v>
      </c>
      <c r="H786" s="7">
        <v>3240</v>
      </c>
      <c r="I786" s="8">
        <f>SUMIF(Cargas!$C$6:$C$1064,C786,Cargas!$O$6:$O$1064)</f>
        <v>0</v>
      </c>
      <c r="J786" s="17">
        <f t="shared" si="13"/>
        <v>3240</v>
      </c>
      <c r="K786" s="46">
        <v>1398280</v>
      </c>
      <c r="L786" s="46">
        <v>80594</v>
      </c>
    </row>
    <row r="787" hidden="1">
      <c r="B787" s="64">
        <v>44320</v>
      </c>
      <c r="C787" s="9" t="s">
        <v>3406</v>
      </c>
      <c r="D787" s="6" t="s">
        <v>2337</v>
      </c>
      <c r="E787" s="6" t="s">
        <v>2697</v>
      </c>
      <c r="F787" s="6" t="s">
        <v>2226</v>
      </c>
      <c r="G787" s="6" t="s">
        <v>2227</v>
      </c>
      <c r="H787" s="7">
        <v>2160</v>
      </c>
      <c r="I787" s="8">
        <f>SUMIF(Cargas!$C$6:$C$1064,C787,Cargas!$O$6:$O$1064)</f>
        <v>0</v>
      </c>
      <c r="J787" s="17">
        <f t="shared" si="13"/>
        <v>2160</v>
      </c>
      <c r="K787" s="46">
        <v>1398796</v>
      </c>
      <c r="L787" s="46">
        <v>83929</v>
      </c>
    </row>
    <row r="788" hidden="1">
      <c r="B788" s="64">
        <v>44540</v>
      </c>
      <c r="C788" s="9" t="s">
        <v>3407</v>
      </c>
      <c r="D788" s="6" t="s">
        <v>3408</v>
      </c>
      <c r="E788" s="6" t="s">
        <v>2220</v>
      </c>
      <c r="F788" s="6" t="s">
        <v>2226</v>
      </c>
      <c r="G788" s="6" t="s">
        <v>2258</v>
      </c>
      <c r="H788" s="7">
        <v>4320</v>
      </c>
      <c r="I788" s="8">
        <f>SUMIF(Cargas!$C$6:$C$1064,C788,Cargas!$O$6:$O$1064)</f>
        <v>0</v>
      </c>
      <c r="J788" s="17">
        <f t="shared" si="13"/>
        <v>4320</v>
      </c>
      <c r="K788" s="34">
        <v>1416847</v>
      </c>
      <c r="L788" s="34" t="s">
        <v>29</v>
      </c>
    </row>
    <row r="789" hidden="1">
      <c r="B789" s="64">
        <v>44540</v>
      </c>
      <c r="C789" s="9" t="s">
        <v>3409</v>
      </c>
      <c r="D789" s="6" t="s">
        <v>3410</v>
      </c>
      <c r="E789" s="6" t="s">
        <v>2220</v>
      </c>
      <c r="F789" s="6" t="s">
        <v>2226</v>
      </c>
      <c r="G789" s="6" t="s">
        <v>2258</v>
      </c>
      <c r="H789" s="7">
        <v>1080</v>
      </c>
      <c r="I789" s="8">
        <f>SUMIF(Cargas!$C$6:$C$1064,C789,Cargas!$O$6:$O$1064)</f>
        <v>0</v>
      </c>
      <c r="J789" s="17">
        <f t="shared" si="13"/>
        <v>1080</v>
      </c>
      <c r="K789" s="34">
        <v>1416850</v>
      </c>
      <c r="L789" s="34" t="s">
        <v>29</v>
      </c>
    </row>
    <row r="790" hidden="1">
      <c r="B790" s="64">
        <v>44533</v>
      </c>
      <c r="C790" s="9" t="s">
        <v>3411</v>
      </c>
      <c r="D790" s="6" t="s">
        <v>3361</v>
      </c>
      <c r="E790" s="6" t="s">
        <v>2225</v>
      </c>
      <c r="F790" s="6" t="s">
        <v>2226</v>
      </c>
      <c r="G790" s="6" t="s">
        <v>2227</v>
      </c>
      <c r="H790" s="7">
        <v>1680</v>
      </c>
      <c r="I790" s="8">
        <f>SUMIF(Cargas!$C$6:$C$1166,C790,Cargas!$O$6:$O$1166)</f>
        <v>0</v>
      </c>
      <c r="J790" s="17">
        <f t="shared" si="13"/>
        <v>1680</v>
      </c>
      <c r="K790" s="34">
        <v>1416160</v>
      </c>
      <c r="L790" s="34" t="s">
        <v>29</v>
      </c>
    </row>
    <row r="791" hidden="1">
      <c r="B791" s="64">
        <v>45492</v>
      </c>
      <c r="C791" s="9" t="s">
        <v>381</v>
      </c>
      <c r="D791" s="6" t="s">
        <v>3412</v>
      </c>
      <c r="E791" s="6" t="s">
        <v>2794</v>
      </c>
      <c r="F791" s="6" t="s">
        <v>2226</v>
      </c>
      <c r="G791" s="6" t="s">
        <v>2282</v>
      </c>
      <c r="H791" s="7">
        <v>1200</v>
      </c>
      <c r="I791" s="8">
        <f>SUMIF(Cargas!$C$6:$C$1064,C791,Cargas!$O$6:$O$1064)</f>
        <v>1200</v>
      </c>
      <c r="J791" s="17">
        <f t="shared" si="13"/>
        <v>0</v>
      </c>
      <c r="K791" s="34"/>
      <c r="L791" s="34">
        <v>142503</v>
      </c>
    </row>
    <row r="792" hidden="1">
      <c r="B792" s="64">
        <v>45492</v>
      </c>
      <c r="C792" s="9" t="s">
        <v>409</v>
      </c>
      <c r="D792" s="6" t="s">
        <v>3413</v>
      </c>
      <c r="E792" s="6" t="s">
        <v>2794</v>
      </c>
      <c r="F792" s="6" t="s">
        <v>2226</v>
      </c>
      <c r="G792" s="6" t="s">
        <v>410</v>
      </c>
      <c r="H792" s="7">
        <v>1250</v>
      </c>
      <c r="I792" s="8">
        <f>SUMIF(Cargas!$C$6:$C$1064,C792,Cargas!$O$6:$O$1064)</f>
        <v>1250</v>
      </c>
      <c r="J792" s="17">
        <f t="shared" si="13"/>
        <v>0</v>
      </c>
      <c r="K792" s="34"/>
      <c r="L792" s="34">
        <v>143369</v>
      </c>
    </row>
    <row r="793" hidden="1">
      <c r="B793" s="64">
        <v>45497</v>
      </c>
      <c r="C793" s="9" t="s">
        <v>393</v>
      </c>
      <c r="D793" s="6" t="s">
        <v>3414</v>
      </c>
      <c r="E793" s="6" t="s">
        <v>2794</v>
      </c>
      <c r="F793" s="6" t="s">
        <v>2226</v>
      </c>
      <c r="G793" s="6" t="s">
        <v>394</v>
      </c>
      <c r="H793" s="7">
        <v>1250</v>
      </c>
      <c r="I793" s="8">
        <f>SUMIF(Cargas!$C$6:$C$1064,C793,Cargas!$O$6:$O$1064)</f>
        <v>1250</v>
      </c>
      <c r="J793" s="17">
        <f t="shared" si="13"/>
        <v>0</v>
      </c>
      <c r="K793" s="34"/>
      <c r="L793" s="34">
        <v>144848</v>
      </c>
    </row>
    <row r="794" hidden="1">
      <c r="B794" s="64">
        <v>45497</v>
      </c>
      <c r="C794" s="9" t="s">
        <v>411</v>
      </c>
      <c r="D794" s="6" t="s">
        <v>3415</v>
      </c>
      <c r="E794" s="6" t="s">
        <v>2794</v>
      </c>
      <c r="F794" s="6" t="s">
        <v>2226</v>
      </c>
      <c r="G794" s="6" t="s">
        <v>412</v>
      </c>
      <c r="H794" s="7">
        <v>1250</v>
      </c>
      <c r="I794" s="8">
        <f>SUMIF(Cargas!$C$6:$C$1064,C794,Cargas!$O$6:$O$1064)</f>
        <v>1250</v>
      </c>
      <c r="J794" s="17">
        <f t="shared" si="13"/>
        <v>0</v>
      </c>
      <c r="K794" s="34"/>
      <c r="L794" s="34">
        <v>144831</v>
      </c>
    </row>
    <row r="795" hidden="1">
      <c r="B795" s="64">
        <v>45497</v>
      </c>
      <c r="C795" s="9" t="s">
        <v>400</v>
      </c>
      <c r="D795" s="6" t="s">
        <v>3416</v>
      </c>
      <c r="E795" s="6" t="s">
        <v>2794</v>
      </c>
      <c r="F795" s="6" t="s">
        <v>2226</v>
      </c>
      <c r="G795" s="6" t="s">
        <v>401</v>
      </c>
      <c r="H795" s="7">
        <v>1250</v>
      </c>
      <c r="I795" s="8">
        <f>SUMIF(Cargas!$C$6:$C$1064,C795,Cargas!$O$6:$O$1064)</f>
        <v>1250</v>
      </c>
      <c r="J795" s="17">
        <f t="shared" si="13"/>
        <v>0</v>
      </c>
      <c r="K795" s="34"/>
      <c r="L795" s="34">
        <v>144803</v>
      </c>
    </row>
    <row r="796" hidden="1">
      <c r="B796" s="64">
        <v>45497</v>
      </c>
      <c r="C796" s="9" t="s">
        <v>403</v>
      </c>
      <c r="D796" s="6" t="s">
        <v>3417</v>
      </c>
      <c r="E796" s="6" t="s">
        <v>2794</v>
      </c>
      <c r="F796" s="6" t="s">
        <v>2226</v>
      </c>
      <c r="G796" s="6" t="s">
        <v>394</v>
      </c>
      <c r="H796" s="7">
        <v>1250</v>
      </c>
      <c r="I796" s="8">
        <f>SUMIF(Cargas!$C$6:$C$1064,C796,Cargas!$O$6:$O$1064)</f>
        <v>1250</v>
      </c>
      <c r="J796" s="17">
        <f t="shared" si="13"/>
        <v>0</v>
      </c>
      <c r="K796" s="34"/>
      <c r="L796" s="34">
        <v>144817</v>
      </c>
    </row>
    <row r="797" hidden="1">
      <c r="B797" s="64">
        <v>45395</v>
      </c>
      <c r="C797" s="9" t="s">
        <v>203</v>
      </c>
      <c r="D797" s="6" t="s">
        <v>2373</v>
      </c>
      <c r="E797" s="6" t="s">
        <v>3418</v>
      </c>
      <c r="F797" s="6" t="s">
        <v>2226</v>
      </c>
      <c r="G797" s="6" t="s">
        <v>401</v>
      </c>
      <c r="H797" s="7">
        <v>2496</v>
      </c>
      <c r="I797" s="8">
        <f>SUMIF(Cargas!$C$6:$C$1064,C797,Cargas!$O$6:$O$1064)</f>
        <v>2496</v>
      </c>
      <c r="J797" s="17">
        <f t="shared" si="13"/>
        <v>0</v>
      </c>
      <c r="K797" s="34"/>
      <c r="L797" s="34">
        <v>72581</v>
      </c>
      <c r="M797" s="0">
        <v>1</v>
      </c>
    </row>
    <row r="798" hidden="1">
      <c r="B798" s="64">
        <v>45400</v>
      </c>
      <c r="C798" s="9" t="s">
        <v>204</v>
      </c>
      <c r="D798" s="6" t="s">
        <v>2376</v>
      </c>
      <c r="E798" s="6" t="s">
        <v>3419</v>
      </c>
      <c r="F798" s="6" t="s">
        <v>2226</v>
      </c>
      <c r="G798" s="6" t="s">
        <v>3420</v>
      </c>
      <c r="H798" s="7">
        <v>2288</v>
      </c>
      <c r="I798" s="8">
        <f>SUMIF(Cargas!$C$6:$C$1064,C798,Cargas!$O$6:$O$1064)</f>
        <v>2288</v>
      </c>
      <c r="J798" s="17">
        <f t="shared" si="13"/>
        <v>0</v>
      </c>
      <c r="K798" s="34">
        <v>1499480</v>
      </c>
      <c r="L798" s="34">
        <v>74850</v>
      </c>
      <c r="M798" s="0">
        <v>1</v>
      </c>
    </row>
    <row r="799" hidden="1">
      <c r="B799" s="64">
        <v>45432</v>
      </c>
      <c r="C799" s="9" t="s">
        <v>250</v>
      </c>
      <c r="D799" s="6" t="s">
        <v>2398</v>
      </c>
      <c r="E799" s="6" t="s">
        <v>2377</v>
      </c>
      <c r="F799" s="6" t="s">
        <v>2226</v>
      </c>
      <c r="G799" s="6" t="s">
        <v>2258</v>
      </c>
      <c r="H799" s="7">
        <v>2288</v>
      </c>
      <c r="I799" s="8">
        <f>SUMIF(Cargas!$C$6:$C$1064,C799,Cargas!$O$6:$O$1064)</f>
        <v>2288</v>
      </c>
      <c r="J799" s="17">
        <f t="shared" si="13"/>
        <v>0</v>
      </c>
      <c r="K799" s="34">
        <v>1492382</v>
      </c>
      <c r="L799" s="34">
        <v>101229</v>
      </c>
      <c r="M799" s="0">
        <v>1</v>
      </c>
    </row>
    <row r="800" hidden="1">
      <c r="B800" s="64">
        <v>45477</v>
      </c>
      <c r="C800" s="9" t="s">
        <v>320</v>
      </c>
      <c r="D800" s="6" t="s">
        <v>2393</v>
      </c>
      <c r="E800" s="6" t="s">
        <v>2377</v>
      </c>
      <c r="F800" s="6" t="s">
        <v>2226</v>
      </c>
      <c r="G800" s="6" t="s">
        <v>3421</v>
      </c>
      <c r="H800" s="7">
        <v>2304</v>
      </c>
      <c r="I800" s="8">
        <f>SUMIF(Cargas!$C$6:$C$1064,C800,Cargas!$O$6:$O$1064)</f>
        <v>2304</v>
      </c>
      <c r="J800" s="17">
        <f t="shared" si="13"/>
        <v>0</v>
      </c>
      <c r="K800" s="34"/>
      <c r="L800" s="34">
        <v>130880</v>
      </c>
    </row>
    <row r="801" hidden="1">
      <c r="B801" s="64">
        <v>44334</v>
      </c>
      <c r="C801" s="9" t="s">
        <v>3422</v>
      </c>
      <c r="D801" s="6" t="s">
        <v>2351</v>
      </c>
      <c r="E801" s="6" t="s">
        <v>2697</v>
      </c>
      <c r="F801" s="6" t="s">
        <v>2226</v>
      </c>
      <c r="G801" s="6" t="s">
        <v>2227</v>
      </c>
      <c r="H801" s="7">
        <v>3240</v>
      </c>
      <c r="I801" s="8">
        <f>SUMIF(Cargas!$C$6:$C$1064,C801,Cargas!$O$6:$O$1064)</f>
        <v>0</v>
      </c>
      <c r="J801" s="17">
        <f t="shared" si="13"/>
        <v>3240</v>
      </c>
      <c r="K801" s="46">
        <v>1399312</v>
      </c>
      <c r="L801" s="46">
        <v>93002</v>
      </c>
    </row>
    <row r="802" hidden="1">
      <c r="B802" s="64">
        <v>44341</v>
      </c>
      <c r="C802" s="9" t="s">
        <v>3423</v>
      </c>
      <c r="D802" s="6" t="s">
        <v>2367</v>
      </c>
      <c r="E802" s="6" t="s">
        <v>2697</v>
      </c>
      <c r="F802" s="6" t="s">
        <v>2226</v>
      </c>
      <c r="G802" s="6" t="s">
        <v>2227</v>
      </c>
      <c r="H802" s="7">
        <v>4320</v>
      </c>
      <c r="I802" s="8">
        <f>SUMIF(Cargas!$C$6:$C$1064,C802,Cargas!$O$6:$O$1064)</f>
        <v>0</v>
      </c>
      <c r="J802" s="17">
        <f t="shared" si="13"/>
        <v>4320</v>
      </c>
      <c r="K802" s="46">
        <v>1400160</v>
      </c>
      <c r="L802" s="46">
        <v>102027</v>
      </c>
    </row>
    <row r="803" hidden="1">
      <c r="B803" s="64">
        <v>44348</v>
      </c>
      <c r="C803" s="9" t="s">
        <v>3424</v>
      </c>
      <c r="D803" s="6" t="s">
        <v>2369</v>
      </c>
      <c r="E803" s="6" t="s">
        <v>2697</v>
      </c>
      <c r="F803" s="6" t="s">
        <v>2226</v>
      </c>
      <c r="G803" s="6" t="s">
        <v>2227</v>
      </c>
      <c r="H803" s="7">
        <v>4320</v>
      </c>
      <c r="I803" s="8">
        <f>SUMIF(Cargas!$C$6:$C$1064,C803,Cargas!$O$6:$O$1064)</f>
        <v>0</v>
      </c>
      <c r="J803" s="17">
        <f t="shared" si="13"/>
        <v>4320</v>
      </c>
      <c r="K803" s="46">
        <v>1400887</v>
      </c>
      <c r="L803" s="46">
        <v>103627</v>
      </c>
    </row>
    <row r="804" hidden="1">
      <c r="B804" s="64">
        <v>44362</v>
      </c>
      <c r="C804" s="9" t="s">
        <v>3425</v>
      </c>
      <c r="D804" s="6" t="s">
        <v>2389</v>
      </c>
      <c r="E804" s="6" t="s">
        <v>2697</v>
      </c>
      <c r="F804" s="6" t="s">
        <v>2226</v>
      </c>
      <c r="G804" s="6" t="s">
        <v>2227</v>
      </c>
      <c r="H804" s="7">
        <v>4320</v>
      </c>
      <c r="I804" s="8">
        <f>SUMIF(Cargas!$C$6:$C$1064,C804,Cargas!$O$6:$O$1064)</f>
        <v>0</v>
      </c>
      <c r="J804" s="17">
        <f t="shared" si="13"/>
        <v>4320</v>
      </c>
      <c r="K804" s="46">
        <v>1402206</v>
      </c>
      <c r="L804" s="46">
        <v>116128</v>
      </c>
    </row>
    <row r="805" hidden="1">
      <c r="B805" s="64">
        <v>44369</v>
      </c>
      <c r="C805" s="9" t="s">
        <v>3426</v>
      </c>
      <c r="D805" s="6" t="s">
        <v>2406</v>
      </c>
      <c r="E805" s="6" t="s">
        <v>2697</v>
      </c>
      <c r="F805" s="6" t="s">
        <v>2226</v>
      </c>
      <c r="G805" s="6" t="s">
        <v>2227</v>
      </c>
      <c r="H805" s="7">
        <v>3240</v>
      </c>
      <c r="I805" s="8">
        <f>SUMIF(Cargas!$C$6:$C$1064,C805,Cargas!$O$6:$O$1064)</f>
        <v>0</v>
      </c>
      <c r="J805" s="17">
        <f t="shared" si="13"/>
        <v>3240</v>
      </c>
      <c r="K805" s="46">
        <v>1402710</v>
      </c>
      <c r="L805" s="46">
        <v>120580</v>
      </c>
    </row>
    <row r="806" hidden="1">
      <c r="B806" s="64">
        <v>44383</v>
      </c>
      <c r="C806" s="9" t="s">
        <v>3427</v>
      </c>
      <c r="D806" s="6" t="s">
        <v>2410</v>
      </c>
      <c r="E806" s="6" t="s">
        <v>2697</v>
      </c>
      <c r="F806" s="6" t="s">
        <v>2226</v>
      </c>
      <c r="G806" s="6" t="s">
        <v>2227</v>
      </c>
      <c r="H806" s="7">
        <v>2160</v>
      </c>
      <c r="I806" s="8">
        <f>SUMIF(Cargas!$C$6:$C$1064,C806,Cargas!$O$6:$O$1064)</f>
        <v>0</v>
      </c>
      <c r="J806" s="17">
        <f t="shared" si="13"/>
        <v>2160</v>
      </c>
      <c r="K806" s="46">
        <v>1403091</v>
      </c>
      <c r="L806" s="46">
        <v>132820</v>
      </c>
    </row>
    <row r="807" hidden="1">
      <c r="B807" s="64">
        <v>44383</v>
      </c>
      <c r="C807" s="9" t="s">
        <v>3428</v>
      </c>
      <c r="D807" s="6" t="s">
        <v>2327</v>
      </c>
      <c r="E807" s="6" t="s">
        <v>2697</v>
      </c>
      <c r="F807" s="6" t="s">
        <v>2226</v>
      </c>
      <c r="G807" s="6" t="s">
        <v>2227</v>
      </c>
      <c r="H807" s="7">
        <v>2100</v>
      </c>
      <c r="I807" s="8">
        <f>SUMIF(Cargas!$C$6:$C$1064,C807,Cargas!$O$6:$O$1064)</f>
        <v>0</v>
      </c>
      <c r="J807" s="17">
        <f t="shared" si="13"/>
        <v>2100</v>
      </c>
      <c r="K807" s="46">
        <v>1403092</v>
      </c>
      <c r="L807" s="46">
        <v>132892</v>
      </c>
    </row>
    <row r="808" hidden="1">
      <c r="B808" s="64">
        <v>44402</v>
      </c>
      <c r="C808" s="9" t="s">
        <v>3429</v>
      </c>
      <c r="D808" s="6" t="s">
        <v>2416</v>
      </c>
      <c r="E808" s="6" t="s">
        <v>2697</v>
      </c>
      <c r="F808" s="6" t="s">
        <v>2226</v>
      </c>
      <c r="G808" s="6" t="s">
        <v>2227</v>
      </c>
      <c r="H808" s="7">
        <v>1080</v>
      </c>
      <c r="I808" s="8">
        <f>SUMIF(Cargas!$C$6:$C$1064,C808,Cargas!$O$6:$O$1064)</f>
        <v>0</v>
      </c>
      <c r="J808" s="17">
        <f t="shared" si="13"/>
        <v>1080</v>
      </c>
      <c r="K808" s="46">
        <v>1404470</v>
      </c>
      <c r="L808" s="46">
        <v>139026</v>
      </c>
    </row>
    <row r="809" hidden="1">
      <c r="B809" s="64">
        <v>44402</v>
      </c>
      <c r="C809" s="9" t="s">
        <v>3430</v>
      </c>
      <c r="D809" s="6" t="s">
        <v>2339</v>
      </c>
      <c r="E809" s="6" t="s">
        <v>2697</v>
      </c>
      <c r="F809" s="6" t="s">
        <v>2226</v>
      </c>
      <c r="G809" s="6" t="s">
        <v>2227</v>
      </c>
      <c r="H809" s="7">
        <v>1050</v>
      </c>
      <c r="I809" s="8">
        <f>SUMIF(Cargas!$C$6:$C$1064,C809,Cargas!$O$6:$O$1064)</f>
        <v>0</v>
      </c>
      <c r="J809" s="17">
        <f t="shared" si="13"/>
        <v>1050</v>
      </c>
      <c r="K809" s="46">
        <v>1404469</v>
      </c>
      <c r="L809" s="46">
        <v>139060</v>
      </c>
    </row>
    <row r="810" hidden="1">
      <c r="B810" s="64">
        <v>44482</v>
      </c>
      <c r="C810" s="9" t="s">
        <v>3431</v>
      </c>
      <c r="D810" s="6" t="s">
        <v>3432</v>
      </c>
      <c r="E810" s="6" t="s">
        <v>2916</v>
      </c>
      <c r="F810" s="6" t="s">
        <v>2226</v>
      </c>
      <c r="G810" s="6" t="s">
        <v>2227</v>
      </c>
      <c r="H810" s="7">
        <v>1920</v>
      </c>
      <c r="I810" s="8">
        <f>SUMIF(Cargas!$C$6:$C$1166,C810,Cargas!$O$6:$O$1064)</f>
        <v>0</v>
      </c>
      <c r="J810" s="17">
        <f t="shared" si="13"/>
        <v>1920</v>
      </c>
      <c r="K810" s="71">
        <v>1413873</v>
      </c>
      <c r="L810" s="34">
        <v>214731</v>
      </c>
    </row>
    <row r="811" hidden="1">
      <c r="B811" s="64">
        <v>44493</v>
      </c>
      <c r="C811" s="9" t="s">
        <v>3433</v>
      </c>
      <c r="D811" s="6" t="s">
        <v>3434</v>
      </c>
      <c r="E811" s="6" t="s">
        <v>2916</v>
      </c>
      <c r="F811" s="6" t="s">
        <v>2226</v>
      </c>
      <c r="G811" s="6" t="s">
        <v>2227</v>
      </c>
      <c r="H811" s="7">
        <v>1920</v>
      </c>
      <c r="I811" s="8">
        <f>SUMIF(Cargas!$C$6:$C$1166,C811,Cargas!$O$6:$O$1064)</f>
        <v>0</v>
      </c>
      <c r="J811" s="17">
        <f t="shared" si="13"/>
        <v>1920</v>
      </c>
      <c r="K811" s="71">
        <v>1413872</v>
      </c>
      <c r="L811" s="34">
        <v>219275</v>
      </c>
    </row>
    <row r="812" hidden="1">
      <c r="B812" s="64">
        <v>44504</v>
      </c>
      <c r="C812" s="9" t="s">
        <v>3435</v>
      </c>
      <c r="D812" s="6" t="s">
        <v>3436</v>
      </c>
      <c r="E812" s="6" t="s">
        <v>2916</v>
      </c>
      <c r="F812" s="6" t="s">
        <v>2226</v>
      </c>
      <c r="G812" s="6" t="s">
        <v>2227</v>
      </c>
      <c r="H812" s="7">
        <v>1920</v>
      </c>
      <c r="I812" s="8">
        <f>SUMIF(Cargas!$C$6:$C$1166,C812,Cargas!$O$6:$O$1064)</f>
        <v>0</v>
      </c>
      <c r="J812" s="17">
        <f t="shared" si="13"/>
        <v>1920</v>
      </c>
      <c r="K812" s="34">
        <v>1412394</v>
      </c>
      <c r="L812" s="34" t="s">
        <v>29</v>
      </c>
    </row>
    <row r="813" hidden="1">
      <c r="B813" s="64">
        <v>44519</v>
      </c>
      <c r="C813" s="9" t="s">
        <v>3437</v>
      </c>
      <c r="D813" s="6" t="s">
        <v>3438</v>
      </c>
      <c r="E813" s="6" t="s">
        <v>2916</v>
      </c>
      <c r="F813" s="6" t="s">
        <v>2226</v>
      </c>
      <c r="G813" s="6" t="s">
        <v>2227</v>
      </c>
      <c r="H813" s="7">
        <v>1920</v>
      </c>
      <c r="I813" s="8">
        <f>SUMIF(Cargas!$C$6:$C$1166,C813,Cargas!$O$6:$O$1064)</f>
        <v>0</v>
      </c>
      <c r="J813" s="17">
        <f t="shared" si="13"/>
        <v>1920</v>
      </c>
      <c r="K813" s="34"/>
      <c r="L813" s="34" t="s">
        <v>29</v>
      </c>
    </row>
    <row r="814" hidden="1">
      <c r="B814" s="64">
        <v>44523</v>
      </c>
      <c r="C814" s="9" t="s">
        <v>3439</v>
      </c>
      <c r="D814" s="6" t="s">
        <v>3440</v>
      </c>
      <c r="E814" s="6" t="s">
        <v>2916</v>
      </c>
      <c r="F814" s="6" t="s">
        <v>2226</v>
      </c>
      <c r="G814" s="6" t="s">
        <v>2227</v>
      </c>
      <c r="H814" s="7">
        <v>1920</v>
      </c>
      <c r="I814" s="8">
        <f>SUMIF(Cargas!$C$6:$C$1166,C814,Cargas!$O$6:$O$1064)</f>
        <v>0</v>
      </c>
      <c r="J814" s="17">
        <f t="shared" si="13"/>
        <v>1920</v>
      </c>
      <c r="K814" s="34"/>
      <c r="L814" s="34">
        <v>2659</v>
      </c>
    </row>
    <row r="815" hidden="1">
      <c r="B815" s="64">
        <v>44561</v>
      </c>
      <c r="C815" s="9" t="s">
        <v>3441</v>
      </c>
      <c r="D815" s="6" t="s">
        <v>3442</v>
      </c>
      <c r="E815" s="6" t="s">
        <v>2916</v>
      </c>
      <c r="F815" s="6" t="s">
        <v>2226</v>
      </c>
      <c r="G815" s="6" t="s">
        <v>2227</v>
      </c>
      <c r="H815" s="7">
        <v>1920</v>
      </c>
      <c r="I815" s="8">
        <f>SUMIF(Cargas!$C$6:$C$1166,C815,Cargas!$O$6:$O$1064)</f>
        <v>0</v>
      </c>
      <c r="J815" s="17">
        <f t="shared" si="13"/>
        <v>1920</v>
      </c>
      <c r="K815" s="34"/>
      <c r="L815" s="34" t="s">
        <v>29</v>
      </c>
    </row>
    <row r="816" hidden="1">
      <c r="B816" s="64">
        <v>45432</v>
      </c>
      <c r="C816" s="9" t="s">
        <v>320</v>
      </c>
      <c r="D816" s="6" t="s">
        <v>2393</v>
      </c>
      <c r="E816" s="6" t="s">
        <v>2377</v>
      </c>
      <c r="F816" s="6" t="s">
        <v>2226</v>
      </c>
      <c r="G816" s="6" t="s">
        <v>3443</v>
      </c>
      <c r="H816" s="7">
        <f>1536+768</f>
        <v>2304</v>
      </c>
      <c r="I816" s="8">
        <f>SUMIF(Cargas!$C$6:$C$1064,C816,Cargas!$O$6:$O$1064)</f>
        <v>2304</v>
      </c>
      <c r="J816" s="17">
        <f t="shared" si="13"/>
        <v>0</v>
      </c>
      <c r="K816" s="34">
        <v>1494802</v>
      </c>
      <c r="L816" s="34" t="s">
        <v>29</v>
      </c>
      <c r="M816" s="0">
        <v>1</v>
      </c>
    </row>
    <row r="817" hidden="1">
      <c r="B817" s="64">
        <v>44568</v>
      </c>
      <c r="C817" s="9" t="s">
        <v>3444</v>
      </c>
      <c r="D817" s="6" t="s">
        <v>2219</v>
      </c>
      <c r="E817" s="6" t="s">
        <v>2220</v>
      </c>
      <c r="F817" s="6" t="s">
        <v>2226</v>
      </c>
      <c r="G817" s="6" t="s">
        <v>2227</v>
      </c>
      <c r="H817" s="7">
        <v>1080</v>
      </c>
      <c r="I817" s="8">
        <f>SUMIF(Cargas!$C$6:$C$1064,C817,Cargas!$O$6:$O$1064)</f>
        <v>0</v>
      </c>
      <c r="J817" s="17">
        <f t="shared" si="13"/>
        <v>1080</v>
      </c>
      <c r="K817" s="34">
        <v>1418744</v>
      </c>
      <c r="L817" s="34">
        <v>13006</v>
      </c>
    </row>
    <row r="818" hidden="1">
      <c r="B818" s="64">
        <v>44579</v>
      </c>
      <c r="C818" s="9" t="s">
        <v>3445</v>
      </c>
      <c r="D818" s="6" t="s">
        <v>2254</v>
      </c>
      <c r="E818" s="6" t="s">
        <v>2220</v>
      </c>
      <c r="F818" s="6" t="s">
        <v>2226</v>
      </c>
      <c r="G818" s="6" t="s">
        <v>2227</v>
      </c>
      <c r="H818" s="7">
        <v>1128</v>
      </c>
      <c r="I818" s="8">
        <f>SUMIF(Cargas!$C$6:$C$1064,C818,Cargas!$O$6:$O$1064)</f>
        <v>0</v>
      </c>
      <c r="J818" s="17">
        <f t="shared" si="13"/>
        <v>1128</v>
      </c>
      <c r="K818" s="34">
        <v>1419643</v>
      </c>
      <c r="L818" s="34">
        <v>20267</v>
      </c>
    </row>
    <row r="819" hidden="1">
      <c r="B819" s="64">
        <v>44586</v>
      </c>
      <c r="C819" s="9" t="s">
        <v>3446</v>
      </c>
      <c r="D819" s="6" t="s">
        <v>2266</v>
      </c>
      <c r="E819" s="6" t="s">
        <v>2220</v>
      </c>
      <c r="F819" s="6" t="s">
        <v>2226</v>
      </c>
      <c r="G819" s="6" t="s">
        <v>2227</v>
      </c>
      <c r="H819" s="7">
        <v>1128</v>
      </c>
      <c r="I819" s="8">
        <f>SUMIF(Cargas!$C$6:$C$1064,C819,Cargas!$O$6:$O$1064)</f>
        <v>0</v>
      </c>
      <c r="J819" s="17">
        <f t="shared" si="13"/>
        <v>1128</v>
      </c>
      <c r="K819" s="34">
        <v>1420329</v>
      </c>
      <c r="L819" s="34">
        <v>26136</v>
      </c>
    </row>
    <row r="820" hidden="1">
      <c r="B820" s="64">
        <v>44593</v>
      </c>
      <c r="C820" s="9" t="s">
        <v>3447</v>
      </c>
      <c r="D820" s="6" t="s">
        <v>2272</v>
      </c>
      <c r="E820" s="6" t="s">
        <v>2220</v>
      </c>
      <c r="F820" s="6" t="s">
        <v>2226</v>
      </c>
      <c r="G820" s="6" t="s">
        <v>2227</v>
      </c>
      <c r="H820" s="7">
        <v>2208</v>
      </c>
      <c r="I820" s="8">
        <f>SUMIF(Cargas!$C$6:$C$1064,C820,Cargas!$O$6:$O$1064)</f>
        <v>0</v>
      </c>
      <c r="J820" s="17">
        <f t="shared" si="13"/>
        <v>2208</v>
      </c>
      <c r="K820" s="34">
        <v>1420708</v>
      </c>
      <c r="L820" s="34">
        <v>30345</v>
      </c>
    </row>
    <row r="821" hidden="1">
      <c r="B821" s="64">
        <v>44600</v>
      </c>
      <c r="C821" s="9" t="s">
        <v>3448</v>
      </c>
      <c r="D821" s="6" t="s">
        <v>2285</v>
      </c>
      <c r="E821" s="6" t="s">
        <v>2220</v>
      </c>
      <c r="F821" s="6" t="s">
        <v>2226</v>
      </c>
      <c r="G821" s="6" t="s">
        <v>2227</v>
      </c>
      <c r="H821" s="7">
        <v>1080</v>
      </c>
      <c r="I821" s="8">
        <f>SUMIF(Cargas!$C$6:$C$1064,C821,Cargas!$O$6:$O$1064)</f>
        <v>0</v>
      </c>
      <c r="J821" s="17">
        <f t="shared" si="13"/>
        <v>1080</v>
      </c>
      <c r="K821" s="34">
        <v>1420306</v>
      </c>
      <c r="L821" s="34">
        <v>35918</v>
      </c>
    </row>
    <row r="822" hidden="1">
      <c r="B822" s="64">
        <v>44618</v>
      </c>
      <c r="C822" s="9" t="s">
        <v>3449</v>
      </c>
      <c r="D822" s="6" t="s">
        <v>2291</v>
      </c>
      <c r="E822" s="6" t="s">
        <v>2220</v>
      </c>
      <c r="F822" s="6" t="s">
        <v>2226</v>
      </c>
      <c r="G822" s="6" t="s">
        <v>2227</v>
      </c>
      <c r="H822" s="7">
        <v>2160</v>
      </c>
      <c r="I822" s="8">
        <f>SUMIF(Cargas!$C$6:$C$1064,C822,Cargas!$O$6:$O$1064)</f>
        <v>0</v>
      </c>
      <c r="J822" s="17">
        <f t="shared" si="13"/>
        <v>2160</v>
      </c>
      <c r="K822" s="34">
        <v>1421699</v>
      </c>
      <c r="L822" s="34">
        <v>39863</v>
      </c>
    </row>
    <row r="823" hidden="1">
      <c r="B823" s="64">
        <v>44607</v>
      </c>
      <c r="C823" s="9" t="s">
        <v>3450</v>
      </c>
      <c r="D823" s="6" t="s">
        <v>2295</v>
      </c>
      <c r="E823" s="6" t="s">
        <v>2220</v>
      </c>
      <c r="F823" s="6" t="s">
        <v>2226</v>
      </c>
      <c r="G823" s="6" t="s">
        <v>2258</v>
      </c>
      <c r="H823" s="7">
        <v>5400</v>
      </c>
      <c r="I823" s="8">
        <f>SUMIF(Cargas!$C$6:$C$1064,C823,Cargas!$O$6:$O$1064)</f>
        <v>0</v>
      </c>
      <c r="J823" s="17">
        <f t="shared" si="13"/>
        <v>5400</v>
      </c>
      <c r="K823" s="34">
        <v>1421700</v>
      </c>
      <c r="L823" s="34">
        <v>39561</v>
      </c>
    </row>
    <row r="824" hidden="1">
      <c r="B824" s="64">
        <v>44618</v>
      </c>
      <c r="C824" s="9" t="s">
        <v>3451</v>
      </c>
      <c r="D824" s="6" t="s">
        <v>2307</v>
      </c>
      <c r="E824" s="6" t="s">
        <v>2220</v>
      </c>
      <c r="F824" s="6" t="s">
        <v>2226</v>
      </c>
      <c r="G824" s="6" t="s">
        <v>2258</v>
      </c>
      <c r="H824" s="7">
        <v>1080</v>
      </c>
      <c r="I824" s="8">
        <f>SUMIF(Cargas!$C$6:$C$1064,C824,Cargas!$O$6:$O$1064)</f>
        <v>0</v>
      </c>
      <c r="J824" s="17">
        <f t="shared" si="13"/>
        <v>1080</v>
      </c>
      <c r="K824" s="34">
        <v>1421699</v>
      </c>
      <c r="L824" s="34">
        <v>46150</v>
      </c>
    </row>
    <row r="825" hidden="1">
      <c r="B825" s="64">
        <v>44618</v>
      </c>
      <c r="C825" s="9" t="s">
        <v>3452</v>
      </c>
      <c r="D825" s="6" t="s">
        <v>2309</v>
      </c>
      <c r="E825" s="6" t="s">
        <v>2220</v>
      </c>
      <c r="F825" s="6" t="s">
        <v>2226</v>
      </c>
      <c r="G825" s="6" t="s">
        <v>2258</v>
      </c>
      <c r="H825" s="7">
        <v>4320</v>
      </c>
      <c r="I825" s="8">
        <f>SUMIF(Cargas!$C$6:$C$1064,C825,Cargas!$O$6:$O$1064)</f>
        <v>0</v>
      </c>
      <c r="J825" s="17">
        <f t="shared" si="13"/>
        <v>4320</v>
      </c>
      <c r="K825" s="34">
        <v>1422047</v>
      </c>
      <c r="L825" s="34">
        <v>46150</v>
      </c>
    </row>
    <row r="826" hidden="1">
      <c r="B826" s="64">
        <v>44623</v>
      </c>
      <c r="C826" s="9" t="s">
        <v>3453</v>
      </c>
      <c r="D826" s="6" t="s">
        <v>2319</v>
      </c>
      <c r="E826" s="6" t="s">
        <v>2220</v>
      </c>
      <c r="F826" s="6" t="s">
        <v>2226</v>
      </c>
      <c r="G826" s="6" t="s">
        <v>2227</v>
      </c>
      <c r="H826" s="7">
        <v>3240</v>
      </c>
      <c r="I826" s="8">
        <f>SUMIF(Cargas!$C$6:$C$1064,C826,Cargas!$O$6:$O$1064)</f>
        <v>0</v>
      </c>
      <c r="J826" s="17">
        <f t="shared" si="13"/>
        <v>3240</v>
      </c>
      <c r="K826" s="34">
        <v>1423194</v>
      </c>
      <c r="L826" s="34">
        <v>50415</v>
      </c>
    </row>
    <row r="827" hidden="1">
      <c r="B827" s="64">
        <v>44623</v>
      </c>
      <c r="C827" s="9" t="s">
        <v>3454</v>
      </c>
      <c r="D827" s="6" t="s">
        <v>2325</v>
      </c>
      <c r="E827" s="6" t="s">
        <v>2220</v>
      </c>
      <c r="F827" s="6" t="s">
        <v>2226</v>
      </c>
      <c r="G827" s="6" t="s">
        <v>2227</v>
      </c>
      <c r="H827" s="7">
        <v>1080</v>
      </c>
      <c r="I827" s="8">
        <f>SUMIF(Cargas!$C$6:$C$1064,C827,Cargas!$O$6:$O$1064)</f>
        <v>0</v>
      </c>
      <c r="J827" s="17">
        <f t="shared" si="13"/>
        <v>1080</v>
      </c>
      <c r="K827" s="34">
        <v>1422046</v>
      </c>
      <c r="L827" s="34" t="s">
        <v>29</v>
      </c>
    </row>
    <row r="828" hidden="1">
      <c r="B828" s="64">
        <v>44623</v>
      </c>
      <c r="C828" s="9" t="s">
        <v>3455</v>
      </c>
      <c r="D828" s="6" t="s">
        <v>2331</v>
      </c>
      <c r="E828" s="6" t="s">
        <v>2220</v>
      </c>
      <c r="F828" s="6" t="s">
        <v>2226</v>
      </c>
      <c r="G828" s="6" t="s">
        <v>2258</v>
      </c>
      <c r="H828" s="7">
        <v>1080</v>
      </c>
      <c r="I828" s="8">
        <f>SUMIF(Cargas!$C$6:$C$1064,C828,Cargas!$O$6:$O$1064)</f>
        <v>0</v>
      </c>
      <c r="J828" s="17">
        <f t="shared" si="13"/>
        <v>1080</v>
      </c>
      <c r="K828" s="34">
        <v>1422050</v>
      </c>
      <c r="L828" s="34">
        <v>49208</v>
      </c>
    </row>
    <row r="829" hidden="1">
      <c r="A829" s="0" t="s">
        <v>0</v>
      </c>
      <c r="B829" s="64">
        <v>44224</v>
      </c>
      <c r="C829" s="9" t="s">
        <v>3456</v>
      </c>
      <c r="D829" s="6" t="s">
        <v>3457</v>
      </c>
      <c r="E829" s="6" t="s">
        <v>3458</v>
      </c>
      <c r="F829" s="6" t="s">
        <v>2221</v>
      </c>
      <c r="G829" s="6" t="s">
        <v>2222</v>
      </c>
      <c r="H829" s="7">
        <v>1449</v>
      </c>
      <c r="I829" s="8">
        <f>SUMIF(Cargas!$C$6:$C$1064,C829,Cargas!$O$6:$O$1064)</f>
        <v>0</v>
      </c>
      <c r="J829" s="17">
        <f t="shared" si="13"/>
        <v>1449</v>
      </c>
      <c r="K829" s="34">
        <v>30221</v>
      </c>
      <c r="L829" s="34" t="s">
        <v>29</v>
      </c>
    </row>
    <row r="830" hidden="1">
      <c r="B830" s="64">
        <v>44314</v>
      </c>
      <c r="C830" s="9" t="s">
        <v>3459</v>
      </c>
      <c r="D830" s="6" t="s">
        <v>3460</v>
      </c>
      <c r="E830" s="6" t="s">
        <v>3003</v>
      </c>
      <c r="F830" s="6" t="s">
        <v>2226</v>
      </c>
      <c r="G830" s="6" t="s">
        <v>2227</v>
      </c>
      <c r="H830" s="7">
        <v>1920</v>
      </c>
      <c r="I830" s="8">
        <f>SUMIF(Cargas!$C$6:$C$1064,C830,Cargas!$O$6:$O$1064)</f>
        <v>0</v>
      </c>
      <c r="J830" s="17">
        <f t="shared" si="13"/>
        <v>1920</v>
      </c>
      <c r="K830" s="34">
        <v>1397112</v>
      </c>
      <c r="L830" s="34">
        <v>76242</v>
      </c>
    </row>
    <row r="831" hidden="1">
      <c r="B831" s="64">
        <v>44623</v>
      </c>
      <c r="C831" s="9" t="s">
        <v>3461</v>
      </c>
      <c r="D831" s="6" t="s">
        <v>2335</v>
      </c>
      <c r="E831" s="6" t="s">
        <v>2220</v>
      </c>
      <c r="F831" s="6" t="s">
        <v>2226</v>
      </c>
      <c r="G831" s="6" t="s">
        <v>2258</v>
      </c>
      <c r="H831" s="7">
        <v>4320</v>
      </c>
      <c r="I831" s="8">
        <f>SUMIF(Cargas!$C$6:$C$1064,C831,Cargas!$O$6:$O$1064)</f>
        <v>0</v>
      </c>
      <c r="J831" s="17">
        <f t="shared" si="13"/>
        <v>4320</v>
      </c>
      <c r="K831" s="34">
        <v>1422050</v>
      </c>
      <c r="L831" s="34">
        <v>49068</v>
      </c>
    </row>
    <row r="832" hidden="1">
      <c r="B832" s="64">
        <v>44628</v>
      </c>
      <c r="C832" s="9" t="s">
        <v>3462</v>
      </c>
      <c r="D832" s="6" t="s">
        <v>2346</v>
      </c>
      <c r="E832" s="6" t="s">
        <v>2220</v>
      </c>
      <c r="F832" s="6" t="s">
        <v>2226</v>
      </c>
      <c r="G832" s="6" t="s">
        <v>2258</v>
      </c>
      <c r="H832" s="7">
        <v>3240</v>
      </c>
      <c r="I832" s="8">
        <f>SUMIF(Cargas!$C$6:$C$1064,C832,Cargas!$O$6:$O$1064)</f>
        <v>0</v>
      </c>
      <c r="J832" s="17">
        <f t="shared" si="13"/>
        <v>3240</v>
      </c>
      <c r="K832" s="34">
        <v>1423196</v>
      </c>
      <c r="L832" s="34">
        <v>55093</v>
      </c>
    </row>
    <row r="833" hidden="1">
      <c r="B833" s="64">
        <v>44628</v>
      </c>
      <c r="C833" s="9" t="s">
        <v>3463</v>
      </c>
      <c r="D833" s="6" t="s">
        <v>2361</v>
      </c>
      <c r="E833" s="6" t="s">
        <v>2220</v>
      </c>
      <c r="F833" s="6" t="s">
        <v>2226</v>
      </c>
      <c r="G833" s="6" t="s">
        <v>2258</v>
      </c>
      <c r="H833" s="7">
        <v>2192</v>
      </c>
      <c r="I833" s="8">
        <f>SUMIF(Cargas!$C$6:$C$1064,C833,Cargas!$O$6:$O$1064)</f>
        <v>0</v>
      </c>
      <c r="J833" s="17">
        <f t="shared" si="13"/>
        <v>2192</v>
      </c>
      <c r="K833" s="34">
        <v>1423194</v>
      </c>
      <c r="L833" s="34">
        <v>55026</v>
      </c>
    </row>
    <row r="834" hidden="1">
      <c r="B834" s="64">
        <v>44628</v>
      </c>
      <c r="C834" s="9" t="s">
        <v>3464</v>
      </c>
      <c r="D834" s="6" t="s">
        <v>2371</v>
      </c>
      <c r="E834" s="6" t="s">
        <v>2220</v>
      </c>
      <c r="F834" s="6" t="s">
        <v>2226</v>
      </c>
      <c r="G834" s="6" t="s">
        <v>2227</v>
      </c>
      <c r="H834" s="7">
        <v>3240</v>
      </c>
      <c r="I834" s="8">
        <f>SUMIF(Cargas!$C$6:$C$1064,C834,Cargas!$O$6:$O$1064)</f>
        <v>0</v>
      </c>
      <c r="J834" s="17">
        <f t="shared" si="13"/>
        <v>3240</v>
      </c>
      <c r="K834" s="34">
        <v>1424039</v>
      </c>
      <c r="L834" s="34">
        <v>53918</v>
      </c>
    </row>
    <row r="835" hidden="1">
      <c r="B835" s="64">
        <v>44639</v>
      </c>
      <c r="C835" s="9" t="s">
        <v>3465</v>
      </c>
      <c r="D835" s="6" t="s">
        <v>2391</v>
      </c>
      <c r="E835" s="6" t="s">
        <v>2220</v>
      </c>
      <c r="F835" s="6" t="s">
        <v>2226</v>
      </c>
      <c r="G835" s="6" t="s">
        <v>2227</v>
      </c>
      <c r="H835" s="7">
        <v>2160</v>
      </c>
      <c r="I835" s="8">
        <f>SUMIF(Cargas!$C$6:$C$1064,C835,Cargas!$O$6:$O$1064)</f>
        <v>0</v>
      </c>
      <c r="J835" s="17">
        <f t="shared" si="13"/>
        <v>2160</v>
      </c>
      <c r="K835" s="34">
        <v>1423197</v>
      </c>
      <c r="L835" s="34">
        <v>6196</v>
      </c>
    </row>
    <row r="836" hidden="1">
      <c r="B836" s="64">
        <v>44635</v>
      </c>
      <c r="C836" s="9" t="s">
        <v>3466</v>
      </c>
      <c r="D836" s="6" t="s">
        <v>2400</v>
      </c>
      <c r="E836" s="6" t="s">
        <v>2220</v>
      </c>
      <c r="F836" s="6" t="s">
        <v>2226</v>
      </c>
      <c r="G836" s="6" t="s">
        <v>2258</v>
      </c>
      <c r="H836" s="7">
        <v>2160</v>
      </c>
      <c r="I836" s="8">
        <f>SUMIF(Cargas!$C$6:$C$1064,C836,Cargas!$O$6:$O$1064)</f>
        <v>0</v>
      </c>
      <c r="J836" s="17">
        <f t="shared" si="13"/>
        <v>2160</v>
      </c>
      <c r="K836" s="34">
        <v>1423199</v>
      </c>
      <c r="L836" s="34">
        <v>6166</v>
      </c>
    </row>
    <row r="837" hidden="1">
      <c r="B837" s="64">
        <v>44635</v>
      </c>
      <c r="C837" s="9" t="s">
        <v>3467</v>
      </c>
      <c r="D837" s="6" t="s">
        <v>2408</v>
      </c>
      <c r="E837" s="6" t="s">
        <v>2220</v>
      </c>
      <c r="F837" s="6" t="s">
        <v>2226</v>
      </c>
      <c r="G837" s="6" t="s">
        <v>2258</v>
      </c>
      <c r="H837" s="7">
        <v>1112</v>
      </c>
      <c r="I837" s="8">
        <f>SUMIF(Cargas!$C$6:$C$1064,C837,Cargas!$O$6:$O$1064)</f>
        <v>0</v>
      </c>
      <c r="J837" s="17">
        <f t="shared" si="13"/>
        <v>1112</v>
      </c>
      <c r="K837" s="34">
        <v>1423198</v>
      </c>
      <c r="L837" s="34">
        <v>6167</v>
      </c>
    </row>
    <row r="838" hidden="1">
      <c r="B838" s="64">
        <v>44646</v>
      </c>
      <c r="C838" s="9" t="s">
        <v>3468</v>
      </c>
      <c r="D838" s="6" t="s">
        <v>2414</v>
      </c>
      <c r="E838" s="6" t="s">
        <v>2220</v>
      </c>
      <c r="F838" s="6" t="s">
        <v>2226</v>
      </c>
      <c r="G838" s="6" t="s">
        <v>2227</v>
      </c>
      <c r="H838" s="7">
        <v>3240</v>
      </c>
      <c r="I838" s="8">
        <f>SUMIF(Cargas!$C$6:$C$1064,C838,Cargas!$O$6:$O$1064)</f>
        <v>0</v>
      </c>
      <c r="J838" s="17">
        <f t="shared" si="13"/>
        <v>3240</v>
      </c>
      <c r="K838" s="34">
        <v>1424146</v>
      </c>
      <c r="L838" s="34">
        <v>63051</v>
      </c>
    </row>
    <row r="839" hidden="1">
      <c r="B839" s="64">
        <v>44642</v>
      </c>
      <c r="C839" s="9" t="s">
        <v>3469</v>
      </c>
      <c r="D839" s="6" t="s">
        <v>2420</v>
      </c>
      <c r="E839" s="6" t="s">
        <v>2220</v>
      </c>
      <c r="F839" s="6" t="s">
        <v>2226</v>
      </c>
      <c r="G839" s="6" t="s">
        <v>2258</v>
      </c>
      <c r="H839" s="7">
        <v>3240</v>
      </c>
      <c r="I839" s="8">
        <f>SUMIF(Cargas!$C$6:$C$1064,C839,Cargas!$O$6:$O$1064)</f>
        <v>0</v>
      </c>
      <c r="J839" s="17">
        <f t="shared" si="13"/>
        <v>3240</v>
      </c>
      <c r="K839" s="34">
        <v>1424147</v>
      </c>
      <c r="L839" s="34">
        <v>63737</v>
      </c>
    </row>
    <row r="840" hidden="1">
      <c r="B840" s="64">
        <v>44642</v>
      </c>
      <c r="C840" s="9" t="s">
        <v>3470</v>
      </c>
      <c r="D840" s="6" t="s">
        <v>2428</v>
      </c>
      <c r="E840" s="6" t="s">
        <v>2220</v>
      </c>
      <c r="F840" s="6" t="s">
        <v>2226</v>
      </c>
      <c r="G840" s="6" t="s">
        <v>2282</v>
      </c>
      <c r="H840" s="7">
        <v>1112</v>
      </c>
      <c r="I840" s="8">
        <f>SUMIF(Cargas!$C$6:$C$1064,C840,Cargas!$O$6:$O$1064)</f>
        <v>0</v>
      </c>
      <c r="J840" s="17">
        <f t="shared" si="13"/>
        <v>1112</v>
      </c>
      <c r="K840" s="34">
        <v>1424148</v>
      </c>
      <c r="L840" s="34">
        <v>63814</v>
      </c>
    </row>
    <row r="841" hidden="1">
      <c r="B841" s="64">
        <v>44649</v>
      </c>
      <c r="C841" s="9" t="s">
        <v>3471</v>
      </c>
      <c r="D841" s="6" t="s">
        <v>2840</v>
      </c>
      <c r="E841" s="6" t="s">
        <v>2220</v>
      </c>
      <c r="F841" s="6" t="s">
        <v>2226</v>
      </c>
      <c r="G841" s="6" t="s">
        <v>2258</v>
      </c>
      <c r="H841" s="7">
        <v>2160</v>
      </c>
      <c r="I841" s="8">
        <f>SUMIF(Cargas!$C$6:$C$1064,C841,Cargas!$O$6:$O$1064)</f>
        <v>0</v>
      </c>
      <c r="J841" s="17">
        <f t="shared" si="13"/>
        <v>2160</v>
      </c>
      <c r="K841" s="34">
        <v>1424927</v>
      </c>
      <c r="L841" s="34">
        <v>67040</v>
      </c>
    </row>
    <row r="842" hidden="1">
      <c r="B842" s="64">
        <v>44649</v>
      </c>
      <c r="C842" s="9" t="s">
        <v>3472</v>
      </c>
      <c r="D842" s="6" t="s">
        <v>2440</v>
      </c>
      <c r="E842" s="6" t="s">
        <v>2220</v>
      </c>
      <c r="F842" s="6" t="s">
        <v>2226</v>
      </c>
      <c r="G842" s="6" t="s">
        <v>2258</v>
      </c>
      <c r="H842" s="7">
        <v>2192</v>
      </c>
      <c r="I842" s="8">
        <f>SUMIF(Cargas!$C$6:$C$1064,C842,Cargas!$O$6:$O$1064)</f>
        <v>0</v>
      </c>
      <c r="J842" s="17">
        <f t="shared" si="13"/>
        <v>2192</v>
      </c>
      <c r="K842" s="34">
        <v>1424928</v>
      </c>
      <c r="L842" s="34">
        <v>67148</v>
      </c>
    </row>
    <row r="843" hidden="1">
      <c r="B843" s="64">
        <v>44653</v>
      </c>
      <c r="C843" s="9" t="s">
        <v>3473</v>
      </c>
      <c r="D843" s="6" t="s">
        <v>2444</v>
      </c>
      <c r="E843" s="6" t="s">
        <v>2220</v>
      </c>
      <c r="F843" s="6" t="s">
        <v>2226</v>
      </c>
      <c r="G843" s="6" t="s">
        <v>2227</v>
      </c>
      <c r="H843" s="7">
        <v>2160</v>
      </c>
      <c r="I843" s="8">
        <f>SUMIF(Cargas!$C$6:$C$1064,C843,Cargas!$O$6:$O$1064)</f>
        <v>0</v>
      </c>
      <c r="J843" s="17">
        <f t="shared" si="13"/>
        <v>2160</v>
      </c>
      <c r="K843" s="34">
        <v>1424934</v>
      </c>
      <c r="L843" s="34">
        <v>66985</v>
      </c>
    </row>
    <row r="844" hidden="1">
      <c r="B844" s="64">
        <v>44656</v>
      </c>
      <c r="C844" s="9" t="s">
        <v>3474</v>
      </c>
      <c r="D844" s="6" t="s">
        <v>2446</v>
      </c>
      <c r="E844" s="6" t="s">
        <v>2220</v>
      </c>
      <c r="F844" s="6" t="s">
        <v>2226</v>
      </c>
      <c r="G844" s="6" t="s">
        <v>2227</v>
      </c>
      <c r="H844" s="7">
        <v>3240</v>
      </c>
      <c r="I844" s="8">
        <f>SUMIF(Cargas!$C$6:$C$1064,C844,Cargas!$O$6:$O$1064)</f>
        <v>0</v>
      </c>
      <c r="J844" s="17">
        <f ref="J844:J907" t="shared" si="14">IF(ABS(H844-I844)&lt;20,0,H844-I844)</f>
        <v>3240</v>
      </c>
      <c r="K844" s="34">
        <v>1425329</v>
      </c>
      <c r="L844" s="34">
        <v>70719</v>
      </c>
    </row>
    <row r="845" hidden="1">
      <c r="B845" s="64">
        <v>44660</v>
      </c>
      <c r="C845" s="9" t="s">
        <v>3475</v>
      </c>
      <c r="D845" s="6" t="s">
        <v>2454</v>
      </c>
      <c r="E845" s="6" t="s">
        <v>2220</v>
      </c>
      <c r="F845" s="6" t="s">
        <v>2226</v>
      </c>
      <c r="G845" s="6" t="s">
        <v>2258</v>
      </c>
      <c r="H845" s="7">
        <v>2160</v>
      </c>
      <c r="I845" s="8">
        <f>SUMIF(Cargas!$C$6:$C$1064,C845,Cargas!$O$6:$O$1064)</f>
        <v>0</v>
      </c>
      <c r="J845" s="17">
        <f t="shared" si="14"/>
        <v>2160</v>
      </c>
      <c r="K845" s="34">
        <v>1425330</v>
      </c>
      <c r="L845" s="34">
        <v>71792</v>
      </c>
    </row>
    <row r="846" hidden="1">
      <c r="B846" s="64">
        <v>44660</v>
      </c>
      <c r="C846" s="9" t="s">
        <v>3476</v>
      </c>
      <c r="D846" s="6" t="s">
        <v>2456</v>
      </c>
      <c r="E846" s="6" t="s">
        <v>2220</v>
      </c>
      <c r="F846" s="6" t="s">
        <v>2226</v>
      </c>
      <c r="G846" s="6" t="s">
        <v>2258</v>
      </c>
      <c r="H846" s="7">
        <v>1112</v>
      </c>
      <c r="I846" s="8">
        <f>SUMIF(Cargas!$C$6:$C$1064,C846,Cargas!$O$6:$O$1064)</f>
        <v>0</v>
      </c>
      <c r="J846" s="17">
        <f t="shared" si="14"/>
        <v>1112</v>
      </c>
      <c r="K846" s="34">
        <v>1425331</v>
      </c>
      <c r="L846" s="34">
        <v>71983</v>
      </c>
    </row>
    <row r="847" hidden="1">
      <c r="B847" s="64">
        <v>44661</v>
      </c>
      <c r="C847" s="9" t="s">
        <v>3477</v>
      </c>
      <c r="D847" s="6" t="s">
        <v>2460</v>
      </c>
      <c r="E847" s="6" t="s">
        <v>2220</v>
      </c>
      <c r="F847" s="6" t="s">
        <v>2226</v>
      </c>
      <c r="G847" s="6" t="s">
        <v>2258</v>
      </c>
      <c r="H847" s="7">
        <v>1112</v>
      </c>
      <c r="I847" s="8">
        <f>SUMIF(Cargas!$C$6:$C$1064,C847,Cargas!$O$6:$O$1064)</f>
        <v>0</v>
      </c>
      <c r="J847" s="17">
        <f t="shared" si="14"/>
        <v>1112</v>
      </c>
      <c r="K847" s="34">
        <v>1425897</v>
      </c>
      <c r="L847" s="34">
        <v>76059</v>
      </c>
    </row>
    <row r="848" hidden="1">
      <c r="B848" s="64">
        <v>44661</v>
      </c>
      <c r="C848" s="9" t="s">
        <v>3478</v>
      </c>
      <c r="D848" s="6" t="s">
        <v>2475</v>
      </c>
      <c r="E848" s="6" t="s">
        <v>2220</v>
      </c>
      <c r="F848" s="6" t="s">
        <v>2226</v>
      </c>
      <c r="G848" s="6" t="s">
        <v>2282</v>
      </c>
      <c r="H848" s="7">
        <v>2160</v>
      </c>
      <c r="I848" s="8">
        <f>SUMIF(Cargas!$C$6:$C$1064,C848,Cargas!$O$6:$O$1064)</f>
        <v>0</v>
      </c>
      <c r="J848" s="17">
        <f t="shared" si="14"/>
        <v>2160</v>
      </c>
      <c r="K848" s="34">
        <v>1425896</v>
      </c>
      <c r="L848" s="34">
        <v>75916</v>
      </c>
    </row>
    <row r="849" hidden="1">
      <c r="B849" s="64">
        <v>44670</v>
      </c>
      <c r="C849" s="9" t="s">
        <v>3479</v>
      </c>
      <c r="D849" s="6" t="s">
        <v>2486</v>
      </c>
      <c r="E849" s="6" t="s">
        <v>2220</v>
      </c>
      <c r="F849" s="6" t="s">
        <v>2226</v>
      </c>
      <c r="G849" s="6" t="s">
        <v>2258</v>
      </c>
      <c r="H849" s="7">
        <v>1080</v>
      </c>
      <c r="I849" s="8">
        <f>SUMIF(Cargas!$C$6:$C$1064,C849,Cargas!$O$6:$O$1064)</f>
        <v>0</v>
      </c>
      <c r="J849" s="17">
        <f t="shared" si="14"/>
        <v>1080</v>
      </c>
      <c r="K849" s="34">
        <v>1425795</v>
      </c>
      <c r="L849" s="34">
        <v>80875</v>
      </c>
    </row>
    <row r="850" hidden="1">
      <c r="B850" s="64">
        <v>44670</v>
      </c>
      <c r="C850" s="9" t="s">
        <v>3480</v>
      </c>
      <c r="D850" s="6" t="s">
        <v>2492</v>
      </c>
      <c r="E850" s="6" t="s">
        <v>2220</v>
      </c>
      <c r="F850" s="6" t="s">
        <v>2226</v>
      </c>
      <c r="G850" s="6" t="s">
        <v>2258</v>
      </c>
      <c r="H850" s="7">
        <v>1112</v>
      </c>
      <c r="I850" s="8">
        <f>SUMIF(Cargas!$C$6:$C$1064,C850,Cargas!$O$6:$O$1064)</f>
        <v>0</v>
      </c>
      <c r="J850" s="17">
        <f t="shared" si="14"/>
        <v>1112</v>
      </c>
      <c r="K850" s="34">
        <v>1425795</v>
      </c>
      <c r="L850" s="34">
        <v>80875</v>
      </c>
    </row>
    <row r="851" hidden="1">
      <c r="B851" s="64">
        <v>44670</v>
      </c>
      <c r="C851" s="9" t="s">
        <v>3481</v>
      </c>
      <c r="D851" s="6" t="s">
        <v>2500</v>
      </c>
      <c r="E851" s="6" t="s">
        <v>2220</v>
      </c>
      <c r="F851" s="6" t="s">
        <v>2226</v>
      </c>
      <c r="G851" s="6" t="s">
        <v>2227</v>
      </c>
      <c r="H851" s="7">
        <v>2160</v>
      </c>
      <c r="I851" s="8">
        <f>SUMIF(Cargas!$C$6:$C$1064,C851,Cargas!$O$6:$O$1064)</f>
        <v>0</v>
      </c>
      <c r="J851" s="17">
        <f t="shared" si="14"/>
        <v>2160</v>
      </c>
      <c r="K851" s="34">
        <v>1425797</v>
      </c>
      <c r="L851" s="34">
        <v>81590</v>
      </c>
    </row>
    <row r="852" hidden="1">
      <c r="B852" s="64">
        <v>44674</v>
      </c>
      <c r="C852" s="9" t="s">
        <v>3482</v>
      </c>
      <c r="D852" s="6" t="s">
        <v>2502</v>
      </c>
      <c r="E852" s="6" t="s">
        <v>2220</v>
      </c>
      <c r="F852" s="6" t="s">
        <v>2226</v>
      </c>
      <c r="G852" s="6" t="s">
        <v>2227</v>
      </c>
      <c r="H852" s="7">
        <v>2160</v>
      </c>
      <c r="I852" s="8">
        <f>SUMIF(Cargas!$C$6:$C$1064,C852,Cargas!$O$6:$O$1064)</f>
        <v>0</v>
      </c>
      <c r="J852" s="17">
        <f t="shared" si="14"/>
        <v>2160</v>
      </c>
      <c r="K852" s="34">
        <v>1426642</v>
      </c>
      <c r="L852" s="34">
        <v>6277</v>
      </c>
    </row>
    <row r="853" hidden="1">
      <c r="B853" s="64">
        <v>44685</v>
      </c>
      <c r="C853" s="9" t="s">
        <v>3483</v>
      </c>
      <c r="D853" s="6" t="s">
        <v>2508</v>
      </c>
      <c r="E853" s="6" t="s">
        <v>2220</v>
      </c>
      <c r="F853" s="6" t="s">
        <v>2226</v>
      </c>
      <c r="G853" s="6" t="s">
        <v>2227</v>
      </c>
      <c r="H853" s="7">
        <v>2160</v>
      </c>
      <c r="I853" s="8">
        <f>SUMIF(Cargas!$C$6:$C$1064,C853,Cargas!$O$6:$O$1064)</f>
        <v>0</v>
      </c>
      <c r="J853" s="17">
        <f t="shared" si="14"/>
        <v>2160</v>
      </c>
      <c r="K853" s="34">
        <v>1427171</v>
      </c>
      <c r="L853" s="34">
        <v>94548</v>
      </c>
    </row>
    <row r="854" hidden="1">
      <c r="B854" s="64">
        <v>44674</v>
      </c>
      <c r="C854" s="9" t="s">
        <v>3484</v>
      </c>
      <c r="D854" s="6" t="s">
        <v>2514</v>
      </c>
      <c r="E854" s="6" t="s">
        <v>2220</v>
      </c>
      <c r="F854" s="6" t="s">
        <v>2226</v>
      </c>
      <c r="G854" s="6" t="s">
        <v>2258</v>
      </c>
      <c r="H854" s="7">
        <v>3288</v>
      </c>
      <c r="I854" s="8">
        <f>SUMIF(Cargas!$C$6:$C$1064,C854,Cargas!$O$6:$O$1064)</f>
        <v>0</v>
      </c>
      <c r="J854" s="17">
        <f t="shared" si="14"/>
        <v>3288</v>
      </c>
      <c r="K854" s="34">
        <v>1425797</v>
      </c>
      <c r="L854" s="34">
        <v>89181</v>
      </c>
    </row>
    <row r="855" hidden="1">
      <c r="B855" s="64">
        <v>44691</v>
      </c>
      <c r="C855" s="9" t="s">
        <v>3485</v>
      </c>
      <c r="D855" s="6" t="s">
        <v>2520</v>
      </c>
      <c r="E855" s="6" t="s">
        <v>2220</v>
      </c>
      <c r="F855" s="6" t="s">
        <v>2226</v>
      </c>
      <c r="G855" s="6" t="s">
        <v>2227</v>
      </c>
      <c r="H855" s="7">
        <v>3240</v>
      </c>
      <c r="I855" s="8">
        <f>SUMIF(Cargas!$C$6:$C$1064,C855,Cargas!$O$6:$O$1064)</f>
        <v>0</v>
      </c>
      <c r="J855" s="17">
        <f t="shared" si="14"/>
        <v>3240</v>
      </c>
      <c r="K855" s="34">
        <v>1427802</v>
      </c>
      <c r="L855" s="34">
        <v>92274</v>
      </c>
    </row>
    <row r="856" hidden="1">
      <c r="B856" s="64">
        <v>44691</v>
      </c>
      <c r="C856" s="9" t="s">
        <v>3486</v>
      </c>
      <c r="D856" s="6" t="s">
        <v>2524</v>
      </c>
      <c r="E856" s="6" t="s">
        <v>2220</v>
      </c>
      <c r="F856" s="6" t="s">
        <v>2226</v>
      </c>
      <c r="G856" s="6" t="s">
        <v>2258</v>
      </c>
      <c r="H856" s="7">
        <v>2160</v>
      </c>
      <c r="I856" s="8">
        <f>SUMIF(Cargas!$C$6:$C$1064,C856,Cargas!$O$6:$O$1064)</f>
        <v>0</v>
      </c>
      <c r="J856" s="17">
        <f t="shared" si="14"/>
        <v>2160</v>
      </c>
      <c r="K856" s="34">
        <v>1427803</v>
      </c>
      <c r="L856" s="34">
        <v>93688</v>
      </c>
    </row>
    <row r="857" hidden="1">
      <c r="B857" s="64">
        <v>44691</v>
      </c>
      <c r="C857" s="9" t="s">
        <v>3487</v>
      </c>
      <c r="D857" s="6" t="s">
        <v>2530</v>
      </c>
      <c r="E857" s="6" t="s">
        <v>2220</v>
      </c>
      <c r="F857" s="6" t="s">
        <v>2226</v>
      </c>
      <c r="G857" s="6" t="s">
        <v>2258</v>
      </c>
      <c r="H857" s="7">
        <v>1112</v>
      </c>
      <c r="I857" s="8">
        <f>SUMIF(Cargas!$C$6:$C$1064,C857,Cargas!$O$6:$O$1064)</f>
        <v>0</v>
      </c>
      <c r="J857" s="17">
        <f t="shared" si="14"/>
        <v>1112</v>
      </c>
      <c r="K857" s="34">
        <v>1427804</v>
      </c>
      <c r="L857" s="34">
        <v>93667</v>
      </c>
    </row>
    <row r="858" hidden="1">
      <c r="B858" s="64">
        <v>44695</v>
      </c>
      <c r="C858" s="9" t="s">
        <v>3488</v>
      </c>
      <c r="D858" s="6" t="s">
        <v>2532</v>
      </c>
      <c r="E858" s="6" t="s">
        <v>2220</v>
      </c>
      <c r="F858" s="6" t="s">
        <v>2226</v>
      </c>
      <c r="G858" s="6" t="s">
        <v>2227</v>
      </c>
      <c r="H858" s="7">
        <v>3256</v>
      </c>
      <c r="I858" s="8">
        <f>SUMIF(Cargas!$C$6:$C$1064,C858,Cargas!$O$6:$O$1064)</f>
        <v>0</v>
      </c>
      <c r="J858" s="17">
        <f t="shared" si="14"/>
        <v>3256</v>
      </c>
      <c r="K858" s="34">
        <v>1428561</v>
      </c>
      <c r="L858" s="34">
        <v>92419</v>
      </c>
    </row>
    <row r="859" hidden="1">
      <c r="B859" s="64">
        <v>44705</v>
      </c>
      <c r="C859" s="9" t="s">
        <v>3489</v>
      </c>
      <c r="D859" s="6" t="s">
        <v>2528</v>
      </c>
      <c r="E859" s="6" t="s">
        <v>2220</v>
      </c>
      <c r="F859" s="6" t="s">
        <v>2226</v>
      </c>
      <c r="G859" s="6" t="s">
        <v>2258</v>
      </c>
      <c r="H859" s="7">
        <v>4320</v>
      </c>
      <c r="I859" s="8">
        <f>SUMIF(Cargas!$C$6:$C$1064,C859,Cargas!$O$6:$O$1064)</f>
        <v>0</v>
      </c>
      <c r="J859" s="17">
        <f t="shared" si="14"/>
        <v>4320</v>
      </c>
      <c r="K859" s="34">
        <v>1428561</v>
      </c>
      <c r="L859" s="34"/>
    </row>
    <row r="860" hidden="1">
      <c r="B860" s="64">
        <v>44705</v>
      </c>
      <c r="C860" s="9" t="s">
        <v>3490</v>
      </c>
      <c r="D860" s="6" t="s">
        <v>2542</v>
      </c>
      <c r="E860" s="6" t="s">
        <v>2220</v>
      </c>
      <c r="F860" s="6" t="s">
        <v>2226</v>
      </c>
      <c r="G860" s="6" t="s">
        <v>2258</v>
      </c>
      <c r="H860" s="7">
        <v>1112</v>
      </c>
      <c r="I860" s="8">
        <f>SUMIF(Cargas!$C$6:$C$1064,C860,Cargas!$O$6:$O$1064)</f>
        <v>0</v>
      </c>
      <c r="J860" s="17">
        <f t="shared" si="14"/>
        <v>1112</v>
      </c>
      <c r="K860" s="34">
        <v>1428561</v>
      </c>
      <c r="L860" s="34">
        <v>103886</v>
      </c>
    </row>
    <row r="861" hidden="1">
      <c r="B861" s="64">
        <v>45476</v>
      </c>
      <c r="C861" s="9" t="s">
        <v>315</v>
      </c>
      <c r="D861" s="6" t="s">
        <v>2442</v>
      </c>
      <c r="E861" s="6" t="s">
        <v>3491</v>
      </c>
      <c r="F861" s="6" t="s">
        <v>2226</v>
      </c>
      <c r="G861" s="6" t="s">
        <v>2282</v>
      </c>
      <c r="H861" s="7">
        <v>2392</v>
      </c>
      <c r="I861" s="8">
        <f>SUMIF(Cargas!$C$6:$C$1064,C861,Cargas!$O$6:$O$1064)</f>
        <v>2392</v>
      </c>
      <c r="J861" s="17">
        <f t="shared" si="14"/>
        <v>0</v>
      </c>
      <c r="K861" s="34"/>
      <c r="L861" s="34">
        <v>129768</v>
      </c>
    </row>
    <row r="862" hidden="1">
      <c r="B862" s="64">
        <v>44707</v>
      </c>
      <c r="C862" s="9" t="s">
        <v>3492</v>
      </c>
      <c r="D862" s="6" t="s">
        <v>2550</v>
      </c>
      <c r="E862" s="6" t="s">
        <v>2220</v>
      </c>
      <c r="F862" s="6" t="s">
        <v>2226</v>
      </c>
      <c r="G862" s="6" t="s">
        <v>2282</v>
      </c>
      <c r="H862" s="7">
        <v>1080</v>
      </c>
      <c r="I862" s="8">
        <f>SUMIF(Cargas!$C$6:$C$1064,C862,Cargas!$O$6:$O$1064)</f>
        <v>0</v>
      </c>
      <c r="J862" s="17">
        <f t="shared" si="14"/>
        <v>1080</v>
      </c>
      <c r="K862" s="34">
        <v>1428561</v>
      </c>
      <c r="L862" s="34">
        <v>99887</v>
      </c>
    </row>
    <row r="863" hidden="1">
      <c r="B863" s="64">
        <v>45503</v>
      </c>
      <c r="C863" s="9" t="s">
        <v>431</v>
      </c>
      <c r="D863" s="6" t="s">
        <v>2451</v>
      </c>
      <c r="E863" s="6" t="s">
        <v>2377</v>
      </c>
      <c r="F863" s="6" t="s">
        <v>2226</v>
      </c>
      <c r="G863" s="6" t="s">
        <v>3493</v>
      </c>
      <c r="H863" s="7">
        <f>192+960+1152</f>
        <v>2304</v>
      </c>
      <c r="I863" s="8">
        <f>SUMIF(Cargas!$C$6:$C$1064,C863,Cargas!$O$6:$O$1064)</f>
        <v>2304</v>
      </c>
      <c r="J863" s="17">
        <f t="shared" si="14"/>
        <v>0</v>
      </c>
      <c r="K863" s="34"/>
      <c r="L863" s="34">
        <v>152464</v>
      </c>
    </row>
    <row r="864" hidden="1">
      <c r="B864" s="64">
        <v>44713</v>
      </c>
      <c r="C864" s="9" t="s">
        <v>3494</v>
      </c>
      <c r="D864" s="6" t="s">
        <v>2554</v>
      </c>
      <c r="E864" s="6" t="s">
        <v>2220</v>
      </c>
      <c r="F864" s="6" t="s">
        <v>2226</v>
      </c>
      <c r="G864" s="6" t="s">
        <v>2258</v>
      </c>
      <c r="H864" s="7">
        <v>4336</v>
      </c>
      <c r="I864" s="8">
        <f>SUMIF(Cargas!$C$6:$C$1064,C864,Cargas!$O$6:$O$1064)</f>
        <v>0</v>
      </c>
      <c r="J864" s="17">
        <f t="shared" si="14"/>
        <v>4336</v>
      </c>
      <c r="K864" s="34">
        <v>1429696</v>
      </c>
      <c r="L864" s="34">
        <v>108627</v>
      </c>
    </row>
    <row r="865" hidden="1">
      <c r="B865" s="64">
        <v>45520</v>
      </c>
      <c r="C865" s="9" t="s">
        <v>457</v>
      </c>
      <c r="D865" s="6" t="s">
        <v>2480</v>
      </c>
      <c r="E865" s="6" t="s">
        <v>3491</v>
      </c>
      <c r="F865" s="6" t="s">
        <v>2226</v>
      </c>
      <c r="G865" s="6" t="s">
        <v>410</v>
      </c>
      <c r="H865" s="7">
        <v>2304</v>
      </c>
      <c r="I865" s="8">
        <f>SUMIF(Cargas!$C$6:$C$1064,C865,Cargas!$O$6:$O$1064)</f>
        <v>2304</v>
      </c>
      <c r="J865" s="17">
        <f t="shared" si="14"/>
        <v>0</v>
      </c>
      <c r="K865" s="34"/>
      <c r="L865" s="34">
        <v>162506</v>
      </c>
    </row>
    <row r="866" hidden="1">
      <c r="B866" s="64">
        <v>44713</v>
      </c>
      <c r="C866" s="9" t="s">
        <v>3495</v>
      </c>
      <c r="D866" s="6" t="s">
        <v>2562</v>
      </c>
      <c r="E866" s="6" t="s">
        <v>2220</v>
      </c>
      <c r="F866" s="6" t="s">
        <v>2226</v>
      </c>
      <c r="G866" s="6" t="s">
        <v>2258</v>
      </c>
      <c r="H866" s="7">
        <v>1112</v>
      </c>
      <c r="I866" s="8">
        <f>SUMIF(Cargas!$C$6:$C$1064,C866,Cargas!$O$6:$O$1064)</f>
        <v>0</v>
      </c>
      <c r="J866" s="17">
        <f t="shared" si="14"/>
        <v>1112</v>
      </c>
      <c r="K866" s="34">
        <v>1429696</v>
      </c>
      <c r="L866" s="34">
        <v>108744</v>
      </c>
    </row>
    <row r="867" hidden="1">
      <c r="B867" s="64">
        <v>45526</v>
      </c>
      <c r="C867" s="9" t="s">
        <v>492</v>
      </c>
      <c r="D867" s="6" t="s">
        <v>2518</v>
      </c>
      <c r="E867" s="6" t="s">
        <v>2377</v>
      </c>
      <c r="F867" s="6" t="s">
        <v>2226</v>
      </c>
      <c r="G867" s="6" t="s">
        <v>2258</v>
      </c>
      <c r="H867" s="7">
        <v>2304</v>
      </c>
      <c r="I867" s="8">
        <f>SUMIF(Cargas!$C$6:$C$1064,C867,Cargas!$O$6:$O$1064)</f>
        <v>2304</v>
      </c>
      <c r="J867" s="17">
        <f t="shared" si="14"/>
        <v>0</v>
      </c>
      <c r="K867" s="34">
        <v>1500806</v>
      </c>
      <c r="L867" s="34">
        <v>166909</v>
      </c>
    </row>
    <row r="868" hidden="1">
      <c r="B868" s="64">
        <v>44716</v>
      </c>
      <c r="C868" s="9" t="s">
        <v>3496</v>
      </c>
      <c r="D868" s="6" t="s">
        <v>2566</v>
      </c>
      <c r="E868" s="6" t="s">
        <v>2220</v>
      </c>
      <c r="F868" s="6" t="s">
        <v>2226</v>
      </c>
      <c r="G868" s="6" t="s">
        <v>2258</v>
      </c>
      <c r="H868" s="7">
        <v>2160</v>
      </c>
      <c r="I868" s="8">
        <f>SUMIF(Cargas!$C$6:$C$1064,C868,Cargas!$O$6:$O$1064)</f>
        <v>0</v>
      </c>
      <c r="J868" s="17">
        <f t="shared" si="14"/>
        <v>2160</v>
      </c>
      <c r="K868" s="34">
        <v>1429752</v>
      </c>
      <c r="L868" s="34">
        <v>108709</v>
      </c>
    </row>
    <row r="869" hidden="1">
      <c r="B869" s="64">
        <v>45534</v>
      </c>
      <c r="C869" s="9" t="s">
        <v>502</v>
      </c>
      <c r="D869" s="6" t="s">
        <v>2540</v>
      </c>
      <c r="E869" s="6" t="s">
        <v>2377</v>
      </c>
      <c r="F869" s="6" t="s">
        <v>2226</v>
      </c>
      <c r="G869" s="6" t="s">
        <v>2258</v>
      </c>
      <c r="H869" s="7">
        <f>1152*2</f>
        <v>2304</v>
      </c>
      <c r="I869" s="8">
        <f>SUMIF(Cargas!$C$6:$C$1064,C869,Cargas!$O$6:$O$1064)</f>
        <v>2304</v>
      </c>
      <c r="J869" s="17">
        <f t="shared" si="14"/>
        <v>0</v>
      </c>
      <c r="K869" s="34">
        <v>1501799</v>
      </c>
      <c r="L869" s="34">
        <v>172375</v>
      </c>
    </row>
    <row r="870" hidden="1">
      <c r="B870" s="64">
        <v>44723</v>
      </c>
      <c r="C870" s="9" t="s">
        <v>3497</v>
      </c>
      <c r="D870" s="6" t="s">
        <v>2575</v>
      </c>
      <c r="E870" s="6" t="s">
        <v>2220</v>
      </c>
      <c r="F870" s="6" t="s">
        <v>2226</v>
      </c>
      <c r="G870" s="6" t="s">
        <v>2258</v>
      </c>
      <c r="H870" s="7">
        <v>2160</v>
      </c>
      <c r="I870" s="8">
        <f>SUMIF(Cargas!$C$6:$C$1064,C870,Cargas!$O$6:$O$1064)</f>
        <v>0</v>
      </c>
      <c r="J870" s="17">
        <f t="shared" si="14"/>
        <v>2160</v>
      </c>
      <c r="K870" s="34">
        <v>1430290</v>
      </c>
      <c r="L870" s="34">
        <v>115114</v>
      </c>
    </row>
    <row r="871" hidden="1">
      <c r="B871" s="64">
        <v>45621</v>
      </c>
      <c r="C871" s="9" t="s">
        <v>806</v>
      </c>
      <c r="D871" s="6" t="s">
        <v>2358</v>
      </c>
      <c r="E871" s="6" t="s">
        <v>3498</v>
      </c>
      <c r="F871" s="6" t="s">
        <v>978</v>
      </c>
      <c r="G871" s="6" t="s">
        <v>29</v>
      </c>
      <c r="H871" s="7">
        <v>1050</v>
      </c>
      <c r="I871" s="8">
        <f>SUMIF(Cargas!$C$6:$C$1064,C871,Cargas!$O$6:$O$1064)</f>
        <v>1050</v>
      </c>
      <c r="J871" s="17">
        <f t="shared" si="14"/>
        <v>0</v>
      </c>
      <c r="K871" s="34">
        <v>1511179</v>
      </c>
      <c r="L871" s="34">
        <v>244764</v>
      </c>
    </row>
    <row r="872" hidden="1">
      <c r="B872" s="64">
        <v>45621</v>
      </c>
      <c r="C872" s="9" t="s">
        <v>824</v>
      </c>
      <c r="D872" s="6" t="s">
        <v>2379</v>
      </c>
      <c r="E872" s="6" t="s">
        <v>865</v>
      </c>
      <c r="F872" s="6" t="s">
        <v>978</v>
      </c>
      <c r="G872" s="6" t="s">
        <v>29</v>
      </c>
      <c r="H872" s="7">
        <v>1000</v>
      </c>
      <c r="I872" s="8">
        <f>SUMIF(Cargas!$C$6:$C$1064,C872,Cargas!$O$6:$O$1064)</f>
        <v>1000</v>
      </c>
      <c r="J872" s="17">
        <f t="shared" si="14"/>
        <v>0</v>
      </c>
      <c r="K872" s="34"/>
      <c r="L872" s="34">
        <v>248376</v>
      </c>
    </row>
    <row r="873" hidden="1">
      <c r="B873" s="64">
        <v>45623</v>
      </c>
      <c r="C873" s="9" t="s">
        <v>828</v>
      </c>
      <c r="D873" s="6" t="s">
        <v>2383</v>
      </c>
      <c r="E873" s="6" t="s">
        <v>865</v>
      </c>
      <c r="F873" s="6" t="s">
        <v>978</v>
      </c>
      <c r="G873" s="6" t="s">
        <v>29</v>
      </c>
      <c r="H873" s="7">
        <v>1000</v>
      </c>
      <c r="I873" s="8">
        <f>SUMIF(Cargas!$C$6:$C$1064,C873,Cargas!$O$6:$O$1064)</f>
        <v>1000</v>
      </c>
      <c r="J873" s="17">
        <f t="shared" si="14"/>
        <v>0</v>
      </c>
      <c r="K873" s="34"/>
      <c r="L873" s="34">
        <v>248302</v>
      </c>
    </row>
    <row r="874" hidden="1">
      <c r="B874" s="64">
        <v>45623</v>
      </c>
      <c r="C874" s="9" t="s">
        <v>810</v>
      </c>
      <c r="D874" s="6" t="s">
        <v>2396</v>
      </c>
      <c r="E874" s="6" t="s">
        <v>2559</v>
      </c>
      <c r="F874" s="6" t="s">
        <v>978</v>
      </c>
      <c r="G874" s="6" t="s">
        <v>2559</v>
      </c>
      <c r="H874" s="7">
        <v>2208</v>
      </c>
      <c r="I874" s="8">
        <f>SUMIF(Cargas!$C$6:$C$1064,C874,Cargas!$O$6:$O$1064)</f>
        <v>2208</v>
      </c>
      <c r="J874" s="17">
        <f t="shared" si="14"/>
        <v>0</v>
      </c>
      <c r="K874" s="34"/>
      <c r="L874" s="34">
        <v>244874</v>
      </c>
    </row>
    <row r="875" hidden="1">
      <c r="B875" s="64">
        <v>45743</v>
      </c>
      <c r="C875" s="9" t="s">
        <v>1151</v>
      </c>
      <c r="D875" s="6" t="s">
        <v>2811</v>
      </c>
      <c r="E875" s="6" t="s">
        <v>2812</v>
      </c>
      <c r="F875" s="6" t="s">
        <v>2226</v>
      </c>
      <c r="G875" s="6" t="s">
        <v>2818</v>
      </c>
      <c r="H875" s="7">
        <v>1320</v>
      </c>
      <c r="I875" s="8">
        <f>SUMIF(Cargas!$C$6:$C$1064,C875,Cargas!$O$6:$O$1064)</f>
        <v>1320</v>
      </c>
      <c r="J875" s="17">
        <f t="shared" si="14"/>
        <v>0</v>
      </c>
      <c r="K875" s="34"/>
      <c r="L875" s="34">
        <v>61885</v>
      </c>
    </row>
    <row r="876" hidden="1">
      <c r="B876" s="64">
        <v>45623</v>
      </c>
      <c r="C876" s="9" t="s">
        <v>849</v>
      </c>
      <c r="D876" s="6" t="s">
        <v>2588</v>
      </c>
      <c r="E876" s="6" t="s">
        <v>3498</v>
      </c>
      <c r="F876" s="6" t="s">
        <v>978</v>
      </c>
      <c r="G876" s="6" t="s">
        <v>29</v>
      </c>
      <c r="H876" s="7">
        <v>1050</v>
      </c>
      <c r="I876" s="8">
        <f>SUMIF(Cargas!$C$6:$C$1064,C876,Cargas!$O$6:$O$1064)</f>
        <v>1050</v>
      </c>
      <c r="J876" s="17">
        <f t="shared" si="14"/>
        <v>0</v>
      </c>
      <c r="K876" s="34">
        <v>1512325</v>
      </c>
      <c r="L876" s="34">
        <v>251764</v>
      </c>
    </row>
    <row r="877" hidden="1">
      <c r="B877" s="64">
        <v>45623</v>
      </c>
      <c r="C877" s="9" t="s">
        <v>868</v>
      </c>
      <c r="D877" s="6" t="s">
        <v>2594</v>
      </c>
      <c r="E877" s="6" t="s">
        <v>3498</v>
      </c>
      <c r="F877" s="6" t="s">
        <v>978</v>
      </c>
      <c r="G877" s="6" t="s">
        <v>29</v>
      </c>
      <c r="H877" s="7">
        <v>1100</v>
      </c>
      <c r="I877" s="8">
        <f>SUMIF(Cargas!$C$6:$C$1064,C877,Cargas!$O$6:$O$1064)</f>
        <v>1100</v>
      </c>
      <c r="J877" s="17">
        <f t="shared" si="14"/>
        <v>0</v>
      </c>
      <c r="K877" s="34"/>
      <c r="L877" s="34">
        <v>258072</v>
      </c>
    </row>
    <row r="878" hidden="1">
      <c r="B878" s="64">
        <v>45623</v>
      </c>
      <c r="C878" s="9" t="s">
        <v>870</v>
      </c>
      <c r="D878" s="6" t="s">
        <v>2682</v>
      </c>
      <c r="E878" s="6" t="s">
        <v>3498</v>
      </c>
      <c r="F878" s="6" t="s">
        <v>978</v>
      </c>
      <c r="G878" s="6" t="s">
        <v>29</v>
      </c>
      <c r="H878" s="7">
        <v>1100</v>
      </c>
      <c r="I878" s="8">
        <f>SUMIF(Cargas!$C$6:$C$1064,C878,Cargas!$O$6:$O$1064)</f>
        <v>1100</v>
      </c>
      <c r="J878" s="17">
        <f t="shared" si="14"/>
        <v>0</v>
      </c>
      <c r="K878" s="34"/>
      <c r="L878" s="34">
        <v>258072</v>
      </c>
    </row>
    <row r="879" hidden="1">
      <c r="B879" s="64">
        <v>45748</v>
      </c>
      <c r="C879" s="9" t="s">
        <v>1174</v>
      </c>
      <c r="D879" s="6" t="s">
        <v>2817</v>
      </c>
      <c r="E879" s="6" t="s">
        <v>2812</v>
      </c>
      <c r="F879" s="6" t="s">
        <v>2226</v>
      </c>
      <c r="G879" s="6" t="s">
        <v>2818</v>
      </c>
      <c r="H879" s="7">
        <v>1320</v>
      </c>
      <c r="I879" s="8">
        <f>SUMIF(Cargas!$C$6:$C$1064,C879,Cargas!$O$6:$O$1064)</f>
        <v>1320</v>
      </c>
      <c r="J879" s="17">
        <f t="shared" si="14"/>
        <v>0</v>
      </c>
      <c r="K879" s="34"/>
      <c r="L879" s="34">
        <v>66258</v>
      </c>
    </row>
    <row r="880" hidden="1">
      <c r="B880" s="64">
        <v>45749</v>
      </c>
      <c r="C880" s="9" t="s">
        <v>1178</v>
      </c>
      <c r="D880" s="6" t="s">
        <v>2820</v>
      </c>
      <c r="E880" s="6" t="s">
        <v>2812</v>
      </c>
      <c r="F880" s="6" t="s">
        <v>2226</v>
      </c>
      <c r="G880" s="6" t="s">
        <v>2818</v>
      </c>
      <c r="H880" s="7">
        <v>1320</v>
      </c>
      <c r="I880" s="8">
        <f>SUMIF(Cargas!$C$6:$C$1064,C880,Cargas!$O$6:$O$1064)</f>
        <v>1320</v>
      </c>
      <c r="J880" s="17">
        <f t="shared" si="14"/>
        <v>0</v>
      </c>
      <c r="K880" s="34"/>
      <c r="L880" s="34">
        <v>66258</v>
      </c>
    </row>
    <row r="881" hidden="1">
      <c r="B881" s="64">
        <v>45749</v>
      </c>
      <c r="C881" s="9" t="s">
        <v>1180</v>
      </c>
      <c r="D881" s="6" t="s">
        <v>2822</v>
      </c>
      <c r="E881" s="6" t="s">
        <v>2812</v>
      </c>
      <c r="F881" s="6" t="s">
        <v>2226</v>
      </c>
      <c r="G881" s="6" t="s">
        <v>2818</v>
      </c>
      <c r="H881" s="7">
        <v>1320</v>
      </c>
      <c r="I881" s="8">
        <f>SUMIF(Cargas!$C$6:$C$1064,C881,Cargas!$O$6:$O$1064)</f>
        <v>1320</v>
      </c>
      <c r="J881" s="17">
        <f t="shared" si="14"/>
        <v>0</v>
      </c>
      <c r="K881" s="34"/>
      <c r="L881" s="34">
        <v>66258</v>
      </c>
    </row>
    <row r="882" hidden="1">
      <c r="B882" s="64">
        <v>45751</v>
      </c>
      <c r="C882" s="9" t="s">
        <v>1184</v>
      </c>
      <c r="D882" s="6" t="s">
        <v>2822</v>
      </c>
      <c r="E882" s="6" t="s">
        <v>2812</v>
      </c>
      <c r="F882" s="6" t="s">
        <v>2226</v>
      </c>
      <c r="G882" s="6" t="s">
        <v>2818</v>
      </c>
      <c r="H882" s="7">
        <v>1320</v>
      </c>
      <c r="I882" s="8">
        <f>SUMIF(Cargas!$C$6:$C$1064,C882,Cargas!$O$6:$O$1064)</f>
        <v>1320</v>
      </c>
      <c r="J882" s="17">
        <f t="shared" si="14"/>
        <v>0</v>
      </c>
      <c r="K882" s="34"/>
      <c r="L882" s="34">
        <v>68124</v>
      </c>
    </row>
    <row r="883" hidden="1" ht="15.75">
      <c r="B883" s="64">
        <v>45674</v>
      </c>
      <c r="C883" s="9" t="s">
        <v>964</v>
      </c>
      <c r="D883" s="6" t="s">
        <v>2315</v>
      </c>
      <c r="E883" s="6" t="s">
        <v>3499</v>
      </c>
      <c r="F883" s="6" t="s">
        <v>978</v>
      </c>
      <c r="G883" s="6" t="s">
        <v>3500</v>
      </c>
      <c r="H883" s="7">
        <v>1000</v>
      </c>
      <c r="I883" s="8">
        <f>SUMIF(Cargas!$C$6:$C$1064,C883,Cargas!$O$6:$O$1064)</f>
        <v>1000</v>
      </c>
      <c r="J883" s="17">
        <f t="shared" si="14"/>
        <v>0</v>
      </c>
      <c r="K883" s="34">
        <v>1514924</v>
      </c>
      <c r="L883" s="119"/>
    </row>
    <row r="884" hidden="1">
      <c r="B884" s="64">
        <v>45675</v>
      </c>
      <c r="C884" s="9" t="s">
        <v>977</v>
      </c>
      <c r="D884" s="6" t="s">
        <v>2321</v>
      </c>
      <c r="E884" s="6" t="s">
        <v>2559</v>
      </c>
      <c r="F884" s="6" t="s">
        <v>978</v>
      </c>
      <c r="G884" s="6" t="s">
        <v>2560</v>
      </c>
      <c r="H884" s="7">
        <v>1104</v>
      </c>
      <c r="I884" s="8">
        <f>SUMIF(Cargas!$C$6:$C$1064,C884,Cargas!$O$6:$O$1064)</f>
        <v>1104</v>
      </c>
      <c r="J884" s="17">
        <f t="shared" si="14"/>
        <v>0</v>
      </c>
      <c r="K884" s="34">
        <v>1515512</v>
      </c>
      <c r="L884" s="34"/>
    </row>
    <row r="885" hidden="1">
      <c r="B885" s="64">
        <v>45675</v>
      </c>
      <c r="C885" s="9" t="s">
        <v>980</v>
      </c>
      <c r="D885" s="6" t="s">
        <v>2348</v>
      </c>
      <c r="E885" s="6" t="s">
        <v>2559</v>
      </c>
      <c r="F885" s="6" t="s">
        <v>978</v>
      </c>
      <c r="G885" s="6" t="s">
        <v>2560</v>
      </c>
      <c r="H885" s="7">
        <v>1104</v>
      </c>
      <c r="I885" s="8">
        <f>SUMIF(Cargas!$C$6:$C$1064,C885,Cargas!$O$6:$O$1064)</f>
        <v>1100</v>
      </c>
      <c r="J885" s="17">
        <f t="shared" si="14"/>
        <v>0</v>
      </c>
      <c r="K885" s="34">
        <v>1515724</v>
      </c>
      <c r="L885" s="34"/>
    </row>
    <row r="886" hidden="1">
      <c r="B886" s="64">
        <v>45623</v>
      </c>
      <c r="C886" s="9" t="s">
        <v>749</v>
      </c>
      <c r="D886" s="6" t="s">
        <v>3501</v>
      </c>
      <c r="E886" s="6" t="s">
        <v>3261</v>
      </c>
      <c r="F886" s="6" t="s">
        <v>2226</v>
      </c>
      <c r="G886" s="6" t="s">
        <v>2282</v>
      </c>
      <c r="H886" s="7">
        <v>608</v>
      </c>
      <c r="I886" s="8">
        <f>SUMIF(Cargas!$C$6:$C$1064,C886,Cargas!$O$6:$O$1064)</f>
        <v>608</v>
      </c>
      <c r="J886" s="17">
        <f t="shared" si="14"/>
        <v>0</v>
      </c>
      <c r="K886" s="34"/>
      <c r="L886" s="34">
        <v>235368</v>
      </c>
    </row>
    <row r="887" hidden="1">
      <c r="B887" s="64">
        <v>45614</v>
      </c>
      <c r="C887" s="9" t="s">
        <v>791</v>
      </c>
      <c r="D887" s="6" t="s">
        <v>3502</v>
      </c>
      <c r="E887" s="6" t="s">
        <v>3261</v>
      </c>
      <c r="F887" s="6" t="s">
        <v>2226</v>
      </c>
      <c r="G887" s="6" t="s">
        <v>2282</v>
      </c>
      <c r="H887" s="7">
        <v>816</v>
      </c>
      <c r="I887" s="8">
        <f>SUMIF(Cargas!$C$6:$C$1064,C887,Cargas!$O$6:$O$1064)</f>
        <v>816</v>
      </c>
      <c r="J887" s="17">
        <f t="shared" si="14"/>
        <v>0</v>
      </c>
      <c r="K887" s="34"/>
      <c r="L887" s="34">
        <v>242884</v>
      </c>
    </row>
    <row r="888" hidden="1">
      <c r="B888" s="64">
        <v>44726</v>
      </c>
      <c r="C888" s="9" t="s">
        <v>3503</v>
      </c>
      <c r="D888" s="6" t="s">
        <v>3169</v>
      </c>
      <c r="E888" s="6" t="s">
        <v>2220</v>
      </c>
      <c r="F888" s="6" t="s">
        <v>2226</v>
      </c>
      <c r="G888" s="6" t="s">
        <v>2258</v>
      </c>
      <c r="H888" s="7">
        <v>1160</v>
      </c>
      <c r="I888" s="8">
        <f>SUMIF(Cargas!$C$6:$C$1064,C888,Cargas!$O$6:$O$1064)</f>
        <v>0</v>
      </c>
      <c r="J888" s="17">
        <f t="shared" si="14"/>
        <v>1160</v>
      </c>
      <c r="K888" s="34">
        <v>1430291</v>
      </c>
      <c r="L888" s="34">
        <v>118372</v>
      </c>
    </row>
    <row r="889" hidden="1">
      <c r="B889" s="64">
        <v>45544</v>
      </c>
      <c r="C889" s="9" t="s">
        <v>540</v>
      </c>
      <c r="D889" s="6" t="s">
        <v>2853</v>
      </c>
      <c r="E889" s="6" t="s">
        <v>2377</v>
      </c>
      <c r="F889" s="6" t="s">
        <v>2226</v>
      </c>
      <c r="G889" s="6" t="s">
        <v>2258</v>
      </c>
      <c r="H889" s="7">
        <f>1058+1248</f>
        <v>2306</v>
      </c>
      <c r="I889" s="8">
        <f>SUMIF(Cargas!$C$6:$C$1064,C889,Cargas!$O$6:$O$1064)</f>
        <v>2304</v>
      </c>
      <c r="J889" s="17">
        <f t="shared" si="14"/>
        <v>0</v>
      </c>
      <c r="K889" s="34">
        <v>1502513</v>
      </c>
      <c r="L889" s="34">
        <v>180927</v>
      </c>
    </row>
    <row r="890" hidden="1">
      <c r="A890" s="79"/>
      <c r="B890" s="80">
        <v>45315</v>
      </c>
      <c r="C890" s="81" t="s">
        <v>47</v>
      </c>
      <c r="D890" s="82" t="s">
        <v>2256</v>
      </c>
      <c r="E890" s="82" t="s">
        <v>2712</v>
      </c>
      <c r="F890" s="82" t="s">
        <v>2226</v>
      </c>
      <c r="G890" s="82" t="s">
        <v>2258</v>
      </c>
      <c r="H890" s="83">
        <v>2112</v>
      </c>
      <c r="I890" s="84">
        <f>SUMIF(Cargas!$C$6:$C$1064,C890,Cargas!$O$6:$O$1064)</f>
        <v>2112</v>
      </c>
      <c r="J890" s="85">
        <f t="shared" si="14"/>
        <v>0</v>
      </c>
      <c r="K890" s="86" t="s">
        <v>3504</v>
      </c>
      <c r="L890" s="86" t="s">
        <v>29</v>
      </c>
      <c r="M890" s="32"/>
    </row>
    <row r="891" hidden="1">
      <c r="B891" s="64">
        <v>44730</v>
      </c>
      <c r="C891" s="9" t="s">
        <v>3505</v>
      </c>
      <c r="D891" s="6" t="s">
        <v>2610</v>
      </c>
      <c r="E891" s="6" t="s">
        <v>2220</v>
      </c>
      <c r="F891" s="6" t="s">
        <v>2226</v>
      </c>
      <c r="G891" s="6" t="s">
        <v>2227</v>
      </c>
      <c r="H891" s="7">
        <v>2160</v>
      </c>
      <c r="I891" s="8">
        <f>SUMIF(Cargas!$C$6:$C$1064,C891,Cargas!$O$6:$O$1064)</f>
        <v>0</v>
      </c>
      <c r="J891" s="17">
        <f t="shared" si="14"/>
        <v>2160</v>
      </c>
      <c r="K891" s="34">
        <v>1430739</v>
      </c>
      <c r="L891" s="34">
        <v>118200</v>
      </c>
    </row>
    <row r="892" hidden="1">
      <c r="B892" s="64">
        <v>44726</v>
      </c>
      <c r="C892" s="9" t="s">
        <v>3506</v>
      </c>
      <c r="D892" s="6" t="s">
        <v>2616</v>
      </c>
      <c r="E892" s="6" t="s">
        <v>2220</v>
      </c>
      <c r="F892" s="6" t="s">
        <v>2226</v>
      </c>
      <c r="G892" s="6" t="s">
        <v>2227</v>
      </c>
      <c r="H892" s="7">
        <v>1080</v>
      </c>
      <c r="I892" s="8">
        <f>SUMIF(Cargas!$C$6:$C$1064,C892,Cargas!$O$6:$O$1064)</f>
        <v>0</v>
      </c>
      <c r="J892" s="17">
        <f t="shared" si="14"/>
        <v>1080</v>
      </c>
      <c r="K892" s="34">
        <v>1430743</v>
      </c>
      <c r="L892" s="34">
        <v>118459</v>
      </c>
    </row>
    <row r="893" hidden="1">
      <c r="B893" s="64">
        <v>44733</v>
      </c>
      <c r="C893" s="9" t="s">
        <v>3507</v>
      </c>
      <c r="D893" s="6" t="s">
        <v>2628</v>
      </c>
      <c r="E893" s="6" t="s">
        <v>2220</v>
      </c>
      <c r="F893" s="6" t="s">
        <v>2226</v>
      </c>
      <c r="G893" s="6" t="s">
        <v>2258</v>
      </c>
      <c r="H893" s="7">
        <v>4336</v>
      </c>
      <c r="I893" s="8">
        <f>SUMIF(Cargas!$C$6:$C$1064,C893,Cargas!$O$6:$O$1064)</f>
        <v>0</v>
      </c>
      <c r="J893" s="17">
        <f t="shared" si="14"/>
        <v>4336</v>
      </c>
      <c r="K893" s="34">
        <v>1431484</v>
      </c>
      <c r="L893" s="34">
        <v>122136</v>
      </c>
    </row>
    <row r="894" hidden="1">
      <c r="B894" s="64">
        <v>44733</v>
      </c>
      <c r="C894" s="9" t="s">
        <v>3508</v>
      </c>
      <c r="D894" s="6" t="s">
        <v>2638</v>
      </c>
      <c r="E894" s="6" t="s">
        <v>2220</v>
      </c>
      <c r="F894" s="6" t="s">
        <v>2226</v>
      </c>
      <c r="G894" s="6" t="s">
        <v>2258</v>
      </c>
      <c r="H894" s="7">
        <v>1144</v>
      </c>
      <c r="I894" s="8">
        <f>SUMIF(Cargas!$C$6:$C$1064,C894,Cargas!$O$6:$O$1064)</f>
        <v>0</v>
      </c>
      <c r="J894" s="17">
        <f t="shared" si="14"/>
        <v>1144</v>
      </c>
      <c r="K894" s="34">
        <v>1431487</v>
      </c>
      <c r="L894" s="34">
        <v>122078</v>
      </c>
    </row>
    <row r="895" hidden="1">
      <c r="B895" s="64">
        <v>44741</v>
      </c>
      <c r="C895" s="9" t="s">
        <v>3509</v>
      </c>
      <c r="D895" s="6" t="s">
        <v>2653</v>
      </c>
      <c r="E895" s="6" t="s">
        <v>2220</v>
      </c>
      <c r="F895" s="6" t="s">
        <v>2226</v>
      </c>
      <c r="G895" s="6" t="s">
        <v>2258</v>
      </c>
      <c r="H895" s="7">
        <v>4320</v>
      </c>
      <c r="I895" s="8">
        <f>SUMIF(Cargas!$C$6:$C$1064,C895,Cargas!$O$6:$O$1064)</f>
        <v>0</v>
      </c>
      <c r="J895" s="17">
        <f t="shared" si="14"/>
        <v>4320</v>
      </c>
      <c r="K895" s="34">
        <v>1431834</v>
      </c>
      <c r="L895" s="34">
        <v>132967</v>
      </c>
    </row>
    <row r="896" hidden="1">
      <c r="B896" s="64">
        <v>44741</v>
      </c>
      <c r="C896" s="9" t="s">
        <v>3510</v>
      </c>
      <c r="D896" s="6" t="s">
        <v>2649</v>
      </c>
      <c r="E896" s="6" t="s">
        <v>2220</v>
      </c>
      <c r="F896" s="6" t="s">
        <v>2226</v>
      </c>
      <c r="G896" s="6" t="s">
        <v>2258</v>
      </c>
      <c r="H896" s="7">
        <v>1080</v>
      </c>
      <c r="I896" s="8">
        <f>SUMIF(Cargas!$C$6:$C$1064,C896,Cargas!$O$6:$O$1064)</f>
        <v>0</v>
      </c>
      <c r="J896" s="17">
        <f t="shared" si="14"/>
        <v>1080</v>
      </c>
      <c r="K896" s="34">
        <v>1431835</v>
      </c>
      <c r="L896" s="34">
        <v>131878</v>
      </c>
    </row>
    <row r="897" hidden="1">
      <c r="A897" s="79"/>
      <c r="B897" s="80">
        <v>45282</v>
      </c>
      <c r="C897" s="81" t="s">
        <v>3511</v>
      </c>
      <c r="D897" s="82" t="s">
        <v>3298</v>
      </c>
      <c r="E897" s="82" t="s">
        <v>3418</v>
      </c>
      <c r="F897" s="82" t="s">
        <v>2226</v>
      </c>
      <c r="G897" s="82" t="s">
        <v>2258</v>
      </c>
      <c r="H897" s="83">
        <v>3240</v>
      </c>
      <c r="I897" s="84">
        <f>SUMIF(Cargas!$C$6:$C$1064,C897,Cargas!$O$6:$O$1064)</f>
        <v>0</v>
      </c>
      <c r="J897" s="85">
        <f t="shared" si="14"/>
        <v>3240</v>
      </c>
      <c r="K897" s="86" t="s">
        <v>3512</v>
      </c>
      <c r="L897" s="86">
        <v>249159</v>
      </c>
      <c r="M897" s="32"/>
    </row>
    <row r="898" hidden="1">
      <c r="B898" s="64">
        <v>44744</v>
      </c>
      <c r="C898" s="9" t="s">
        <v>3513</v>
      </c>
      <c r="D898" s="6" t="s">
        <v>2663</v>
      </c>
      <c r="E898" s="6" t="s">
        <v>2220</v>
      </c>
      <c r="F898" s="6" t="s">
        <v>2226</v>
      </c>
      <c r="G898" s="6" t="s">
        <v>2227</v>
      </c>
      <c r="H898" s="7">
        <v>2160</v>
      </c>
      <c r="I898" s="8">
        <f>SUMIF(Cargas!$C$6:$C$1064,C898,Cargas!$O$6:$O$1064)</f>
        <v>0</v>
      </c>
      <c r="J898" s="17">
        <f t="shared" si="14"/>
        <v>2160</v>
      </c>
      <c r="K898" s="34">
        <v>1431833</v>
      </c>
      <c r="L898" s="34">
        <v>133116</v>
      </c>
    </row>
    <row r="899" hidden="1">
      <c r="B899" s="64">
        <v>44755</v>
      </c>
      <c r="C899" s="9" t="s">
        <v>3514</v>
      </c>
      <c r="D899" s="6" t="s">
        <v>2659</v>
      </c>
      <c r="E899" s="6" t="s">
        <v>2220</v>
      </c>
      <c r="F899" s="6" t="s">
        <v>2226</v>
      </c>
      <c r="G899" s="6" t="s">
        <v>2258</v>
      </c>
      <c r="H899" s="7">
        <v>4390</v>
      </c>
      <c r="I899" s="8">
        <f>SUMIF(Cargas!$C$6:$C$1064,C899,Cargas!$O$6:$O$1064)</f>
        <v>0</v>
      </c>
      <c r="J899" s="17">
        <f t="shared" si="14"/>
        <v>4390</v>
      </c>
      <c r="K899" s="34">
        <v>1432472</v>
      </c>
      <c r="L899" s="34">
        <v>133039</v>
      </c>
    </row>
    <row r="900" hidden="1">
      <c r="A900" s="79"/>
      <c r="B900" s="80">
        <v>45276</v>
      </c>
      <c r="C900" s="81" t="s">
        <v>3515</v>
      </c>
      <c r="D900" s="82" t="s">
        <v>3501</v>
      </c>
      <c r="E900" s="82" t="s">
        <v>3516</v>
      </c>
      <c r="F900" s="82" t="s">
        <v>2226</v>
      </c>
      <c r="G900" s="82" t="s">
        <v>2258</v>
      </c>
      <c r="H900" s="83">
        <f>720+787</f>
        <v>1507</v>
      </c>
      <c r="I900" s="84">
        <f>SUMIF(Cargas!$C$6:$C$1064,C900,Cargas!$O$6:$O$1064)</f>
        <v>0</v>
      </c>
      <c r="J900" s="85">
        <f t="shared" si="14"/>
        <v>1507</v>
      </c>
      <c r="K900" s="86"/>
      <c r="L900" s="86">
        <v>245971</v>
      </c>
      <c r="M900" s="32"/>
    </row>
    <row r="901" hidden="1">
      <c r="B901" s="64">
        <v>45034</v>
      </c>
      <c r="C901" s="9" t="s">
        <v>3517</v>
      </c>
      <c r="D901" s="6" t="s">
        <v>2373</v>
      </c>
      <c r="E901" s="6" t="s">
        <v>2780</v>
      </c>
      <c r="F901" s="6" t="s">
        <v>2226</v>
      </c>
      <c r="G901" s="6" t="s">
        <v>2227</v>
      </c>
      <c r="H901" s="7">
        <v>2288</v>
      </c>
      <c r="I901" s="8">
        <f>SUMIF(Cargas!$C$6:$C$1064,C901,Cargas!$O$6:$O$1064)</f>
        <v>0</v>
      </c>
      <c r="J901" s="17">
        <f t="shared" si="14"/>
        <v>2288</v>
      </c>
      <c r="K901" s="34">
        <v>1457527</v>
      </c>
      <c r="L901" s="34">
        <v>72088</v>
      </c>
    </row>
    <row r="902" hidden="1">
      <c r="B902" s="64">
        <v>45037</v>
      </c>
      <c r="C902" s="9" t="s">
        <v>3518</v>
      </c>
      <c r="D902" s="6" t="s">
        <v>2376</v>
      </c>
      <c r="E902" s="6" t="s">
        <v>3226</v>
      </c>
      <c r="F902" s="6" t="s">
        <v>2226</v>
      </c>
      <c r="G902" s="6" t="s">
        <v>2227</v>
      </c>
      <c r="H902" s="7">
        <v>2288</v>
      </c>
      <c r="I902" s="8">
        <f>SUMIF(Cargas!$C$6:$C$1064,C902,Cargas!$O$6:$O$1064)</f>
        <v>0</v>
      </c>
      <c r="J902" s="17">
        <f t="shared" si="14"/>
        <v>2288</v>
      </c>
      <c r="K902" s="34">
        <v>1457528</v>
      </c>
      <c r="L902" s="34">
        <v>72089</v>
      </c>
    </row>
    <row r="903" hidden="1" ht="14.25" customHeight="1">
      <c r="A903" s="79"/>
      <c r="B903" s="80">
        <v>45350</v>
      </c>
      <c r="C903" s="81" t="s">
        <v>115</v>
      </c>
      <c r="D903" s="82" t="s">
        <v>2281</v>
      </c>
      <c r="E903" s="82" t="s">
        <v>2712</v>
      </c>
      <c r="F903" s="82" t="s">
        <v>2226</v>
      </c>
      <c r="G903" s="82" t="s">
        <v>2258</v>
      </c>
      <c r="H903" s="83">
        <v>2112</v>
      </c>
      <c r="I903" s="84">
        <f>SUMIF(Cargas!$C$6:$C$1064,C903,Cargas!$O$6:$O$1064)</f>
        <v>2112</v>
      </c>
      <c r="J903" s="85">
        <f t="shared" si="14"/>
        <v>0</v>
      </c>
      <c r="K903" s="86" t="s">
        <v>3504</v>
      </c>
      <c r="L903" s="86" t="s">
        <v>29</v>
      </c>
      <c r="M903" s="32"/>
    </row>
    <row r="904" hidden="1" ht="14.25" customHeight="1">
      <c r="B904" s="64">
        <v>45523</v>
      </c>
      <c r="C904" s="9" t="s">
        <v>469</v>
      </c>
      <c r="D904" s="6" t="s">
        <v>962</v>
      </c>
      <c r="E904" s="6" t="s">
        <v>2871</v>
      </c>
      <c r="F904" s="6" t="s">
        <v>2226</v>
      </c>
      <c r="G904" s="6" t="s">
        <v>412</v>
      </c>
      <c r="H904" s="7">
        <v>1936</v>
      </c>
      <c r="I904" s="8">
        <f>SUMIF(Cargas!$C$6:$C$1064,C904,Cargas!$O$6:$O$1064)</f>
        <v>1936</v>
      </c>
      <c r="J904" s="17">
        <f t="shared" si="14"/>
        <v>0</v>
      </c>
      <c r="K904" s="34"/>
      <c r="L904" s="34">
        <v>165672</v>
      </c>
    </row>
    <row r="905" hidden="1" ht="14.25" customHeight="1">
      <c r="B905" s="64">
        <v>45525</v>
      </c>
      <c r="C905" s="9" t="s">
        <v>484</v>
      </c>
      <c r="D905" s="6" t="s">
        <v>2412</v>
      </c>
      <c r="E905" s="6" t="s">
        <v>2871</v>
      </c>
      <c r="F905" s="6" t="s">
        <v>2226</v>
      </c>
      <c r="G905" s="6" t="s">
        <v>410</v>
      </c>
      <c r="H905" s="7">
        <v>1936</v>
      </c>
      <c r="I905" s="8">
        <f>SUMIF(Cargas!$C$6:$C$1064,C905,Cargas!$O$6:$O$1064)</f>
        <v>1936</v>
      </c>
      <c r="J905" s="17">
        <f t="shared" si="14"/>
        <v>0</v>
      </c>
      <c r="K905" s="34"/>
      <c r="L905" s="34">
        <v>167085</v>
      </c>
    </row>
    <row r="906" hidden="1" ht="14.25" customHeight="1">
      <c r="A906" s="42"/>
      <c r="B906" s="64">
        <v>45072</v>
      </c>
      <c r="C906" s="134" t="s">
        <v>2398</v>
      </c>
      <c r="D906" s="6" t="s">
        <v>2398</v>
      </c>
      <c r="E906" s="6" t="s">
        <v>3418</v>
      </c>
      <c r="F906" s="6" t="s">
        <v>2226</v>
      </c>
      <c r="G906" s="6" t="s">
        <v>2258</v>
      </c>
      <c r="H906" s="135">
        <v>2496</v>
      </c>
      <c r="I906" s="8">
        <f>SUMIF(Cargas!$C$6:$C$1064,C906,Cargas!$O$6:$O$1064)</f>
        <v>0</v>
      </c>
      <c r="J906" s="17">
        <f t="shared" si="14"/>
        <v>2496</v>
      </c>
      <c r="K906" s="34">
        <v>1460793</v>
      </c>
      <c r="L906" s="34">
        <v>96399</v>
      </c>
    </row>
    <row r="907" hidden="1" ht="14.25" customHeight="1">
      <c r="A907" s="42"/>
      <c r="B907" s="64">
        <v>45079</v>
      </c>
      <c r="C907" s="134" t="s">
        <v>3519</v>
      </c>
      <c r="D907" s="6" t="s">
        <v>2393</v>
      </c>
      <c r="E907" s="6" t="s">
        <v>2780</v>
      </c>
      <c r="F907" s="6" t="s">
        <v>2226</v>
      </c>
      <c r="G907" s="6" t="s">
        <v>2258</v>
      </c>
      <c r="H907" s="135">
        <v>2288</v>
      </c>
      <c r="I907" s="8">
        <f>SUMIF(Cargas!$C$6:$C$1064,C907,Cargas!$O$6:$O$1064)</f>
        <v>0</v>
      </c>
      <c r="J907" s="17">
        <f t="shared" si="14"/>
        <v>2288</v>
      </c>
      <c r="K907" s="34">
        <v>1461627</v>
      </c>
      <c r="L907" s="34">
        <v>104472</v>
      </c>
    </row>
    <row r="908" hidden="1" ht="14.25" customHeight="1">
      <c r="A908" s="42"/>
      <c r="B908" s="64">
        <v>45114</v>
      </c>
      <c r="C908" s="134" t="s">
        <v>3520</v>
      </c>
      <c r="D908" s="6" t="s">
        <v>2442</v>
      </c>
      <c r="E908" s="6" t="s">
        <v>2780</v>
      </c>
      <c r="F908" s="6" t="s">
        <v>2226</v>
      </c>
      <c r="G908" s="6" t="s">
        <v>401</v>
      </c>
      <c r="H908" s="135">
        <v>2288</v>
      </c>
      <c r="I908" s="8">
        <f>SUMIF(Cargas!$C$6:$C$1064,C908,Cargas!$O$6:$O$1064)</f>
        <v>0</v>
      </c>
      <c r="J908" s="17">
        <f ref="J908:J912" t="shared" si="15">IF(ABS(H908-I908)&lt;20,0,H908-I908)</f>
        <v>2288</v>
      </c>
      <c r="K908" s="34">
        <v>1464601</v>
      </c>
      <c r="L908" s="34">
        <v>127292</v>
      </c>
    </row>
    <row r="909" hidden="1" ht="14.25" customHeight="1">
      <c r="A909" s="42"/>
      <c r="B909" s="64">
        <v>45121</v>
      </c>
      <c r="C909" s="134" t="s">
        <v>3521</v>
      </c>
      <c r="D909" s="6" t="s">
        <v>2451</v>
      </c>
      <c r="E909" s="6" t="s">
        <v>2377</v>
      </c>
      <c r="F909" s="6" t="s">
        <v>2226</v>
      </c>
      <c r="G909" s="6" t="s">
        <v>2258</v>
      </c>
      <c r="H909" s="135">
        <f>1872+416</f>
        <v>2288</v>
      </c>
      <c r="I909" s="8">
        <f>SUMIF(Cargas!$C$6:$C$1064,C909,Cargas!$O$6:$O$1064)</f>
        <v>0</v>
      </c>
      <c r="J909" s="17">
        <f t="shared" si="15"/>
        <v>2288</v>
      </c>
      <c r="K909" s="34">
        <v>1464883</v>
      </c>
      <c r="L909" s="34">
        <v>131436</v>
      </c>
    </row>
    <row r="910" hidden="1" ht="14.25" customHeight="1">
      <c r="A910" s="42"/>
      <c r="B910" s="64">
        <v>45114</v>
      </c>
      <c r="C910" s="134" t="s">
        <v>3522</v>
      </c>
      <c r="D910" s="6" t="s">
        <v>2480</v>
      </c>
      <c r="E910" s="6" t="s">
        <v>3418</v>
      </c>
      <c r="F910" s="6" t="s">
        <v>2226</v>
      </c>
      <c r="G910" s="6" t="s">
        <v>2258</v>
      </c>
      <c r="H910" s="135">
        <f>1352+880+264</f>
        <v>2496</v>
      </c>
      <c r="I910" s="8">
        <f>SUMIF(Cargas!$C$6:$C$1064,C910,Cargas!$O$6:$O$1064)</f>
        <v>0</v>
      </c>
      <c r="J910" s="17">
        <f t="shared" si="15"/>
        <v>2496</v>
      </c>
      <c r="K910" s="34">
        <v>146</v>
      </c>
      <c r="L910" s="34">
        <v>131434</v>
      </c>
    </row>
    <row r="911" hidden="1" ht="14.25" customHeight="1">
      <c r="A911" s="42"/>
      <c r="B911" s="64">
        <v>44933</v>
      </c>
      <c r="C911" s="9" t="s">
        <v>3523</v>
      </c>
      <c r="D911" s="6" t="s">
        <v>2256</v>
      </c>
      <c r="E911" s="6" t="s">
        <v>3287</v>
      </c>
      <c r="F911" s="6" t="s">
        <v>2226</v>
      </c>
      <c r="G911" s="6" t="s">
        <v>2258</v>
      </c>
      <c r="H911" s="7">
        <v>2112</v>
      </c>
      <c r="I911" s="8">
        <f>SUMIF(Cargas!$C$6:$C$1064,C911,Cargas!$O$6:$O$1166)</f>
        <v>0</v>
      </c>
      <c r="J911" s="17">
        <f t="shared" si="15"/>
        <v>2112</v>
      </c>
      <c r="K911" s="34">
        <v>1449413</v>
      </c>
      <c r="L911" s="34">
        <v>3194</v>
      </c>
    </row>
    <row r="912" hidden="1" ht="14.25" customHeight="1">
      <c r="A912" s="42"/>
      <c r="B912" s="64">
        <v>44943</v>
      </c>
      <c r="C912" s="34">
        <v>2200371</v>
      </c>
      <c r="D912" s="6" t="s">
        <v>2281</v>
      </c>
      <c r="E912" s="6" t="s">
        <v>2871</v>
      </c>
      <c r="F912" s="6" t="s">
        <v>2226</v>
      </c>
      <c r="G912" s="6" t="s">
        <v>2258</v>
      </c>
      <c r="H912" s="135">
        <v>2112</v>
      </c>
      <c r="I912" s="136">
        <v>2112</v>
      </c>
      <c r="J912" s="137">
        <f t="shared" si="15"/>
        <v>0</v>
      </c>
      <c r="K912" s="34">
        <v>1450440</v>
      </c>
      <c r="L912" s="34">
        <v>12458</v>
      </c>
    </row>
    <row r="913" hidden="1" ht="14.25" customHeight="1">
      <c r="A913" s="42"/>
      <c r="B913" s="64">
        <v>44943</v>
      </c>
      <c r="C913" s="134">
        <v>49647</v>
      </c>
      <c r="D913" s="6" t="s">
        <v>2301</v>
      </c>
      <c r="E913" s="6" t="s">
        <v>3287</v>
      </c>
      <c r="F913" s="6" t="s">
        <v>2226</v>
      </c>
      <c r="G913" s="6" t="s">
        <v>2258</v>
      </c>
      <c r="H913" s="135">
        <v>2112</v>
      </c>
      <c r="I913" s="136">
        <v>2112</v>
      </c>
      <c r="J913" s="137">
        <v>0</v>
      </c>
      <c r="K913" s="34">
        <v>1450479</v>
      </c>
      <c r="L913" s="34">
        <v>12331</v>
      </c>
    </row>
    <row r="914" hidden="1" ht="14.25" customHeight="1">
      <c r="A914" s="42"/>
      <c r="B914" s="64">
        <v>44966</v>
      </c>
      <c r="C914" s="134" t="s">
        <v>3524</v>
      </c>
      <c r="D914" s="6" t="s">
        <v>962</v>
      </c>
      <c r="E914" s="6" t="s">
        <v>2871</v>
      </c>
      <c r="F914" s="6" t="s">
        <v>2226</v>
      </c>
      <c r="G914" s="6" t="s">
        <v>2258</v>
      </c>
      <c r="H914" s="135">
        <v>2112</v>
      </c>
      <c r="I914" s="136">
        <v>2112</v>
      </c>
      <c r="J914" s="137">
        <v>0</v>
      </c>
      <c r="K914" s="34">
        <v>1451659</v>
      </c>
      <c r="L914" s="34">
        <v>26473</v>
      </c>
    </row>
    <row r="915" hidden="1" ht="14.25" customHeight="1">
      <c r="A915" s="79"/>
      <c r="B915" s="80">
        <v>45169</v>
      </c>
      <c r="C915" s="81" t="s">
        <v>3525</v>
      </c>
      <c r="D915" s="82" t="s">
        <v>2412</v>
      </c>
      <c r="E915" s="82" t="s">
        <v>2712</v>
      </c>
      <c r="F915" s="82" t="s">
        <v>2226</v>
      </c>
      <c r="G915" s="82" t="s">
        <v>2227</v>
      </c>
      <c r="H915" s="83">
        <v>2112</v>
      </c>
      <c r="I915" s="84">
        <f>SUMIF(Cargas!$C$6:$C$1064,C915,Cargas!$O$6:$O$1064)</f>
        <v>0</v>
      </c>
      <c r="J915" s="85">
        <f ref="J915:J946" t="shared" si="16">IF(ABS(H915-I915)&lt;20,0,H915-I915)</f>
        <v>2112</v>
      </c>
      <c r="K915" s="86">
        <v>1469946</v>
      </c>
      <c r="L915" s="86">
        <v>168791</v>
      </c>
      <c r="M915" s="32"/>
    </row>
    <row r="916" hidden="1" ht="14.25" customHeight="1">
      <c r="A916" s="79"/>
      <c r="B916" s="80">
        <v>45183</v>
      </c>
      <c r="C916" s="81" t="s">
        <v>3526</v>
      </c>
      <c r="D916" s="82" t="s">
        <v>2544</v>
      </c>
      <c r="E916" s="82" t="s">
        <v>2871</v>
      </c>
      <c r="F916" s="82" t="s">
        <v>2226</v>
      </c>
      <c r="G916" s="82" t="s">
        <v>2258</v>
      </c>
      <c r="H916" s="83">
        <v>2112</v>
      </c>
      <c r="I916" s="84">
        <f>SUMIF(Cargas!$C$6:$C$1064,C916,Cargas!$O$6:$O$1064)</f>
        <v>0</v>
      </c>
      <c r="J916" s="85">
        <f t="shared" si="16"/>
        <v>2112</v>
      </c>
      <c r="K916" s="86">
        <v>1471511</v>
      </c>
      <c r="L916" s="86">
        <v>174765</v>
      </c>
      <c r="M916" s="32"/>
    </row>
    <row r="917" hidden="1" ht="14.25" customHeight="1" s="32" customFormat="1">
      <c r="A917" s="79"/>
      <c r="B917" s="80">
        <v>45201</v>
      </c>
      <c r="C917" s="81" t="s">
        <v>3527</v>
      </c>
      <c r="D917" s="82" t="s">
        <v>2620</v>
      </c>
      <c r="E917" s="82" t="s">
        <v>2712</v>
      </c>
      <c r="F917" s="82" t="s">
        <v>2226</v>
      </c>
      <c r="G917" s="82" t="s">
        <v>2258</v>
      </c>
      <c r="H917" s="83">
        <v>2112</v>
      </c>
      <c r="I917" s="84">
        <f>SUMIF(Cargas!$C$6:$C$1064,C917,Cargas!$O$6:$O$1064)</f>
        <v>0</v>
      </c>
      <c r="J917" s="85">
        <f t="shared" si="16"/>
        <v>2112</v>
      </c>
      <c r="K917" s="86">
        <v>1473207</v>
      </c>
      <c r="L917" s="86">
        <v>190213</v>
      </c>
    </row>
    <row r="918" hidden="1" ht="14.25" customHeight="1" s="32" customFormat="1">
      <c r="A918" s="79"/>
      <c r="B918" s="80">
        <v>45213</v>
      </c>
      <c r="C918" s="81">
        <v>53020</v>
      </c>
      <c r="D918" s="82" t="s">
        <v>2669</v>
      </c>
      <c r="E918" s="82" t="s">
        <v>2712</v>
      </c>
      <c r="F918" s="82" t="s">
        <v>2226</v>
      </c>
      <c r="G918" s="82" t="s">
        <v>2258</v>
      </c>
      <c r="H918" s="83">
        <v>2112</v>
      </c>
      <c r="I918" s="84">
        <f>SUMIF(Cargas!$C$6:$C$1064,C918,Cargas!$O$6:$O$1064)</f>
        <v>0</v>
      </c>
      <c r="J918" s="85">
        <f t="shared" si="16"/>
        <v>2112</v>
      </c>
      <c r="K918" s="86">
        <v>1474463</v>
      </c>
      <c r="L918" s="86">
        <v>197770</v>
      </c>
    </row>
    <row r="919" hidden="1" ht="14.25" customHeight="1">
      <c r="B919" s="64">
        <v>44931</v>
      </c>
      <c r="C919" s="9" t="s">
        <v>3528</v>
      </c>
      <c r="D919" s="6" t="s">
        <v>3457</v>
      </c>
      <c r="E919" s="6" t="s">
        <v>3529</v>
      </c>
      <c r="F919" s="6" t="s">
        <v>2221</v>
      </c>
      <c r="G919" s="6" t="s">
        <v>2222</v>
      </c>
      <c r="H919" s="7">
        <v>1567</v>
      </c>
      <c r="I919" s="8">
        <f>SUMIF(Cargas!$C$6:$C$1064,C919,Cargas!$O$6:$O$1064)</f>
        <v>0</v>
      </c>
      <c r="J919" s="17">
        <f t="shared" si="16"/>
        <v>1567</v>
      </c>
      <c r="K919" s="34">
        <v>1448890</v>
      </c>
      <c r="L919" s="34">
        <v>23435</v>
      </c>
    </row>
    <row r="920" hidden="1" ht="14.25" customHeight="1" s="32" customFormat="1">
      <c r="B920" s="64">
        <v>44937</v>
      </c>
      <c r="C920" s="9" t="s">
        <v>3530</v>
      </c>
      <c r="D920" s="6" t="s">
        <v>3258</v>
      </c>
      <c r="E920" s="6" t="s">
        <v>3529</v>
      </c>
      <c r="F920" s="6" t="s">
        <v>2221</v>
      </c>
      <c r="G920" s="6" t="s">
        <v>2222</v>
      </c>
      <c r="H920" s="7">
        <v>1650</v>
      </c>
      <c r="I920" s="8">
        <f>SUMIF(Cargas!$C$6:$C$1064,C920,Cargas!$O$6:$O$1064)</f>
        <v>0</v>
      </c>
      <c r="J920" s="17">
        <f t="shared" si="16"/>
        <v>1650</v>
      </c>
      <c r="K920" s="34">
        <v>1448891</v>
      </c>
      <c r="L920" s="34">
        <v>29212</v>
      </c>
    </row>
    <row r="921" hidden="1" ht="14.25" customHeight="1" s="32" customFormat="1">
      <c r="B921" s="64">
        <v>44949</v>
      </c>
      <c r="C921" s="9" t="s">
        <v>3531</v>
      </c>
      <c r="D921" s="6" t="s">
        <v>3532</v>
      </c>
      <c r="E921" s="6" t="s">
        <v>3529</v>
      </c>
      <c r="F921" s="6" t="s">
        <v>2221</v>
      </c>
      <c r="G921" s="6" t="s">
        <v>2222</v>
      </c>
      <c r="H921" s="7">
        <v>1621</v>
      </c>
      <c r="I921" s="8">
        <f>SUMIF(Cargas!$C$6:$C$1064,C921,Cargas!$O$6:$O$1064)</f>
        <v>0</v>
      </c>
      <c r="J921" s="17">
        <f t="shared" si="16"/>
        <v>1621</v>
      </c>
      <c r="K921" s="34">
        <v>1448893</v>
      </c>
      <c r="L921" s="34">
        <v>36808</v>
      </c>
    </row>
    <row r="922" hidden="1" ht="14.25" customHeight="1" s="32" customFormat="1">
      <c r="B922" s="64">
        <v>44964</v>
      </c>
      <c r="C922" s="9" t="s">
        <v>3533</v>
      </c>
      <c r="D922" s="6" t="s">
        <v>3534</v>
      </c>
      <c r="E922" s="6" t="s">
        <v>3529</v>
      </c>
      <c r="F922" s="6" t="s">
        <v>2221</v>
      </c>
      <c r="G922" s="6" t="s">
        <v>2222</v>
      </c>
      <c r="H922" s="7">
        <v>1872</v>
      </c>
      <c r="I922" s="8">
        <f>SUMIF(Cargas!$C$6:$C$1064,C922,Cargas!$O$6:$O$1064)</f>
        <v>0</v>
      </c>
      <c r="J922" s="17">
        <f t="shared" si="16"/>
        <v>1872</v>
      </c>
      <c r="K922" s="34"/>
      <c r="L922" s="34">
        <v>47425</v>
      </c>
    </row>
    <row r="923" hidden="1" ht="14.25" customHeight="1" s="32" customFormat="1">
      <c r="B923" s="64">
        <v>44971</v>
      </c>
      <c r="C923" s="9" t="s">
        <v>3535</v>
      </c>
      <c r="D923" s="6" t="s">
        <v>3536</v>
      </c>
      <c r="E923" s="6" t="s">
        <v>3529</v>
      </c>
      <c r="F923" s="6" t="s">
        <v>2221</v>
      </c>
      <c r="G923" s="6" t="s">
        <v>2222</v>
      </c>
      <c r="H923" s="7">
        <v>1692</v>
      </c>
      <c r="I923" s="8">
        <f>SUMIF(Cargas!$C$6:$C$1064,C923,Cargas!$O$6:$O$1064)</f>
        <v>0</v>
      </c>
      <c r="J923" s="17">
        <f t="shared" si="16"/>
        <v>1692</v>
      </c>
      <c r="K923" s="34"/>
      <c r="L923" s="34" t="s">
        <v>29</v>
      </c>
    </row>
    <row r="924" hidden="1" ht="14.25" customHeight="1" s="32" customFormat="1">
      <c r="A924" s="79"/>
      <c r="B924" s="80">
        <v>45222</v>
      </c>
      <c r="C924" s="81" t="s">
        <v>3537</v>
      </c>
      <c r="D924" s="82" t="s">
        <v>2930</v>
      </c>
      <c r="E924" s="82" t="s">
        <v>2712</v>
      </c>
      <c r="F924" s="82" t="s">
        <v>2226</v>
      </c>
      <c r="G924" s="82" t="s">
        <v>2258</v>
      </c>
      <c r="H924" s="83">
        <v>2112</v>
      </c>
      <c r="I924" s="84">
        <f>SUMIF(Cargas!$C$6:$C$1064,C924,Cargas!$O$6:$O$1064)</f>
        <v>0</v>
      </c>
      <c r="J924" s="85">
        <f t="shared" si="16"/>
        <v>2112</v>
      </c>
      <c r="K924" s="86">
        <v>1475481</v>
      </c>
      <c r="L924" s="86">
        <v>204029</v>
      </c>
    </row>
    <row r="925" hidden="1" ht="14.25" customHeight="1" s="32" customFormat="1">
      <c r="A925" s="79"/>
      <c r="B925" s="80">
        <v>45236</v>
      </c>
      <c r="C925" s="81" t="s">
        <v>3538</v>
      </c>
      <c r="D925" s="82" t="s">
        <v>2968</v>
      </c>
      <c r="E925" s="82" t="s">
        <v>2712</v>
      </c>
      <c r="F925" s="82" t="s">
        <v>2226</v>
      </c>
      <c r="G925" s="82" t="s">
        <v>2258</v>
      </c>
      <c r="H925" s="83">
        <v>2112</v>
      </c>
      <c r="I925" s="84">
        <f>SUMIF(Cargas!$C$6:$C$1064,C925,Cargas!$O$6:$O$1064)</f>
        <v>0</v>
      </c>
      <c r="J925" s="85">
        <f t="shared" si="16"/>
        <v>2112</v>
      </c>
      <c r="K925" s="86">
        <v>1476432</v>
      </c>
      <c r="L925" s="86" t="s">
        <v>29</v>
      </c>
    </row>
    <row r="926" hidden="1" ht="14.25" customHeight="1" s="32" customFormat="1">
      <c r="A926" s="79"/>
      <c r="B926" s="80">
        <v>45236</v>
      </c>
      <c r="C926" s="81" t="s">
        <v>3539</v>
      </c>
      <c r="D926" s="82" t="s">
        <v>3251</v>
      </c>
      <c r="E926" s="82" t="s">
        <v>2712</v>
      </c>
      <c r="F926" s="82" t="s">
        <v>2226</v>
      </c>
      <c r="G926" s="82" t="s">
        <v>2258</v>
      </c>
      <c r="H926" s="83">
        <v>2112</v>
      </c>
      <c r="I926" s="84">
        <f>SUMIF(Cargas!$C$6:$C$1064,C926,Cargas!$O$6:$O$1064)</f>
        <v>0</v>
      </c>
      <c r="J926" s="85">
        <f t="shared" si="16"/>
        <v>2112</v>
      </c>
      <c r="K926" s="86">
        <v>1477427</v>
      </c>
      <c r="L926" s="86">
        <v>220124</v>
      </c>
    </row>
    <row r="927" hidden="1" ht="14.25" customHeight="1" s="32" customFormat="1">
      <c r="A927" s="79"/>
      <c r="B927" s="80">
        <v>45253</v>
      </c>
      <c r="C927" s="81" t="s">
        <v>3540</v>
      </c>
      <c r="D927" s="82" t="s">
        <v>3253</v>
      </c>
      <c r="E927" s="82" t="s">
        <v>2780</v>
      </c>
      <c r="F927" s="82" t="s">
        <v>2226</v>
      </c>
      <c r="G927" s="82" t="s">
        <v>2227</v>
      </c>
      <c r="H927" s="83">
        <v>2496</v>
      </c>
      <c r="I927" s="84">
        <f>SUMIF(Cargas!$C$6:$C$1064,C927,Cargas!$O$6:$O$1064)</f>
        <v>0</v>
      </c>
      <c r="J927" s="85">
        <f t="shared" si="16"/>
        <v>2496</v>
      </c>
      <c r="K927" s="86">
        <v>1477426</v>
      </c>
      <c r="L927" s="86">
        <v>226475</v>
      </c>
    </row>
    <row r="928" hidden="1" ht="14.25" customHeight="1" s="32" customFormat="1">
      <c r="A928" s="79"/>
      <c r="B928" s="80">
        <v>45259</v>
      </c>
      <c r="C928" s="81" t="s">
        <v>3541</v>
      </c>
      <c r="D928" s="82" t="s">
        <v>3256</v>
      </c>
      <c r="E928" s="82" t="s">
        <v>2780</v>
      </c>
      <c r="F928" s="82" t="s">
        <v>2226</v>
      </c>
      <c r="G928" s="82" t="s">
        <v>2227</v>
      </c>
      <c r="H928" s="83">
        <v>2112</v>
      </c>
      <c r="I928" s="84">
        <f>SUMIF(Cargas!$C$6:$C$1064,C928,Cargas!$O$6:$O$1064)</f>
        <v>0</v>
      </c>
      <c r="J928" s="85">
        <f t="shared" si="16"/>
        <v>2112</v>
      </c>
      <c r="K928" s="86">
        <v>1478976</v>
      </c>
      <c r="L928" s="86">
        <v>231383</v>
      </c>
    </row>
    <row r="929" hidden="1" ht="14.25" customHeight="1" s="32" customFormat="1">
      <c r="A929" s="79"/>
      <c r="B929" s="80">
        <v>45265</v>
      </c>
      <c r="C929" s="81" t="s">
        <v>3542</v>
      </c>
      <c r="D929" s="82" t="s">
        <v>3263</v>
      </c>
      <c r="E929" s="82" t="s">
        <v>3418</v>
      </c>
      <c r="F929" s="82" t="s">
        <v>2226</v>
      </c>
      <c r="G929" s="82" t="s">
        <v>2258</v>
      </c>
      <c r="H929" s="83">
        <v>2112</v>
      </c>
      <c r="I929" s="84">
        <f>SUMIF(Cargas!$C$6:$C$1064,C929,Cargas!$O$6:$O$1064)</f>
        <v>0</v>
      </c>
      <c r="J929" s="85">
        <f t="shared" si="16"/>
        <v>2112</v>
      </c>
      <c r="K929" s="86"/>
      <c r="L929" s="86">
        <v>237021</v>
      </c>
    </row>
    <row r="930" hidden="1" ht="14.25" customHeight="1">
      <c r="A930" s="79"/>
      <c r="B930" s="80">
        <v>45272</v>
      </c>
      <c r="C930" s="81" t="s">
        <v>3543</v>
      </c>
      <c r="D930" s="82" t="s">
        <v>3265</v>
      </c>
      <c r="E930" s="82" t="s">
        <v>2712</v>
      </c>
      <c r="F930" s="82" t="s">
        <v>2226</v>
      </c>
      <c r="G930" s="82" t="s">
        <v>2258</v>
      </c>
      <c r="H930" s="83">
        <v>2112</v>
      </c>
      <c r="I930" s="84">
        <f>SUMIF(Cargas!$C$6:$C$1064,C930,Cargas!$O$6:$O$1064)</f>
        <v>0</v>
      </c>
      <c r="J930" s="85">
        <f t="shared" si="16"/>
        <v>2112</v>
      </c>
      <c r="K930" s="86"/>
      <c r="L930" s="86">
        <v>242557</v>
      </c>
      <c r="M930" s="32"/>
    </row>
    <row r="931" hidden="1" ht="14.25" customHeight="1">
      <c r="A931" s="79"/>
      <c r="B931" s="80">
        <v>45278</v>
      </c>
      <c r="C931" s="81" t="s">
        <v>3544</v>
      </c>
      <c r="D931" s="82" t="s">
        <v>3267</v>
      </c>
      <c r="E931" s="82" t="s">
        <v>3418</v>
      </c>
      <c r="F931" s="82" t="s">
        <v>2226</v>
      </c>
      <c r="G931" s="82" t="s">
        <v>2258</v>
      </c>
      <c r="H931" s="83">
        <v>1760</v>
      </c>
      <c r="I931" s="84">
        <f>SUMIF(Cargas!$C$6:$C$1064,C931,Cargas!$O$6:$O$1064)</f>
        <v>0</v>
      </c>
      <c r="J931" s="85">
        <f t="shared" si="16"/>
        <v>1760</v>
      </c>
      <c r="K931" s="86"/>
      <c r="L931" s="86">
        <v>242908</v>
      </c>
      <c r="M931" s="32"/>
    </row>
    <row r="932" hidden="1" ht="14.25" customHeight="1">
      <c r="A932" s="79"/>
      <c r="B932" s="80">
        <v>45278</v>
      </c>
      <c r="C932" s="81" t="s">
        <v>3545</v>
      </c>
      <c r="D932" s="82" t="s">
        <v>3269</v>
      </c>
      <c r="E932" s="82" t="s">
        <v>2712</v>
      </c>
      <c r="F932" s="82" t="s">
        <v>2226</v>
      </c>
      <c r="G932" s="82" t="s">
        <v>2258</v>
      </c>
      <c r="H932" s="83">
        <v>2112</v>
      </c>
      <c r="I932" s="84">
        <f>SUMIF(Cargas!$C$6:$C$1064,C932,Cargas!$O$6:$O$1064)</f>
        <v>0</v>
      </c>
      <c r="J932" s="85">
        <f t="shared" si="16"/>
        <v>2112</v>
      </c>
      <c r="K932" s="86"/>
      <c r="L932" s="86">
        <v>246033</v>
      </c>
      <c r="M932" s="32"/>
    </row>
    <row r="933" hidden="1" ht="14.25" customHeight="1" s="32" customFormat="1">
      <c r="A933" s="79"/>
      <c r="B933" s="80">
        <v>45276</v>
      </c>
      <c r="C933" s="81" t="s">
        <v>3546</v>
      </c>
      <c r="D933" s="82" t="s">
        <v>3272</v>
      </c>
      <c r="E933" s="82" t="s">
        <v>3418</v>
      </c>
      <c r="F933" s="82" t="s">
        <v>2226</v>
      </c>
      <c r="G933" s="82" t="s">
        <v>2258</v>
      </c>
      <c r="H933" s="83">
        <v>2112</v>
      </c>
      <c r="I933" s="84">
        <f>SUMIF(Cargas!$C$6:$C$1064,C933,Cargas!$O$6:$O$1064)</f>
        <v>0</v>
      </c>
      <c r="J933" s="85">
        <f t="shared" si="16"/>
        <v>2112</v>
      </c>
      <c r="K933" s="86"/>
      <c r="L933" s="86">
        <v>245895</v>
      </c>
    </row>
    <row r="934" hidden="1" ht="14.25" customHeight="1" s="32" customFormat="1">
      <c r="A934" s="79"/>
      <c r="B934" s="80">
        <v>45278</v>
      </c>
      <c r="C934" s="81" t="s">
        <v>3547</v>
      </c>
      <c r="D934" s="82" t="s">
        <v>3274</v>
      </c>
      <c r="E934" s="82" t="s">
        <v>2871</v>
      </c>
      <c r="F934" s="82" t="s">
        <v>2226</v>
      </c>
      <c r="G934" s="82" t="s">
        <v>2227</v>
      </c>
      <c r="H934" s="83">
        <v>1936</v>
      </c>
      <c r="I934" s="84">
        <f>SUMIF(Cargas!$C$6:$C$1064,C934,Cargas!$O$6:$O$1064)</f>
        <v>0</v>
      </c>
      <c r="J934" s="85">
        <f t="shared" si="16"/>
        <v>1936</v>
      </c>
      <c r="K934" s="86"/>
      <c r="L934" s="86">
        <v>247265</v>
      </c>
    </row>
    <row r="935" hidden="1" ht="14.25" customHeight="1">
      <c r="A935" s="79"/>
      <c r="B935" s="80">
        <v>45286</v>
      </c>
      <c r="C935" s="81" t="s">
        <v>3548</v>
      </c>
      <c r="D935" s="82" t="s">
        <v>3276</v>
      </c>
      <c r="E935" s="82" t="s">
        <v>2871</v>
      </c>
      <c r="F935" s="82" t="s">
        <v>2226</v>
      </c>
      <c r="G935" s="82" t="s">
        <v>2227</v>
      </c>
      <c r="H935" s="83">
        <v>1936</v>
      </c>
      <c r="I935" s="84">
        <f>SUMIF(Cargas!$C$6:$C$1064,C935,Cargas!$O$6:$O$1064)</f>
        <v>0</v>
      </c>
      <c r="J935" s="85">
        <f t="shared" si="16"/>
        <v>1936</v>
      </c>
      <c r="K935" s="86"/>
      <c r="L935" s="86">
        <v>251763</v>
      </c>
      <c r="M935" s="32"/>
    </row>
    <row r="936" hidden="1" ht="14.25" customHeight="1">
      <c r="A936" s="42"/>
      <c r="B936" s="64">
        <v>45042</v>
      </c>
      <c r="C936" s="134" t="s">
        <v>3549</v>
      </c>
      <c r="D936" s="6" t="s">
        <v>2761</v>
      </c>
      <c r="E936" s="6" t="s">
        <v>3550</v>
      </c>
      <c r="F936" s="6" t="s">
        <v>2226</v>
      </c>
      <c r="G936" s="6" t="s">
        <v>2227</v>
      </c>
      <c r="H936" s="7">
        <v>1043</v>
      </c>
      <c r="I936" s="8">
        <f>SUMIF(Cargas!$C$6:$C$1064,C936,Cargas!$O$6:$O$1064)</f>
        <v>0</v>
      </c>
      <c r="J936" s="17">
        <f t="shared" si="16"/>
        <v>1043</v>
      </c>
      <c r="K936" s="34">
        <v>1459131</v>
      </c>
      <c r="L936" s="34">
        <v>78916</v>
      </c>
    </row>
    <row r="937" hidden="1" ht="14.25" customHeight="1">
      <c r="A937" s="42"/>
      <c r="B937" s="64">
        <v>45042</v>
      </c>
      <c r="C937" s="134" t="s">
        <v>3551</v>
      </c>
      <c r="D937" s="6" t="s">
        <v>2767</v>
      </c>
      <c r="E937" s="6" t="s">
        <v>3550</v>
      </c>
      <c r="F937" s="6" t="s">
        <v>2226</v>
      </c>
      <c r="G937" s="6" t="s">
        <v>2227</v>
      </c>
      <c r="H937" s="7">
        <v>1043</v>
      </c>
      <c r="I937" s="8">
        <f>SUMIF(Cargas!$C$6:$C$1064,C937,Cargas!$O$6:$O$1064)</f>
        <v>0</v>
      </c>
      <c r="J937" s="17">
        <f t="shared" si="16"/>
        <v>1043</v>
      </c>
      <c r="K937" s="34">
        <v>1459130</v>
      </c>
      <c r="L937" s="34">
        <v>78916</v>
      </c>
    </row>
    <row r="938" hidden="1" ht="14.25" customHeight="1">
      <c r="A938" s="42"/>
      <c r="B938" s="64">
        <v>45044</v>
      </c>
      <c r="C938" s="134" t="s">
        <v>3552</v>
      </c>
      <c r="D938" s="6" t="s">
        <v>2773</v>
      </c>
      <c r="E938" s="6" t="s">
        <v>3550</v>
      </c>
      <c r="F938" s="6" t="s">
        <v>2226</v>
      </c>
      <c r="G938" s="6" t="s">
        <v>2227</v>
      </c>
      <c r="H938" s="135">
        <v>1043</v>
      </c>
      <c r="I938" s="8">
        <f>SUMIF(Cargas!$C$6:$C$1064,C938,Cargas!$O$6:$O$1064)</f>
        <v>0</v>
      </c>
      <c r="J938" s="17">
        <f t="shared" si="16"/>
        <v>1043</v>
      </c>
      <c r="K938" s="34"/>
      <c r="L938" s="34">
        <v>79670</v>
      </c>
    </row>
    <row r="939" hidden="1" ht="14.25" customHeight="1">
      <c r="A939" s="42"/>
      <c r="B939" s="64">
        <v>45044</v>
      </c>
      <c r="C939" s="134" t="s">
        <v>3553</v>
      </c>
      <c r="D939" s="6" t="s">
        <v>3554</v>
      </c>
      <c r="E939" s="6" t="s">
        <v>3550</v>
      </c>
      <c r="F939" s="6" t="s">
        <v>2226</v>
      </c>
      <c r="G939" s="6" t="s">
        <v>2227</v>
      </c>
      <c r="H939" s="135">
        <v>1043</v>
      </c>
      <c r="I939" s="8">
        <f>SUMIF(Cargas!$C$6:$C$1064,C939,Cargas!$O$6:$O$1064)</f>
        <v>0</v>
      </c>
      <c r="J939" s="17">
        <f t="shared" si="16"/>
        <v>1043</v>
      </c>
      <c r="K939" s="34"/>
      <c r="L939" s="34">
        <v>79670</v>
      </c>
    </row>
    <row r="940" hidden="1" ht="14.25" customHeight="1">
      <c r="A940" s="42"/>
      <c r="B940" s="64">
        <v>45054</v>
      </c>
      <c r="C940" s="134" t="s">
        <v>3555</v>
      </c>
      <c r="D940" s="6" t="s">
        <v>3556</v>
      </c>
      <c r="E940" s="6" t="s">
        <v>3550</v>
      </c>
      <c r="F940" s="6" t="s">
        <v>2226</v>
      </c>
      <c r="G940" s="6" t="s">
        <v>2227</v>
      </c>
      <c r="H940" s="135">
        <v>1043</v>
      </c>
      <c r="I940" s="8">
        <f>SUMIF(Cargas!$C$6:$C$1064,C940,Cargas!$O$6:$O$1064)</f>
        <v>0</v>
      </c>
      <c r="J940" s="17">
        <f t="shared" si="16"/>
        <v>1043</v>
      </c>
      <c r="K940" s="34"/>
      <c r="L940" s="34">
        <v>85853</v>
      </c>
    </row>
    <row r="941" hidden="1">
      <c r="A941" s="42"/>
      <c r="B941" s="64">
        <v>45054</v>
      </c>
      <c r="C941" s="134" t="s">
        <v>3557</v>
      </c>
      <c r="D941" s="6" t="s">
        <v>3558</v>
      </c>
      <c r="E941" s="6" t="s">
        <v>3550</v>
      </c>
      <c r="F941" s="6" t="s">
        <v>2226</v>
      </c>
      <c r="G941" s="6" t="s">
        <v>2227</v>
      </c>
      <c r="H941" s="135">
        <v>1043</v>
      </c>
      <c r="I941" s="8">
        <f>SUMIF(Cargas!$C$6:$C$1064,C941,Cargas!$O$6:$O$1064)</f>
        <v>0</v>
      </c>
      <c r="J941" s="17">
        <f t="shared" si="16"/>
        <v>1043</v>
      </c>
      <c r="K941" s="34"/>
      <c r="L941" s="34">
        <v>85853</v>
      </c>
    </row>
    <row r="942" hidden="1">
      <c r="A942" s="42"/>
      <c r="B942" s="64">
        <v>45051</v>
      </c>
      <c r="C942" s="134" t="s">
        <v>3559</v>
      </c>
      <c r="D942" s="6" t="s">
        <v>3560</v>
      </c>
      <c r="E942" s="6" t="s">
        <v>2794</v>
      </c>
      <c r="F942" s="6" t="s">
        <v>2226</v>
      </c>
      <c r="G942" s="6" t="s">
        <v>2227</v>
      </c>
      <c r="H942" s="135">
        <v>1200</v>
      </c>
      <c r="I942" s="8">
        <f>SUMIF(Cargas!$C$6:$C$1064,C942,Cargas!$O$6:$O$1064)</f>
        <v>0</v>
      </c>
      <c r="J942" s="17">
        <f t="shared" si="16"/>
        <v>1200</v>
      </c>
      <c r="K942" s="34"/>
      <c r="L942" s="34">
        <v>84550</v>
      </c>
    </row>
    <row r="943" hidden="1">
      <c r="A943" s="42"/>
      <c r="B943" s="64">
        <v>45051</v>
      </c>
      <c r="C943" s="134" t="s">
        <v>3561</v>
      </c>
      <c r="D943" s="6" t="s">
        <v>3562</v>
      </c>
      <c r="E943" s="6" t="s">
        <v>2794</v>
      </c>
      <c r="F943" s="6" t="s">
        <v>2226</v>
      </c>
      <c r="G943" s="6" t="s">
        <v>2227</v>
      </c>
      <c r="H943" s="135">
        <v>1200</v>
      </c>
      <c r="I943" s="8">
        <f>SUMIF(Cargas!$C$6:$C$1064,C943,Cargas!$O$6:$O$1064)</f>
        <v>0</v>
      </c>
      <c r="J943" s="17">
        <f t="shared" si="16"/>
        <v>1200</v>
      </c>
      <c r="K943" s="34"/>
      <c r="L943" s="34">
        <v>84550</v>
      </c>
    </row>
    <row r="944" hidden="1">
      <c r="B944" s="64">
        <v>44747</v>
      </c>
      <c r="C944" s="9" t="s">
        <v>3563</v>
      </c>
      <c r="D944" s="6" t="s">
        <v>2672</v>
      </c>
      <c r="E944" s="6" t="s">
        <v>2220</v>
      </c>
      <c r="F944" s="6" t="s">
        <v>2226</v>
      </c>
      <c r="G944" s="6" t="s">
        <v>2282</v>
      </c>
      <c r="H944" s="7">
        <v>1124</v>
      </c>
      <c r="I944" s="8">
        <f>SUMIF(Cargas!$C$6:$C$1064,C944,Cargas!$O$6:$O$1064)</f>
        <v>0</v>
      </c>
      <c r="J944" s="17">
        <f t="shared" si="16"/>
        <v>1124</v>
      </c>
      <c r="K944" s="34">
        <v>1432473</v>
      </c>
      <c r="L944" s="34">
        <v>137272</v>
      </c>
    </row>
    <row r="945" hidden="1">
      <c r="B945" s="64">
        <v>44755</v>
      </c>
      <c r="C945" s="9" t="s">
        <v>3564</v>
      </c>
      <c r="D945" s="6" t="s">
        <v>2674</v>
      </c>
      <c r="E945" s="6" t="s">
        <v>2220</v>
      </c>
      <c r="F945" s="6" t="s">
        <v>2226</v>
      </c>
      <c r="G945" s="6" t="s">
        <v>2258</v>
      </c>
      <c r="H945" s="7">
        <v>4320</v>
      </c>
      <c r="I945" s="8">
        <f>SUMIF(Cargas!$C$6:$C$1064,C945,Cargas!$O$6:$O$1064)</f>
        <v>0</v>
      </c>
      <c r="J945" s="17">
        <f t="shared" si="16"/>
        <v>4320</v>
      </c>
      <c r="K945" s="34">
        <v>1432982</v>
      </c>
      <c r="L945" s="34">
        <v>137334</v>
      </c>
    </row>
    <row r="946" hidden="1">
      <c r="B946" s="64">
        <v>44755</v>
      </c>
      <c r="C946" s="9" t="s">
        <v>3565</v>
      </c>
      <c r="D946" s="6" t="s">
        <v>2686</v>
      </c>
      <c r="E946" s="6" t="s">
        <v>2220</v>
      </c>
      <c r="F946" s="6" t="s">
        <v>2226</v>
      </c>
      <c r="G946" s="6" t="s">
        <v>2258</v>
      </c>
      <c r="H946" s="7">
        <v>1112</v>
      </c>
      <c r="I946" s="8">
        <f>SUMIF(Cargas!$C$6:$C$1064,C946,Cargas!$O$6:$O$1064)</f>
        <v>0</v>
      </c>
      <c r="J946" s="17">
        <f t="shared" si="16"/>
        <v>1112</v>
      </c>
      <c r="K946" s="34">
        <v>1432983</v>
      </c>
      <c r="L946" s="34">
        <v>137193</v>
      </c>
    </row>
    <row r="947" hidden="1">
      <c r="B947" s="64">
        <v>44755</v>
      </c>
      <c r="C947" s="9" t="s">
        <v>3566</v>
      </c>
      <c r="D947" s="6" t="s">
        <v>2692</v>
      </c>
      <c r="E947" s="6" t="s">
        <v>2220</v>
      </c>
      <c r="F947" s="6" t="s">
        <v>2226</v>
      </c>
      <c r="G947" s="6" t="s">
        <v>2227</v>
      </c>
      <c r="H947" s="7">
        <v>2160</v>
      </c>
      <c r="I947" s="8">
        <f>SUMIF(Cargas!$C$6:$C$1064,C947,Cargas!$O$6:$O$1064)</f>
        <v>0</v>
      </c>
      <c r="J947" s="17">
        <f ref="J947:J978" t="shared" si="17">IF(ABS(H947-I947)&lt;20,0,H947-I947)</f>
        <v>2160</v>
      </c>
      <c r="K947" s="34">
        <v>1433301</v>
      </c>
      <c r="L947" s="34">
        <v>137122</v>
      </c>
    </row>
    <row r="948" hidden="1" ht="15" customHeight="1">
      <c r="B948" s="64">
        <v>44768</v>
      </c>
      <c r="C948" s="9" t="s">
        <v>3567</v>
      </c>
      <c r="D948" s="6" t="s">
        <v>2705</v>
      </c>
      <c r="E948" s="6" t="s">
        <v>2220</v>
      </c>
      <c r="F948" s="6" t="s">
        <v>2226</v>
      </c>
      <c r="G948" s="6" t="s">
        <v>2258</v>
      </c>
      <c r="H948" s="7">
        <v>3320</v>
      </c>
      <c r="I948" s="8">
        <f>SUMIF(Cargas!$C$6:$C$1064,C948,Cargas!$O$6:$O$1064)</f>
        <v>0</v>
      </c>
      <c r="J948" s="17">
        <f t="shared" si="17"/>
        <v>3320</v>
      </c>
      <c r="K948" s="34">
        <v>143300</v>
      </c>
      <c r="L948" s="34">
        <v>145809</v>
      </c>
    </row>
    <row r="949" hidden="1">
      <c r="B949" s="64">
        <v>44776</v>
      </c>
      <c r="C949" s="9" t="s">
        <v>3568</v>
      </c>
      <c r="D949" s="6" t="s">
        <v>2943</v>
      </c>
      <c r="E949" s="6" t="s">
        <v>2220</v>
      </c>
      <c r="F949" s="6" t="s">
        <v>2226</v>
      </c>
      <c r="G949" s="6" t="s">
        <v>2258</v>
      </c>
      <c r="H949" s="7">
        <v>4336</v>
      </c>
      <c r="I949" s="8">
        <f>SUMIF(Cargas!$C$6:$C$1064,C949,Cargas!$O$6:$O$1064)</f>
        <v>0</v>
      </c>
      <c r="J949" s="17">
        <f t="shared" si="17"/>
        <v>4336</v>
      </c>
      <c r="K949" s="34">
        <v>1434542</v>
      </c>
      <c r="L949" s="34">
        <v>152838</v>
      </c>
    </row>
    <row r="950" hidden="1">
      <c r="B950" s="64">
        <v>44776</v>
      </c>
      <c r="C950" s="9" t="s">
        <v>3569</v>
      </c>
      <c r="D950" s="6" t="s">
        <v>2945</v>
      </c>
      <c r="E950" s="6" t="s">
        <v>2220</v>
      </c>
      <c r="F950" s="6" t="s">
        <v>2226</v>
      </c>
      <c r="G950" s="6" t="s">
        <v>2258</v>
      </c>
      <c r="H950" s="7">
        <v>1144</v>
      </c>
      <c r="I950" s="8">
        <f>SUMIF(Cargas!$C$6:$C$1064,C950,Cargas!$O$6:$O$1064)</f>
        <v>0</v>
      </c>
      <c r="J950" s="17">
        <f t="shared" si="17"/>
        <v>1144</v>
      </c>
      <c r="K950" s="34">
        <v>1434543</v>
      </c>
      <c r="L950" s="34">
        <v>152816</v>
      </c>
    </row>
    <row r="951" hidden="1">
      <c r="B951" s="64">
        <v>44772</v>
      </c>
      <c r="C951" s="9" t="s">
        <v>3570</v>
      </c>
      <c r="D951" s="6" t="s">
        <v>2954</v>
      </c>
      <c r="E951" s="6" t="s">
        <v>2220</v>
      </c>
      <c r="F951" s="6" t="s">
        <v>2226</v>
      </c>
      <c r="G951" s="6" t="s">
        <v>2227</v>
      </c>
      <c r="H951" s="7">
        <v>3240</v>
      </c>
      <c r="I951" s="8">
        <f>SUMIF(Cargas!$C$6:$C$1064,C951,Cargas!$O$6:$O$1064)</f>
        <v>0</v>
      </c>
      <c r="J951" s="17">
        <f t="shared" si="17"/>
        <v>3240</v>
      </c>
      <c r="K951" s="34">
        <v>1434545</v>
      </c>
      <c r="L951" s="34">
        <v>146795</v>
      </c>
    </row>
    <row r="952" hidden="1">
      <c r="B952" s="64">
        <v>44775</v>
      </c>
      <c r="C952" s="9" t="s">
        <v>3571</v>
      </c>
      <c r="D952" s="6" t="s">
        <v>2956</v>
      </c>
      <c r="E952" s="6" t="s">
        <v>2220</v>
      </c>
      <c r="F952" s="6" t="s">
        <v>2226</v>
      </c>
      <c r="G952" s="6" t="s">
        <v>2258</v>
      </c>
      <c r="H952" s="7">
        <v>4320</v>
      </c>
      <c r="I952" s="8">
        <f>SUMIF(Cargas!$C$6:$C$1064,C952,Cargas!$O$6:$O$1064)</f>
        <v>0</v>
      </c>
      <c r="J952" s="17">
        <f t="shared" si="17"/>
        <v>4320</v>
      </c>
      <c r="K952" s="34">
        <v>1434805</v>
      </c>
      <c r="L952" s="34">
        <v>149037</v>
      </c>
    </row>
    <row r="953" hidden="1">
      <c r="B953" s="64">
        <v>44775</v>
      </c>
      <c r="C953" s="9" t="s">
        <v>3572</v>
      </c>
      <c r="D953" s="6" t="s">
        <v>2958</v>
      </c>
      <c r="E953" s="6" t="s">
        <v>2220</v>
      </c>
      <c r="F953" s="6" t="s">
        <v>2226</v>
      </c>
      <c r="G953" s="6" t="s">
        <v>2258</v>
      </c>
      <c r="H953" s="7">
        <v>1080</v>
      </c>
      <c r="I953" s="8">
        <f>SUMIF(Cargas!$C$6:$C$1064,C953,Cargas!$O$6:$O$1064)</f>
        <v>0</v>
      </c>
      <c r="J953" s="17">
        <f t="shared" si="17"/>
        <v>1080</v>
      </c>
      <c r="K953" s="34">
        <v>1434806</v>
      </c>
      <c r="L953" s="34">
        <v>149090</v>
      </c>
    </row>
    <row r="954" hidden="1">
      <c r="A954" s="42"/>
      <c r="B954" s="64">
        <v>45051</v>
      </c>
      <c r="C954" s="134" t="s">
        <v>3573</v>
      </c>
      <c r="D954" s="6" t="s">
        <v>3574</v>
      </c>
      <c r="E954" s="6" t="s">
        <v>2794</v>
      </c>
      <c r="F954" s="6" t="s">
        <v>2226</v>
      </c>
      <c r="G954" s="6" t="s">
        <v>2227</v>
      </c>
      <c r="H954" s="135">
        <v>1200</v>
      </c>
      <c r="I954" s="8">
        <f>SUMIF(Cargas!$C$6:$C$1064,C954,Cargas!$O$6:$O$1064)</f>
        <v>0</v>
      </c>
      <c r="J954" s="17">
        <f t="shared" si="17"/>
        <v>1200</v>
      </c>
      <c r="K954" s="34"/>
      <c r="L954" s="34">
        <v>85855</v>
      </c>
    </row>
    <row r="955" hidden="1">
      <c r="A955" s="42"/>
      <c r="B955" s="64">
        <v>45051</v>
      </c>
      <c r="C955" s="134" t="s">
        <v>3575</v>
      </c>
      <c r="D955" s="6" t="s">
        <v>3576</v>
      </c>
      <c r="E955" s="6" t="s">
        <v>2794</v>
      </c>
      <c r="F955" s="6" t="s">
        <v>2226</v>
      </c>
      <c r="G955" s="6" t="s">
        <v>2227</v>
      </c>
      <c r="H955" s="135">
        <v>1250</v>
      </c>
      <c r="I955" s="8">
        <f>SUMIF(Cargas!$C$6:$C$1064,C955,Cargas!$O$6:$O$1064)</f>
        <v>0</v>
      </c>
      <c r="J955" s="17">
        <f t="shared" si="17"/>
        <v>1250</v>
      </c>
      <c r="K955" s="34"/>
      <c r="L955" s="34">
        <v>85855</v>
      </c>
    </row>
    <row r="956" hidden="1">
      <c r="A956" s="42"/>
      <c r="B956" s="64">
        <v>45055</v>
      </c>
      <c r="C956" s="134" t="s">
        <v>3577</v>
      </c>
      <c r="D956" s="6" t="s">
        <v>3578</v>
      </c>
      <c r="E956" s="6" t="s">
        <v>2794</v>
      </c>
      <c r="F956" s="6" t="s">
        <v>2226</v>
      </c>
      <c r="G956" s="6" t="s">
        <v>2258</v>
      </c>
      <c r="H956" s="135">
        <v>1250</v>
      </c>
      <c r="I956" s="8">
        <f>SUMIF(Cargas!$C$6:$C$1064,C956,Cargas!$O$6:$O$1064)</f>
        <v>0</v>
      </c>
      <c r="J956" s="17">
        <f t="shared" si="17"/>
        <v>1250</v>
      </c>
      <c r="K956" s="34"/>
      <c r="L956" s="34">
        <v>86745</v>
      </c>
    </row>
    <row r="957" hidden="1">
      <c r="A957" s="42"/>
      <c r="B957" s="64">
        <v>45055</v>
      </c>
      <c r="C957" s="134" t="s">
        <v>3579</v>
      </c>
      <c r="D957" s="6" t="s">
        <v>3580</v>
      </c>
      <c r="E957" s="6" t="s">
        <v>2794</v>
      </c>
      <c r="F957" s="6" t="s">
        <v>2226</v>
      </c>
      <c r="G957" s="6" t="s">
        <v>2258</v>
      </c>
      <c r="H957" s="135">
        <v>1250</v>
      </c>
      <c r="I957" s="8">
        <f>SUMIF(Cargas!$C$6:$C$1064,C957,Cargas!$O$6:$O$1064)</f>
        <v>0</v>
      </c>
      <c r="J957" s="17">
        <f t="shared" si="17"/>
        <v>1250</v>
      </c>
      <c r="K957" s="34"/>
      <c r="L957" s="34">
        <v>86745</v>
      </c>
    </row>
    <row r="958" hidden="1">
      <c r="A958" s="42"/>
      <c r="B958" s="64">
        <v>45055</v>
      </c>
      <c r="C958" s="134" t="s">
        <v>3581</v>
      </c>
      <c r="D958" s="6" t="s">
        <v>3582</v>
      </c>
      <c r="E958" s="6" t="s">
        <v>2794</v>
      </c>
      <c r="F958" s="6" t="s">
        <v>2226</v>
      </c>
      <c r="G958" s="6" t="s">
        <v>2258</v>
      </c>
      <c r="H958" s="135">
        <v>1200</v>
      </c>
      <c r="I958" s="8">
        <f>SUMIF(Cargas!$C$6:$C$1064,C958,Cargas!$O$6:$O$1064)</f>
        <v>0</v>
      </c>
      <c r="J958" s="17">
        <f t="shared" si="17"/>
        <v>1200</v>
      </c>
      <c r="K958" s="34"/>
      <c r="L958" s="34">
        <v>86745</v>
      </c>
    </row>
    <row r="959" hidden="1">
      <c r="B959" s="64">
        <v>44929</v>
      </c>
      <c r="C959" s="9" t="s">
        <v>3583</v>
      </c>
      <c r="D959" s="6" t="s">
        <v>2224</v>
      </c>
      <c r="E959" s="6" t="s">
        <v>2225</v>
      </c>
      <c r="F959" s="6" t="s">
        <v>2226</v>
      </c>
      <c r="G959" s="6" t="s">
        <v>2227</v>
      </c>
      <c r="H959" s="7">
        <v>1680</v>
      </c>
      <c r="I959" s="8">
        <f>SUMIF(Cargas!$C$6:$C$1064,C959,Cargas!$O$6:$O$1064)</f>
        <v>0</v>
      </c>
      <c r="J959" s="17">
        <f t="shared" si="17"/>
        <v>1680</v>
      </c>
      <c r="K959" s="34">
        <v>1449588</v>
      </c>
      <c r="L959" s="34">
        <v>10882</v>
      </c>
    </row>
    <row r="960" hidden="1">
      <c r="B960" s="64">
        <v>44951</v>
      </c>
      <c r="C960" s="9" t="s">
        <v>3584</v>
      </c>
      <c r="D960" s="6" t="s">
        <v>2246</v>
      </c>
      <c r="E960" s="6" t="s">
        <v>2225</v>
      </c>
      <c r="F960" s="6" t="s">
        <v>2226</v>
      </c>
      <c r="G960" s="6" t="s">
        <v>2227</v>
      </c>
      <c r="H960" s="7">
        <v>1680</v>
      </c>
      <c r="I960" s="8">
        <f>SUMIF(Cargas!$C$6:$C$1064,C960,Cargas!$O$6:$O$1064)</f>
        <v>0</v>
      </c>
      <c r="J960" s="17">
        <f t="shared" si="17"/>
        <v>1680</v>
      </c>
      <c r="K960" s="34">
        <v>1450552</v>
      </c>
      <c r="L960" s="34">
        <v>23734</v>
      </c>
    </row>
    <row r="961" hidden="1">
      <c r="B961" s="64">
        <v>44965</v>
      </c>
      <c r="C961" s="9" t="s">
        <v>3585</v>
      </c>
      <c r="D961" s="6" t="s">
        <v>2268</v>
      </c>
      <c r="E961" s="6" t="s">
        <v>2225</v>
      </c>
      <c r="F961" s="6" t="s">
        <v>2226</v>
      </c>
      <c r="G961" s="6" t="s">
        <v>2227</v>
      </c>
      <c r="H961" s="7">
        <v>1680</v>
      </c>
      <c r="I961" s="8">
        <f>SUMIF(Cargas!$C$6:$C$1064,C961,Cargas!$O$6:$O$1064)</f>
        <v>0</v>
      </c>
      <c r="J961" s="17">
        <f t="shared" si="17"/>
        <v>1680</v>
      </c>
      <c r="K961" s="34">
        <v>1451194</v>
      </c>
      <c r="L961" s="34">
        <v>32287</v>
      </c>
    </row>
    <row r="962" hidden="1">
      <c r="B962" s="64">
        <v>44979</v>
      </c>
      <c r="C962" s="9" t="s">
        <v>3586</v>
      </c>
      <c r="D962" s="6" t="s">
        <v>2274</v>
      </c>
      <c r="E962" s="6" t="s">
        <v>2225</v>
      </c>
      <c r="F962" s="6" t="s">
        <v>2226</v>
      </c>
      <c r="G962" s="6" t="s">
        <v>2227</v>
      </c>
      <c r="H962" s="7">
        <v>1680</v>
      </c>
      <c r="I962" s="8">
        <f>SUMIF(Cargas!$C$6:$C$1064,C962,Cargas!$O$6:$O$1064)</f>
        <v>0</v>
      </c>
      <c r="J962" s="17">
        <f t="shared" si="17"/>
        <v>1680</v>
      </c>
      <c r="K962" s="34">
        <v>1452314</v>
      </c>
      <c r="L962" s="34">
        <v>41941</v>
      </c>
    </row>
    <row r="963" hidden="1">
      <c r="B963" s="64">
        <v>44985</v>
      </c>
      <c r="C963" s="9" t="s">
        <v>3587</v>
      </c>
      <c r="D963" s="6" t="s">
        <v>2293</v>
      </c>
      <c r="E963" s="6" t="s">
        <v>2225</v>
      </c>
      <c r="F963" s="6" t="s">
        <v>2226</v>
      </c>
      <c r="G963" s="6" t="s">
        <v>2227</v>
      </c>
      <c r="H963" s="7">
        <v>1680</v>
      </c>
      <c r="I963" s="8">
        <f>SUMIF(Cargas!$C$6:$C$1064,C963,Cargas!$O$6:$O$1064)</f>
        <v>0</v>
      </c>
      <c r="J963" s="17">
        <f t="shared" si="17"/>
        <v>1680</v>
      </c>
      <c r="K963" s="34">
        <v>1452933</v>
      </c>
      <c r="L963" s="34">
        <v>44851</v>
      </c>
    </row>
    <row r="964" hidden="1">
      <c r="B964" s="64">
        <v>44999</v>
      </c>
      <c r="C964" s="9" t="s">
        <v>3588</v>
      </c>
      <c r="D964" s="6" t="s">
        <v>2304</v>
      </c>
      <c r="E964" s="6" t="s">
        <v>2225</v>
      </c>
      <c r="F964" s="6" t="s">
        <v>2226</v>
      </c>
      <c r="G964" s="6" t="s">
        <v>2227</v>
      </c>
      <c r="H964" s="7">
        <v>1680</v>
      </c>
      <c r="I964" s="8">
        <f>SUMIF(Cargas!$C$6:$C$1064,C964,Cargas!$O$6:$O$1064)</f>
        <v>0</v>
      </c>
      <c r="J964" s="17">
        <f t="shared" si="17"/>
        <v>1680</v>
      </c>
      <c r="K964" s="34">
        <v>1454257</v>
      </c>
      <c r="L964" s="34">
        <v>54628</v>
      </c>
    </row>
    <row r="965" hidden="1">
      <c r="B965" s="64">
        <v>45013</v>
      </c>
      <c r="C965" s="9" t="s">
        <v>3589</v>
      </c>
      <c r="D965" s="6" t="s">
        <v>2323</v>
      </c>
      <c r="E965" s="6" t="s">
        <v>2225</v>
      </c>
      <c r="F965" s="6" t="s">
        <v>2226</v>
      </c>
      <c r="G965" s="6" t="s">
        <v>2227</v>
      </c>
      <c r="H965" s="7">
        <v>1680</v>
      </c>
      <c r="I965" s="8">
        <f>SUMIF(Cargas!$C$6:$C$1064,C965,Cargas!$O$6:$O$1064)</f>
        <v>0</v>
      </c>
      <c r="J965" s="17">
        <f t="shared" si="17"/>
        <v>1680</v>
      </c>
      <c r="K965" s="34">
        <v>1455559</v>
      </c>
      <c r="L965" s="34">
        <v>66743</v>
      </c>
    </row>
    <row r="966" hidden="1" ht="14.25" customHeight="1">
      <c r="B966" s="64">
        <v>45028</v>
      </c>
      <c r="C966" s="9" t="s">
        <v>3590</v>
      </c>
      <c r="D966" s="6" t="s">
        <v>2365</v>
      </c>
      <c r="E966" s="6" t="s">
        <v>2225</v>
      </c>
      <c r="F966" s="6" t="s">
        <v>2226</v>
      </c>
      <c r="G966" s="6" t="s">
        <v>2227</v>
      </c>
      <c r="H966" s="7">
        <v>1680</v>
      </c>
      <c r="I966" s="8">
        <f>SUMIF(Cargas!$C$6:$C$1064,C966,Cargas!$O$6:$O$1064)</f>
        <v>0</v>
      </c>
      <c r="J966" s="17">
        <f t="shared" si="17"/>
        <v>1680</v>
      </c>
      <c r="K966" s="34">
        <v>1457293</v>
      </c>
      <c r="L966" s="34">
        <v>75222</v>
      </c>
    </row>
    <row r="967" hidden="1">
      <c r="B967" s="64">
        <v>45049</v>
      </c>
      <c r="C967" s="9" t="s">
        <v>3591</v>
      </c>
      <c r="D967" s="6" t="s">
        <v>2404</v>
      </c>
      <c r="E967" s="6" t="s">
        <v>2225</v>
      </c>
      <c r="F967" s="6" t="s">
        <v>2226</v>
      </c>
      <c r="G967" s="6" t="s">
        <v>2227</v>
      </c>
      <c r="H967" s="7">
        <v>1680</v>
      </c>
      <c r="I967" s="8">
        <f>SUMIF(Cargas!$C$6:$C$1064,C967,Cargas!$O$6:$O$1064)</f>
        <v>0</v>
      </c>
      <c r="J967" s="17">
        <f t="shared" si="17"/>
        <v>1680</v>
      </c>
      <c r="K967" s="34">
        <v>1458204</v>
      </c>
      <c r="L967" s="34">
        <v>90043</v>
      </c>
    </row>
    <row r="968" hidden="1">
      <c r="B968" s="64">
        <v>45061</v>
      </c>
      <c r="C968" s="9" t="s">
        <v>3592</v>
      </c>
      <c r="D968" s="6" t="s">
        <v>2422</v>
      </c>
      <c r="E968" s="6" t="s">
        <v>2225</v>
      </c>
      <c r="F968" s="6" t="s">
        <v>2226</v>
      </c>
      <c r="G968" s="6" t="s">
        <v>2227</v>
      </c>
      <c r="H968" s="7">
        <v>1680</v>
      </c>
      <c r="I968" s="8">
        <f>SUMIF(Cargas!$C$6:$C$1064,C968,Cargas!$O$6:$O$1064)</f>
        <v>0</v>
      </c>
      <c r="J968" s="17">
        <f t="shared" si="17"/>
        <v>1680</v>
      </c>
      <c r="K968" s="34">
        <v>1460195</v>
      </c>
      <c r="L968" s="34">
        <v>96600</v>
      </c>
    </row>
    <row r="969" hidden="1">
      <c r="B969" s="64">
        <v>45074</v>
      </c>
      <c r="C969" s="9" t="s">
        <v>3593</v>
      </c>
      <c r="D969" s="6" t="s">
        <v>2430</v>
      </c>
      <c r="E969" s="6" t="s">
        <v>2225</v>
      </c>
      <c r="F969" s="6" t="s">
        <v>2226</v>
      </c>
      <c r="G969" s="6" t="s">
        <v>2227</v>
      </c>
      <c r="H969" s="7">
        <v>1680</v>
      </c>
      <c r="I969" s="8">
        <f>SUMIF(Cargas!$C$6:$C$1064,C969,Cargas!$O$6:$O$1064)</f>
        <v>0</v>
      </c>
      <c r="J969" s="17">
        <f t="shared" si="17"/>
        <v>1680</v>
      </c>
      <c r="K969" s="34">
        <v>1461159</v>
      </c>
      <c r="L969" s="34">
        <v>109561</v>
      </c>
    </row>
    <row r="970" hidden="1">
      <c r="A970" s="42"/>
      <c r="B970" s="64">
        <v>45090</v>
      </c>
      <c r="C970" s="134" t="s">
        <v>3594</v>
      </c>
      <c r="D970" s="6" t="s">
        <v>2471</v>
      </c>
      <c r="E970" s="6" t="s">
        <v>2225</v>
      </c>
      <c r="F970" s="6" t="s">
        <v>2226</v>
      </c>
      <c r="G970" s="6" t="s">
        <v>2227</v>
      </c>
      <c r="H970" s="135">
        <v>1680</v>
      </c>
      <c r="I970" s="8">
        <f>SUMIF(Cargas!$C$6:$C$1064,C970,Cargas!$O$6:$O$1064)</f>
        <v>0</v>
      </c>
      <c r="J970" s="17">
        <f t="shared" si="17"/>
        <v>1680</v>
      </c>
      <c r="K970" s="34">
        <v>1462196</v>
      </c>
      <c r="L970" s="34">
        <v>120979</v>
      </c>
    </row>
    <row r="971" hidden="1">
      <c r="A971" s="42"/>
      <c r="B971" s="64">
        <v>45110</v>
      </c>
      <c r="C971" s="134" t="s">
        <v>3595</v>
      </c>
      <c r="D971" s="6" t="s">
        <v>2510</v>
      </c>
      <c r="E971" s="6" t="s">
        <v>2225</v>
      </c>
      <c r="F971" s="6" t="s">
        <v>2226</v>
      </c>
      <c r="G971" s="6" t="s">
        <v>2227</v>
      </c>
      <c r="H971" s="135">
        <v>1680</v>
      </c>
      <c r="I971" s="8">
        <f>SUMIF(Cargas!$C$6:$C$1064,C971,Cargas!$O$6:$O$1064)</f>
        <v>0</v>
      </c>
      <c r="J971" s="17">
        <f t="shared" si="17"/>
        <v>1680</v>
      </c>
      <c r="K971" s="34">
        <v>1464105</v>
      </c>
      <c r="L971" s="34">
        <v>131438</v>
      </c>
    </row>
    <row r="972" hidden="1">
      <c r="A972" s="42"/>
      <c r="B972" s="64">
        <v>45132</v>
      </c>
      <c r="C972" s="134" t="s">
        <v>3596</v>
      </c>
      <c r="D972" s="6" t="s">
        <v>2546</v>
      </c>
      <c r="E972" s="6" t="s">
        <v>2225</v>
      </c>
      <c r="F972" s="6" t="s">
        <v>2226</v>
      </c>
      <c r="G972" s="6" t="s">
        <v>2227</v>
      </c>
      <c r="H972" s="135">
        <v>1680</v>
      </c>
      <c r="I972" s="8">
        <f>SUMIF(Cargas!$C$6:$C$1064,C972,Cargas!$O$6:$O$1064)</f>
        <v>0</v>
      </c>
      <c r="J972" s="17">
        <f t="shared" si="17"/>
        <v>1680</v>
      </c>
      <c r="K972" s="34">
        <v>14625849</v>
      </c>
      <c r="L972" s="34">
        <v>148564</v>
      </c>
    </row>
    <row r="973" hidden="1" ht="14.25" customHeight="1">
      <c r="B973" s="64">
        <v>45152</v>
      </c>
      <c r="C973" s="9" t="s">
        <v>3597</v>
      </c>
      <c r="D973" s="6" t="s">
        <v>2577</v>
      </c>
      <c r="E973" s="6" t="s">
        <v>2225</v>
      </c>
      <c r="F973" s="6" t="s">
        <v>2226</v>
      </c>
      <c r="G973" s="6" t="s">
        <v>2227</v>
      </c>
      <c r="H973" s="7">
        <v>1680</v>
      </c>
      <c r="I973" s="8">
        <f>SUMIF(Cargas!$C$6:$C$1064,C973,Cargas!$O$6:$O$1064)</f>
        <v>0</v>
      </c>
      <c r="J973" s="17">
        <f t="shared" si="17"/>
        <v>1680</v>
      </c>
      <c r="K973" s="34">
        <v>1467964</v>
      </c>
      <c r="L973" s="34">
        <v>162671</v>
      </c>
    </row>
    <row r="974" hidden="1" ht="14.25" customHeight="1">
      <c r="B974" s="64">
        <v>45172</v>
      </c>
      <c r="C974" s="9" t="s">
        <v>3598</v>
      </c>
      <c r="D974" s="6" t="s">
        <v>2602</v>
      </c>
      <c r="E974" s="6" t="s">
        <v>2225</v>
      </c>
      <c r="F974" s="6" t="s">
        <v>2226</v>
      </c>
      <c r="G974" s="6" t="s">
        <v>2227</v>
      </c>
      <c r="H974" s="7">
        <v>1680</v>
      </c>
      <c r="I974" s="8">
        <f>SUMIF(Cargas!$C$6:$C$1064,C974,Cargas!$O$6:$O$1064)</f>
        <v>0</v>
      </c>
      <c r="J974" s="17">
        <f t="shared" si="17"/>
        <v>1680</v>
      </c>
      <c r="K974" s="34">
        <v>1469675</v>
      </c>
      <c r="L974" s="34">
        <v>178637</v>
      </c>
    </row>
    <row r="975" hidden="1">
      <c r="B975" s="64">
        <v>45188</v>
      </c>
      <c r="C975" s="9" t="s">
        <v>3599</v>
      </c>
      <c r="D975" s="6" t="s">
        <v>2618</v>
      </c>
      <c r="E975" s="6" t="s">
        <v>2225</v>
      </c>
      <c r="F975" s="6" t="s">
        <v>2226</v>
      </c>
      <c r="G975" s="6" t="s">
        <v>2227</v>
      </c>
      <c r="H975" s="7">
        <v>1680</v>
      </c>
      <c r="I975" s="8">
        <f>SUMIF(Cargas!$C$6:$C$1064,C975,Cargas!$O$6:$O$1064)</f>
        <v>0</v>
      </c>
      <c r="J975" s="17">
        <f t="shared" si="17"/>
        <v>1680</v>
      </c>
      <c r="K975" s="34">
        <v>1471507</v>
      </c>
      <c r="L975" s="34">
        <v>187222</v>
      </c>
    </row>
    <row r="976" hidden="1">
      <c r="B976" s="64">
        <v>45202</v>
      </c>
      <c r="C976" s="9" t="s">
        <v>3600</v>
      </c>
      <c r="D976" s="6" t="s">
        <v>2645</v>
      </c>
      <c r="E976" s="6" t="s">
        <v>2225</v>
      </c>
      <c r="F976" s="6" t="s">
        <v>2226</v>
      </c>
      <c r="G976" s="6" t="s">
        <v>2227</v>
      </c>
      <c r="H976" s="7">
        <v>1680</v>
      </c>
      <c r="I976" s="8">
        <f>SUMIF(Cargas!$C$6:$C$1064,C976,Cargas!$O$6:$O$1064)</f>
        <v>0</v>
      </c>
      <c r="J976" s="17">
        <f t="shared" si="17"/>
        <v>1680</v>
      </c>
      <c r="K976" s="34">
        <v>1473105</v>
      </c>
      <c r="L976" s="34">
        <v>195902</v>
      </c>
    </row>
    <row r="977" hidden="1">
      <c r="B977" s="64">
        <v>45214</v>
      </c>
      <c r="C977" s="9" t="s">
        <v>3601</v>
      </c>
      <c r="D977" s="6" t="s">
        <v>2655</v>
      </c>
      <c r="E977" s="6" t="s">
        <v>2225</v>
      </c>
      <c r="F977" s="6" t="s">
        <v>2226</v>
      </c>
      <c r="G977" s="6" t="s">
        <v>2227</v>
      </c>
      <c r="H977" s="7">
        <v>1680</v>
      </c>
      <c r="I977" s="8">
        <f>SUMIF(Cargas!$C$6:$C$1064,C977,Cargas!$O$6:$O$1064)</f>
        <v>0</v>
      </c>
      <c r="J977" s="17">
        <f t="shared" si="17"/>
        <v>1680</v>
      </c>
      <c r="K977" s="34">
        <v>1474789</v>
      </c>
      <c r="L977" s="34">
        <v>210075</v>
      </c>
    </row>
    <row r="978" hidden="1">
      <c r="B978" s="64">
        <v>45242</v>
      </c>
      <c r="C978" s="9" t="s">
        <v>3602</v>
      </c>
      <c r="D978" s="6" t="s">
        <v>2676</v>
      </c>
      <c r="E978" s="6" t="s">
        <v>2225</v>
      </c>
      <c r="F978" s="6" t="s">
        <v>2226</v>
      </c>
      <c r="G978" s="6" t="s">
        <v>2227</v>
      </c>
      <c r="H978" s="7">
        <v>1680</v>
      </c>
      <c r="I978" s="8">
        <f>SUMIF(Cargas!$C$6:$C$1064,C978,Cargas!$O$6:$O$1064)</f>
        <v>0</v>
      </c>
      <c r="J978" s="17">
        <f t="shared" si="17"/>
        <v>1680</v>
      </c>
      <c r="K978" s="34">
        <v>1477107</v>
      </c>
      <c r="L978" s="34">
        <v>227771</v>
      </c>
    </row>
    <row r="979" hidden="1">
      <c r="B979" s="64">
        <v>45251</v>
      </c>
      <c r="C979" s="9" t="s">
        <v>3603</v>
      </c>
      <c r="D979" s="6" t="s">
        <v>2694</v>
      </c>
      <c r="E979" s="6" t="s">
        <v>2225</v>
      </c>
      <c r="F979" s="6" t="s">
        <v>2226</v>
      </c>
      <c r="G979" s="6" t="s">
        <v>2227</v>
      </c>
      <c r="H979" s="7">
        <v>1680</v>
      </c>
      <c r="I979" s="8">
        <f>SUMIF(Cargas!$C$6:$C$1064,C979,Cargas!$O$6:$O$1064)</f>
        <v>0</v>
      </c>
      <c r="J979" s="17">
        <f ref="J979:J1010" t="shared" si="18">IF(ABS(H979-I979)&lt;20,0,H979-I979)</f>
        <v>1680</v>
      </c>
      <c r="K979" s="34">
        <v>1477978</v>
      </c>
      <c r="L979" s="34">
        <v>233547</v>
      </c>
    </row>
    <row r="980" hidden="1">
      <c r="B980" s="64">
        <v>45258</v>
      </c>
      <c r="C980" s="9" t="s">
        <v>3604</v>
      </c>
      <c r="D980" s="6" t="s">
        <v>3333</v>
      </c>
      <c r="E980" s="6" t="s">
        <v>2225</v>
      </c>
      <c r="F980" s="6" t="s">
        <v>2226</v>
      </c>
      <c r="G980" s="6" t="s">
        <v>2227</v>
      </c>
      <c r="H980" s="7">
        <v>1680</v>
      </c>
      <c r="I980" s="8">
        <f>SUMIF(Cargas!$C$6:$C$1064,C980,Cargas!$O$6:$O$1064)</f>
        <v>0</v>
      </c>
      <c r="J980" s="17">
        <f t="shared" si="18"/>
        <v>1680</v>
      </c>
      <c r="K980" s="34">
        <v>1477978</v>
      </c>
      <c r="L980" s="34">
        <v>243852</v>
      </c>
    </row>
    <row r="981" hidden="1">
      <c r="B981" s="64">
        <v>45272</v>
      </c>
      <c r="C981" s="9" t="s">
        <v>3605</v>
      </c>
      <c r="D981" s="6" t="s">
        <v>3361</v>
      </c>
      <c r="E981" s="6" t="s">
        <v>2225</v>
      </c>
      <c r="F981" s="6" t="s">
        <v>2226</v>
      </c>
      <c r="G981" s="6" t="s">
        <v>2227</v>
      </c>
      <c r="H981" s="7">
        <v>1680</v>
      </c>
      <c r="I981" s="8">
        <f>SUMIF(Cargas!$C$6:$C$1064,C981,Cargas!$O$6:$O$1064)</f>
        <v>0</v>
      </c>
      <c r="J981" s="17">
        <f t="shared" si="18"/>
        <v>1680</v>
      </c>
      <c r="K981" s="34">
        <v>1477978</v>
      </c>
      <c r="L981" s="34">
        <v>251538</v>
      </c>
    </row>
    <row r="982" hidden="1">
      <c r="B982" s="64">
        <v>45281</v>
      </c>
      <c r="C982" s="9" t="s">
        <v>3606</v>
      </c>
      <c r="D982" s="6" t="s">
        <v>2985</v>
      </c>
      <c r="E982" s="6" t="s">
        <v>2225</v>
      </c>
      <c r="F982" s="6" t="s">
        <v>2226</v>
      </c>
      <c r="G982" s="6" t="s">
        <v>2227</v>
      </c>
      <c r="H982" s="7">
        <v>1680</v>
      </c>
      <c r="I982" s="8">
        <f>SUMIF(Cargas!$C$6:$C$1064,C982,Cargas!$O$6:$O$1064)</f>
        <v>0</v>
      </c>
      <c r="J982" s="17">
        <f t="shared" si="18"/>
        <v>1680</v>
      </c>
      <c r="K982" s="34">
        <v>1480740</v>
      </c>
      <c r="L982" s="34">
        <v>7134</v>
      </c>
    </row>
    <row r="983" hidden="1">
      <c r="B983" s="64">
        <v>45209</v>
      </c>
      <c r="C983" s="9" t="s">
        <v>3607</v>
      </c>
      <c r="D983" s="6" t="s">
        <v>993</v>
      </c>
      <c r="E983" s="6" t="s">
        <v>3608</v>
      </c>
      <c r="F983" s="6" t="s">
        <v>2226</v>
      </c>
      <c r="G983" s="6" t="s">
        <v>2227</v>
      </c>
      <c r="H983" s="7">
        <f>1080*3</f>
        <v>3240</v>
      </c>
      <c r="I983" s="8">
        <f>SUMIF(Cargas!$C$6:$C$1064,C983,Cargas!$O$6:$O$1064)</f>
        <v>0</v>
      </c>
      <c r="J983" s="17">
        <f t="shared" si="18"/>
        <v>3240</v>
      </c>
      <c r="K983" s="34">
        <v>1473197</v>
      </c>
      <c r="L983" s="34">
        <v>203091</v>
      </c>
    </row>
    <row r="984" hidden="1">
      <c r="B984" s="64">
        <v>45216</v>
      </c>
      <c r="C984" s="9" t="s">
        <v>3609</v>
      </c>
      <c r="D984" s="6" t="s">
        <v>2242</v>
      </c>
      <c r="E984" s="6" t="s">
        <v>3608</v>
      </c>
      <c r="F984" s="6" t="s">
        <v>2226</v>
      </c>
      <c r="G984" s="6" t="s">
        <v>2227</v>
      </c>
      <c r="H984" s="7">
        <f>1080*3</f>
        <v>3240</v>
      </c>
      <c r="I984" s="8">
        <f>SUMIF(Cargas!$C$6:$C$1064,C984,Cargas!$O$6:$O$1064)</f>
        <v>0</v>
      </c>
      <c r="J984" s="17">
        <f t="shared" si="18"/>
        <v>3240</v>
      </c>
      <c r="K984" s="34">
        <v>1474618</v>
      </c>
      <c r="L984" s="34">
        <v>210174</v>
      </c>
    </row>
    <row r="985" hidden="1" ht="14.25" customHeight="1">
      <c r="B985" s="64">
        <v>45544</v>
      </c>
      <c r="C985" s="9" t="s">
        <v>557</v>
      </c>
      <c r="D985" s="6" t="s">
        <v>3041</v>
      </c>
      <c r="E985" s="6" t="s">
        <v>2377</v>
      </c>
      <c r="F985" s="6" t="s">
        <v>2226</v>
      </c>
      <c r="G985" s="6" t="s">
        <v>412</v>
      </c>
      <c r="H985" s="7">
        <f>1058+1248</f>
        <v>2306</v>
      </c>
      <c r="I985" s="8">
        <f>SUMIF(Cargas!$C$6:$C$1064,C985,Cargas!$O$6:$O$1064)</f>
        <v>2304</v>
      </c>
      <c r="J985" s="17">
        <f t="shared" si="18"/>
        <v>0</v>
      </c>
      <c r="K985" s="34">
        <v>1504858</v>
      </c>
      <c r="L985" s="34">
        <v>191158</v>
      </c>
    </row>
    <row r="986" hidden="1" ht="14.25" customHeight="1">
      <c r="B986" s="64">
        <v>45628</v>
      </c>
      <c r="C986" s="9" t="s">
        <v>836</v>
      </c>
      <c r="D986" s="6" t="s">
        <v>2583</v>
      </c>
      <c r="E986" s="6" t="s">
        <v>2559</v>
      </c>
      <c r="F986" s="6" t="s">
        <v>978</v>
      </c>
      <c r="G986" s="6" t="s">
        <v>2559</v>
      </c>
      <c r="H986" s="7">
        <v>2208</v>
      </c>
      <c r="I986" s="8">
        <f>SUMIF(Cargas!$C$6:$C$1064,C986,Cargas!$O$6:$O$1064)</f>
        <v>2208</v>
      </c>
      <c r="J986" s="17">
        <f t="shared" si="18"/>
        <v>0</v>
      </c>
      <c r="K986" s="34"/>
      <c r="L986" s="34">
        <v>250723</v>
      </c>
    </row>
    <row r="987" hidden="1" ht="14.25" customHeight="1">
      <c r="B987" s="64">
        <v>45616</v>
      </c>
      <c r="C987" s="9" t="s">
        <v>764</v>
      </c>
      <c r="D987" s="6" t="s">
        <v>2965</v>
      </c>
      <c r="E987" s="6" t="s">
        <v>2871</v>
      </c>
      <c r="F987" s="6" t="s">
        <v>2226</v>
      </c>
      <c r="G987" s="6" t="s">
        <v>2258</v>
      </c>
      <c r="H987" s="7">
        <v>1540</v>
      </c>
      <c r="I987" s="8">
        <f>SUMIF(Cargas!$C$6:$C$1064,C987,Cargas!$O$6:$O$1064)</f>
        <v>1540</v>
      </c>
      <c r="J987" s="17">
        <f t="shared" si="18"/>
        <v>0</v>
      </c>
      <c r="K987" s="34">
        <v>1504858</v>
      </c>
      <c r="L987" s="34">
        <v>235432</v>
      </c>
    </row>
    <row r="988" hidden="1" ht="14.25" customHeight="1">
      <c r="B988" s="64">
        <v>45616</v>
      </c>
      <c r="C988" s="9" t="s">
        <v>795</v>
      </c>
      <c r="D988" s="6" t="s">
        <v>3047</v>
      </c>
      <c r="E988" s="6" t="s">
        <v>2871</v>
      </c>
      <c r="F988" s="6" t="s">
        <v>2226</v>
      </c>
      <c r="G988" s="6" t="s">
        <v>2282</v>
      </c>
      <c r="H988" s="7">
        <v>1290</v>
      </c>
      <c r="I988" s="8">
        <f>SUMIF(Cargas!$C$6:$C$1064,C988,Cargas!$O$6:$O$1064)</f>
        <v>1260</v>
      </c>
      <c r="J988" s="17">
        <f t="shared" si="18"/>
        <v>30</v>
      </c>
      <c r="K988" s="122"/>
      <c r="L988" s="34">
        <v>242884</v>
      </c>
    </row>
    <row r="989" hidden="1" ht="14.25" customHeight="1">
      <c r="B989" s="64">
        <v>45538</v>
      </c>
      <c r="C989" s="9" t="s">
        <v>517</v>
      </c>
      <c r="D989" s="6" t="s">
        <v>2544</v>
      </c>
      <c r="E989" s="6" t="s">
        <v>2871</v>
      </c>
      <c r="F989" s="6" t="s">
        <v>2226</v>
      </c>
      <c r="G989" s="6" t="s">
        <v>2258</v>
      </c>
      <c r="H989" s="7">
        <v>1936</v>
      </c>
      <c r="I989" s="8">
        <f>SUMIF(Cargas!$C$6:$C$1064,C989,Cargas!$O$6:$O$1064)</f>
        <v>1936</v>
      </c>
      <c r="J989" s="17">
        <f t="shared" si="18"/>
        <v>0</v>
      </c>
      <c r="K989" s="34">
        <v>1501684</v>
      </c>
      <c r="L989" s="34">
        <v>175884</v>
      </c>
    </row>
    <row r="990" hidden="1" ht="14.25" customHeight="1">
      <c r="B990" s="64">
        <v>45545</v>
      </c>
      <c r="C990" s="9" t="s">
        <v>538</v>
      </c>
      <c r="D990" s="6" t="s">
        <v>2620</v>
      </c>
      <c r="E990" s="6" t="s">
        <v>2871</v>
      </c>
      <c r="F990" s="6" t="s">
        <v>2226</v>
      </c>
      <c r="G990" s="6" t="s">
        <v>2258</v>
      </c>
      <c r="H990" s="7">
        <v>1936</v>
      </c>
      <c r="I990" s="8">
        <f>SUMIF(Cargas!$C$6:$C$1064,C990,Cargas!$O$6:$O$1064)</f>
        <v>1936</v>
      </c>
      <c r="J990" s="17">
        <f t="shared" si="18"/>
        <v>0</v>
      </c>
      <c r="K990" s="34" t="s">
        <v>3610</v>
      </c>
      <c r="L990" s="34">
        <v>180992</v>
      </c>
    </row>
    <row r="991" hidden="1" ht="14.25" customHeight="1">
      <c r="B991" s="64">
        <v>45544</v>
      </c>
      <c r="C991" s="9" t="s">
        <v>541</v>
      </c>
      <c r="D991" s="6" t="s">
        <v>2669</v>
      </c>
      <c r="E991" s="6" t="s">
        <v>2712</v>
      </c>
      <c r="F991" s="6" t="s">
        <v>2226</v>
      </c>
      <c r="G991" s="6" t="s">
        <v>2258</v>
      </c>
      <c r="H991" s="7">
        <v>2112</v>
      </c>
      <c r="I991" s="8">
        <f>SUMIF(Cargas!$C$6:$C$1064,C991,Cargas!$O$6:$O$1064)</f>
        <v>2112</v>
      </c>
      <c r="J991" s="17">
        <f t="shared" si="18"/>
        <v>0</v>
      </c>
      <c r="K991" s="34" t="s">
        <v>3611</v>
      </c>
      <c r="L991" s="34">
        <v>181069</v>
      </c>
    </row>
    <row r="992" hidden="1" ht="14.25" customHeight="1">
      <c r="B992" s="64">
        <v>45551</v>
      </c>
      <c r="C992" s="9" t="s">
        <v>551</v>
      </c>
      <c r="D992" s="6" t="s">
        <v>2930</v>
      </c>
      <c r="E992" s="6" t="s">
        <v>2712</v>
      </c>
      <c r="F992" s="6" t="s">
        <v>2226</v>
      </c>
      <c r="G992" s="6" t="s">
        <v>2258</v>
      </c>
      <c r="H992" s="7">
        <v>2112</v>
      </c>
      <c r="I992" s="8">
        <f>SUMIF(Cargas!$C$6:$C$1064,C992,Cargas!$O$6:$O$1064)</f>
        <v>2112</v>
      </c>
      <c r="J992" s="17">
        <f t="shared" si="18"/>
        <v>0</v>
      </c>
      <c r="K992" s="34">
        <v>1503480</v>
      </c>
      <c r="L992" s="34">
        <v>186205</v>
      </c>
    </row>
    <row r="993" hidden="1" ht="14.25" customHeight="1">
      <c r="B993" s="64">
        <v>45566</v>
      </c>
      <c r="C993" s="9" t="s">
        <v>572</v>
      </c>
      <c r="D993" s="6" t="s">
        <v>2968</v>
      </c>
      <c r="E993" s="6" t="s">
        <v>2712</v>
      </c>
      <c r="F993" s="6" t="s">
        <v>2226</v>
      </c>
      <c r="G993" s="6" t="s">
        <v>2258</v>
      </c>
      <c r="H993" s="7">
        <v>2112</v>
      </c>
      <c r="I993" s="8">
        <f>SUMIF(Cargas!$C$6:$C$1064,C993,Cargas!$O$6:$O$1064)</f>
        <v>2112</v>
      </c>
      <c r="J993" s="17">
        <f t="shared" si="18"/>
        <v>0</v>
      </c>
      <c r="K993" s="34">
        <v>1505466</v>
      </c>
      <c r="L993" s="34">
        <v>196674</v>
      </c>
    </row>
    <row r="994" hidden="1" ht="14.25" customHeight="1">
      <c r="B994" s="64">
        <v>45574</v>
      </c>
      <c r="C994" s="9" t="s">
        <v>595</v>
      </c>
      <c r="D994" s="6" t="s">
        <v>3251</v>
      </c>
      <c r="E994" s="6" t="s">
        <v>2712</v>
      </c>
      <c r="F994" s="6" t="s">
        <v>2226</v>
      </c>
      <c r="G994" s="6" t="s">
        <v>2258</v>
      </c>
      <c r="H994" s="7">
        <v>2112</v>
      </c>
      <c r="I994" s="8">
        <f>SUMIF(Cargas!$C$6:$C$1064,C994,Cargas!$O$6:$O$1064)</f>
        <v>2112</v>
      </c>
      <c r="J994" s="17">
        <f t="shared" si="18"/>
        <v>0</v>
      </c>
      <c r="K994" s="34">
        <v>1505849</v>
      </c>
      <c r="L994" s="34">
        <v>203303</v>
      </c>
    </row>
    <row r="995" hidden="1" ht="14.25" customHeight="1">
      <c r="B995" s="64">
        <v>45575</v>
      </c>
      <c r="C995" s="9" t="s">
        <v>598</v>
      </c>
      <c r="D995" s="6" t="s">
        <v>3253</v>
      </c>
      <c r="E995" s="6" t="s">
        <v>2871</v>
      </c>
      <c r="F995" s="6" t="s">
        <v>2226</v>
      </c>
      <c r="G995" s="6" t="s">
        <v>412</v>
      </c>
      <c r="H995" s="7">
        <v>1936</v>
      </c>
      <c r="I995" s="8">
        <f>SUMIF(Cargas!$C$6:$C$1064,C995,Cargas!$O$6:$O$1064)</f>
        <v>1936</v>
      </c>
      <c r="J995" s="17">
        <f t="shared" si="18"/>
        <v>0</v>
      </c>
      <c r="K995" s="34"/>
      <c r="L995" s="34">
        <v>203533</v>
      </c>
    </row>
    <row r="996" hidden="1" ht="14.25" customHeight="1">
      <c r="B996" s="64">
        <v>45575</v>
      </c>
      <c r="C996" s="9" t="s">
        <v>600</v>
      </c>
      <c r="D996" s="6" t="s">
        <v>3256</v>
      </c>
      <c r="E996" s="6" t="s">
        <v>2871</v>
      </c>
      <c r="F996" s="6" t="s">
        <v>2226</v>
      </c>
      <c r="G996" s="6" t="s">
        <v>412</v>
      </c>
      <c r="H996" s="7">
        <v>1936</v>
      </c>
      <c r="I996" s="8">
        <f>SUMIF(Cargas!$C$6:$C$1064,C996,Cargas!$O$6:$O$1064)</f>
        <v>1936</v>
      </c>
      <c r="J996" s="17">
        <f t="shared" si="18"/>
        <v>0</v>
      </c>
      <c r="K996" s="34"/>
      <c r="L996" s="34">
        <v>203486</v>
      </c>
    </row>
    <row r="997" hidden="1" ht="14.25" customHeight="1">
      <c r="B997" s="64">
        <v>45589</v>
      </c>
      <c r="C997" s="9" t="s">
        <v>627</v>
      </c>
      <c r="D997" s="6" t="s">
        <v>3263</v>
      </c>
      <c r="E997" s="6" t="s">
        <v>2871</v>
      </c>
      <c r="F997" s="6" t="s">
        <v>2226</v>
      </c>
      <c r="G997" s="6" t="s">
        <v>2258</v>
      </c>
      <c r="H997" s="7">
        <v>1936</v>
      </c>
      <c r="I997" s="8">
        <f>SUMIF(Cargas!$C$6:$C$1064,C997,Cargas!$O$6:$O$1064)</f>
        <v>1936</v>
      </c>
      <c r="J997" s="17">
        <f t="shared" si="18"/>
        <v>0</v>
      </c>
      <c r="K997" s="34"/>
      <c r="L997" s="119">
        <v>214163</v>
      </c>
    </row>
    <row r="998" hidden="1" ht="15.75">
      <c r="B998" s="64">
        <v>45593</v>
      </c>
      <c r="C998" s="9" t="s">
        <v>650</v>
      </c>
      <c r="D998" s="6" t="s">
        <v>3265</v>
      </c>
      <c r="E998" s="6" t="s">
        <v>2871</v>
      </c>
      <c r="F998" s="6" t="s">
        <v>2226</v>
      </c>
      <c r="G998" s="6" t="s">
        <v>2258</v>
      </c>
      <c r="H998" s="7">
        <v>1936</v>
      </c>
      <c r="I998" s="8">
        <f>SUMIF(Cargas!$C$6:$C$1064,C998,Cargas!$O$6:$O$1064)</f>
        <v>1936</v>
      </c>
      <c r="J998" s="17">
        <f t="shared" si="18"/>
        <v>0</v>
      </c>
      <c r="K998" s="34"/>
      <c r="L998" s="119">
        <v>219984</v>
      </c>
    </row>
    <row r="999" hidden="1" ht="15.75">
      <c r="B999" s="64">
        <v>45593</v>
      </c>
      <c r="C999" s="9" t="s">
        <v>652</v>
      </c>
      <c r="D999" s="6" t="s">
        <v>3267</v>
      </c>
      <c r="E999" s="6" t="s">
        <v>2871</v>
      </c>
      <c r="F999" s="6" t="s">
        <v>2226</v>
      </c>
      <c r="G999" s="6" t="s">
        <v>2258</v>
      </c>
      <c r="H999" s="7">
        <v>1936</v>
      </c>
      <c r="I999" s="8">
        <f>SUMIF(Cargas!$C$6:$C$1064,C999,Cargas!$O$6:$O$1064)</f>
        <v>1936</v>
      </c>
      <c r="J999" s="17">
        <f t="shared" si="18"/>
        <v>0</v>
      </c>
      <c r="K999" s="34"/>
      <c r="L999" s="119">
        <v>220011</v>
      </c>
    </row>
    <row r="1000" hidden="1">
      <c r="B1000" s="64">
        <v>45223</v>
      </c>
      <c r="C1000" s="9" t="s">
        <v>3612</v>
      </c>
      <c r="D1000" s="6" t="s">
        <v>2250</v>
      </c>
      <c r="E1000" s="6" t="s">
        <v>3608</v>
      </c>
      <c r="F1000" s="6" t="s">
        <v>2226</v>
      </c>
      <c r="G1000" s="6" t="s">
        <v>2227</v>
      </c>
      <c r="H1000" s="7">
        <f>1080*3</f>
        <v>3240</v>
      </c>
      <c r="I1000" s="8">
        <f>SUMIF(Cargas!$C$6:$C$1064,C1000,Cargas!$O$6:$O$1064)</f>
        <v>0</v>
      </c>
      <c r="J1000" s="17">
        <f t="shared" si="18"/>
        <v>3240</v>
      </c>
      <c r="K1000" s="34">
        <v>1475268</v>
      </c>
      <c r="L1000" s="34">
        <v>215643</v>
      </c>
    </row>
    <row r="1001" hidden="1">
      <c r="B1001" s="64">
        <v>45242</v>
      </c>
      <c r="C1001" s="9" t="s">
        <v>3613</v>
      </c>
      <c r="D1001" s="6" t="s">
        <v>2264</v>
      </c>
      <c r="E1001" s="6" t="s">
        <v>3608</v>
      </c>
      <c r="F1001" s="6" t="s">
        <v>2226</v>
      </c>
      <c r="G1001" s="6" t="s">
        <v>2227</v>
      </c>
      <c r="H1001" s="7">
        <v>6480</v>
      </c>
      <c r="I1001" s="8">
        <f>SUMIF(Cargas!$C$6:$C$1064,C1001,Cargas!$O$6:$O$1064)</f>
        <v>0</v>
      </c>
      <c r="J1001" s="17">
        <f t="shared" si="18"/>
        <v>6480</v>
      </c>
      <c r="K1001" s="34" t="s">
        <v>3614</v>
      </c>
      <c r="L1001" s="34">
        <v>226666</v>
      </c>
    </row>
    <row r="1002" hidden="1">
      <c r="B1002" s="64">
        <v>45251</v>
      </c>
      <c r="C1002" s="9" t="s">
        <v>3615</v>
      </c>
      <c r="D1002" s="6" t="s">
        <v>2270</v>
      </c>
      <c r="E1002" s="6" t="s">
        <v>3608</v>
      </c>
      <c r="F1002" s="6" t="s">
        <v>2226</v>
      </c>
      <c r="G1002" s="6" t="s">
        <v>2227</v>
      </c>
      <c r="H1002" s="7">
        <v>3240</v>
      </c>
      <c r="I1002" s="8">
        <f>SUMIF(Cargas!$C$6:$C$1064,C1002,Cargas!$O$6:$O$1064)</f>
        <v>0</v>
      </c>
      <c r="J1002" s="17">
        <f t="shared" si="18"/>
        <v>3240</v>
      </c>
      <c r="K1002" s="34">
        <v>1477934</v>
      </c>
      <c r="L1002" s="34">
        <v>233808</v>
      </c>
    </row>
    <row r="1003" hidden="1">
      <c r="B1003" s="64">
        <v>45251</v>
      </c>
      <c r="C1003" s="9" t="s">
        <v>3616</v>
      </c>
      <c r="D1003" s="6" t="s">
        <v>2279</v>
      </c>
      <c r="E1003" s="6" t="s">
        <v>3608</v>
      </c>
      <c r="F1003" s="6" t="s">
        <v>2226</v>
      </c>
      <c r="G1003" s="6" t="s">
        <v>2227</v>
      </c>
      <c r="H1003" s="7">
        <v>3240</v>
      </c>
      <c r="I1003" s="8">
        <f>SUMIF(Cargas!$C$6:$C$1064,C1003,Cargas!$O$6:$O$1064)</f>
        <v>0</v>
      </c>
      <c r="J1003" s="17">
        <f t="shared" si="18"/>
        <v>3240</v>
      </c>
      <c r="K1003" s="34">
        <v>1477935</v>
      </c>
      <c r="L1003" s="34">
        <v>233743</v>
      </c>
    </row>
    <row r="1004" hidden="1">
      <c r="B1004" s="64">
        <v>45258</v>
      </c>
      <c r="C1004" s="9" t="s">
        <v>3617</v>
      </c>
      <c r="D1004" s="6" t="s">
        <v>2289</v>
      </c>
      <c r="E1004" s="6" t="s">
        <v>3608</v>
      </c>
      <c r="F1004" s="6" t="s">
        <v>2226</v>
      </c>
      <c r="G1004" s="6" t="s">
        <v>2227</v>
      </c>
      <c r="H1004" s="7">
        <v>3240</v>
      </c>
      <c r="I1004" s="8">
        <f>SUMIF(Cargas!$C$6:$C$1064,C1004,Cargas!$O$6:$O$1064)</f>
        <v>0</v>
      </c>
      <c r="J1004" s="17">
        <f t="shared" si="18"/>
        <v>3240</v>
      </c>
      <c r="K1004" s="34">
        <v>1478608</v>
      </c>
      <c r="L1004" s="34">
        <v>241561</v>
      </c>
    </row>
    <row r="1005" hidden="1">
      <c r="B1005" s="64">
        <v>45265</v>
      </c>
      <c r="C1005" s="9" t="s">
        <v>3618</v>
      </c>
      <c r="D1005" s="6" t="s">
        <v>2299</v>
      </c>
      <c r="E1005" s="6" t="s">
        <v>3608</v>
      </c>
      <c r="F1005" s="6" t="s">
        <v>2226</v>
      </c>
      <c r="G1005" s="6" t="s">
        <v>2227</v>
      </c>
      <c r="H1005" s="7">
        <v>3240</v>
      </c>
      <c r="I1005" s="8">
        <f>SUMIF(Cargas!$C$6:$C$1064,C1005,Cargas!$O$6:$O$1064)</f>
        <v>0</v>
      </c>
      <c r="J1005" s="17">
        <f t="shared" si="18"/>
        <v>3240</v>
      </c>
      <c r="K1005" s="34">
        <v>1479240</v>
      </c>
      <c r="L1005" s="34">
        <v>246365</v>
      </c>
    </row>
    <row r="1006" hidden="1">
      <c r="B1006" s="64">
        <v>45272</v>
      </c>
      <c r="C1006" s="9" t="s">
        <v>3619</v>
      </c>
      <c r="D1006" s="6" t="s">
        <v>2313</v>
      </c>
      <c r="E1006" s="6" t="s">
        <v>3608</v>
      </c>
      <c r="F1006" s="6" t="s">
        <v>2226</v>
      </c>
      <c r="G1006" s="6" t="s">
        <v>2227</v>
      </c>
      <c r="H1006" s="7">
        <v>3240</v>
      </c>
      <c r="I1006" s="8">
        <f>SUMIF(Cargas!$C$6:$C$1064,C1006,Cargas!$O$6:$O$1064)</f>
        <v>0</v>
      </c>
      <c r="J1006" s="17">
        <f t="shared" si="18"/>
        <v>3240</v>
      </c>
      <c r="K1006" s="34">
        <v>1478461</v>
      </c>
      <c r="L1006" s="34">
        <v>249857</v>
      </c>
    </row>
    <row r="1007" hidden="1" ht="14.25" customHeight="1">
      <c r="B1007" s="64">
        <v>45286</v>
      </c>
      <c r="C1007" s="9" t="s">
        <v>3620</v>
      </c>
      <c r="D1007" s="6" t="s">
        <v>2329</v>
      </c>
      <c r="E1007" s="6" t="s">
        <v>3608</v>
      </c>
      <c r="F1007" s="6" t="s">
        <v>2226</v>
      </c>
      <c r="G1007" s="6" t="s">
        <v>2227</v>
      </c>
      <c r="H1007" s="7">
        <v>3240</v>
      </c>
      <c r="I1007" s="8">
        <f>SUMIF(Cargas!$C$6:$C$1064,C1007,Cargas!$O$6:$O$1064)</f>
        <v>0</v>
      </c>
      <c r="J1007" s="17">
        <f t="shared" si="18"/>
        <v>3240</v>
      </c>
      <c r="K1007" s="34">
        <v>1480803</v>
      </c>
      <c r="L1007" s="34">
        <v>6452</v>
      </c>
    </row>
    <row r="1008" hidden="1">
      <c r="B1008" s="64">
        <v>45286</v>
      </c>
      <c r="C1008" s="9" t="s">
        <v>3621</v>
      </c>
      <c r="D1008" s="6" t="s">
        <v>2333</v>
      </c>
      <c r="E1008" s="6" t="s">
        <v>3608</v>
      </c>
      <c r="F1008" s="6" t="s">
        <v>2226</v>
      </c>
      <c r="G1008" s="6" t="s">
        <v>2227</v>
      </c>
      <c r="H1008" s="7">
        <v>3240</v>
      </c>
      <c r="I1008" s="8">
        <f>SUMIF(Cargas!$C$6:$C$1064,C1008,Cargas!$O$6:$O$1064)</f>
        <v>0</v>
      </c>
      <c r="J1008" s="17">
        <f t="shared" si="18"/>
        <v>3240</v>
      </c>
      <c r="K1008" s="34">
        <v>1480804</v>
      </c>
      <c r="L1008" s="34">
        <v>6454</v>
      </c>
    </row>
    <row r="1009" hidden="1">
      <c r="B1009" s="64">
        <v>44929</v>
      </c>
      <c r="C1009" s="9" t="s">
        <v>3622</v>
      </c>
      <c r="D1009" s="6" t="s">
        <v>2219</v>
      </c>
      <c r="E1009" s="6" t="s">
        <v>2220</v>
      </c>
      <c r="F1009" s="6" t="s">
        <v>2226</v>
      </c>
      <c r="G1009" s="6" t="s">
        <v>2258</v>
      </c>
      <c r="H1009" s="7">
        <v>2224</v>
      </c>
      <c r="I1009" s="8">
        <f>SUMIF(Cargas!$C$6:$C$1064,C1009,Cargas!$O$6:$O$1064)</f>
        <v>0</v>
      </c>
      <c r="J1009" s="17">
        <f t="shared" si="18"/>
        <v>2224</v>
      </c>
      <c r="K1009" s="34">
        <v>1449138</v>
      </c>
      <c r="L1009" s="34">
        <v>68719</v>
      </c>
    </row>
    <row r="1010" hidden="1">
      <c r="B1010" s="64">
        <v>44936</v>
      </c>
      <c r="C1010" s="9" t="s">
        <v>3623</v>
      </c>
      <c r="D1010" s="6" t="s">
        <v>2236</v>
      </c>
      <c r="E1010" s="6" t="s">
        <v>2220</v>
      </c>
      <c r="F1010" s="6" t="s">
        <v>2226</v>
      </c>
      <c r="G1010" s="6" t="s">
        <v>2258</v>
      </c>
      <c r="H1010" s="7">
        <v>5400</v>
      </c>
      <c r="I1010" s="8">
        <f>SUMIF(Cargas!$C$6:$C$1064,C1010,Cargas!$O$6:$O$1064)</f>
        <v>0</v>
      </c>
      <c r="J1010" s="17">
        <f t="shared" si="18"/>
        <v>5400</v>
      </c>
      <c r="K1010" s="34">
        <v>1449588</v>
      </c>
      <c r="L1010" s="34">
        <v>13766</v>
      </c>
    </row>
    <row r="1011" hidden="1">
      <c r="B1011" s="64">
        <v>44936</v>
      </c>
      <c r="C1011" s="9" t="s">
        <v>3624</v>
      </c>
      <c r="D1011" s="6" t="s">
        <v>2238</v>
      </c>
      <c r="E1011" s="6" t="s">
        <v>2220</v>
      </c>
      <c r="F1011" s="6" t="s">
        <v>2226</v>
      </c>
      <c r="G1011" s="6" t="s">
        <v>2258</v>
      </c>
      <c r="H1011" s="7">
        <v>4320</v>
      </c>
      <c r="I1011" s="8">
        <f>SUMIF(Cargas!$C$6:$C$1064,C1011,Cargas!$O$6:$O$1064)</f>
        <v>0</v>
      </c>
      <c r="J1011" s="17">
        <f ref="J1011:J1042" t="shared" si="19">IF(ABS(H1011-I1011)&lt;20,0,H1011-I1011)</f>
        <v>4320</v>
      </c>
      <c r="K1011" s="34">
        <v>1449589</v>
      </c>
      <c r="L1011" s="34">
        <v>13049</v>
      </c>
    </row>
    <row r="1012" hidden="1">
      <c r="B1012" s="64">
        <v>44936</v>
      </c>
      <c r="C1012" s="9" t="s">
        <v>3625</v>
      </c>
      <c r="D1012" s="6" t="s">
        <v>2244</v>
      </c>
      <c r="E1012" s="6" t="s">
        <v>2220</v>
      </c>
      <c r="F1012" s="6" t="s">
        <v>2226</v>
      </c>
      <c r="G1012" s="6" t="s">
        <v>2227</v>
      </c>
      <c r="H1012" s="7">
        <v>1144</v>
      </c>
      <c r="I1012" s="8">
        <f>SUMIF(Cargas!$C$6:$C$1064,C1012,Cargas!$O$6:$O$1064)</f>
        <v>0</v>
      </c>
      <c r="J1012" s="17">
        <f t="shared" si="19"/>
        <v>1144</v>
      </c>
      <c r="K1012" s="34">
        <v>1449590</v>
      </c>
      <c r="L1012" s="34">
        <v>12634</v>
      </c>
    </row>
    <row r="1013" hidden="1">
      <c r="B1013" s="64">
        <v>44943</v>
      </c>
      <c r="C1013" s="9" t="s">
        <v>3626</v>
      </c>
      <c r="D1013" s="6" t="s">
        <v>3117</v>
      </c>
      <c r="E1013" s="6" t="s">
        <v>2220</v>
      </c>
      <c r="F1013" s="6" t="s">
        <v>2226</v>
      </c>
      <c r="G1013" s="6" t="s">
        <v>2258</v>
      </c>
      <c r="H1013" s="7">
        <v>3240</v>
      </c>
      <c r="I1013" s="8">
        <f>SUMIF(Cargas!$C$6:$C$1064,C1013,Cargas!$O$6:$O$1064)</f>
        <v>0</v>
      </c>
      <c r="J1013" s="17">
        <f t="shared" si="19"/>
        <v>3240</v>
      </c>
      <c r="K1013" s="34">
        <v>1449857</v>
      </c>
      <c r="L1013" s="34">
        <v>20145</v>
      </c>
    </row>
    <row r="1014" hidden="1">
      <c r="B1014" s="64">
        <v>44943</v>
      </c>
      <c r="C1014" s="9" t="s">
        <v>3627</v>
      </c>
      <c r="D1014" s="6" t="s">
        <v>3119</v>
      </c>
      <c r="E1014" s="6" t="s">
        <v>2220</v>
      </c>
      <c r="F1014" s="6" t="s">
        <v>2226</v>
      </c>
      <c r="G1014" s="6" t="s">
        <v>2258</v>
      </c>
      <c r="H1014" s="7">
        <v>1144</v>
      </c>
      <c r="I1014" s="8">
        <f>SUMIF(Cargas!$C$6:$C$1064,C1014,Cargas!$O$6:$O$1064)</f>
        <v>0</v>
      </c>
      <c r="J1014" s="17">
        <f t="shared" si="19"/>
        <v>1144</v>
      </c>
      <c r="K1014" s="34">
        <v>1449858</v>
      </c>
      <c r="L1014" s="34">
        <v>20156</v>
      </c>
    </row>
    <row r="1015" hidden="1">
      <c r="B1015" s="64">
        <v>44951</v>
      </c>
      <c r="C1015" s="9" t="s">
        <v>3628</v>
      </c>
      <c r="D1015" s="6" t="s">
        <v>2266</v>
      </c>
      <c r="E1015" s="6" t="s">
        <v>2220</v>
      </c>
      <c r="F1015" s="6" t="s">
        <v>2226</v>
      </c>
      <c r="G1015" s="6" t="s">
        <v>2258</v>
      </c>
      <c r="H1015" s="7">
        <v>4320</v>
      </c>
      <c r="I1015" s="8">
        <f>SUMIF(Cargas!$C$6:$C$1064,C1015,Cargas!$O$6:$O$1064)</f>
        <v>0</v>
      </c>
      <c r="J1015" s="17">
        <f t="shared" si="19"/>
        <v>4320</v>
      </c>
      <c r="K1015" s="34">
        <v>1450173</v>
      </c>
      <c r="L1015" s="34">
        <v>25421</v>
      </c>
    </row>
    <row r="1016" hidden="1">
      <c r="B1016" s="64">
        <v>44951</v>
      </c>
      <c r="C1016" s="9" t="s">
        <v>3629</v>
      </c>
      <c r="D1016" s="6" t="s">
        <v>2272</v>
      </c>
      <c r="E1016" s="6" t="s">
        <v>2220</v>
      </c>
      <c r="F1016" s="6" t="s">
        <v>2226</v>
      </c>
      <c r="G1016" s="6" t="s">
        <v>2227</v>
      </c>
      <c r="H1016" s="7">
        <v>1144</v>
      </c>
      <c r="I1016" s="8">
        <f>SUMIF(Cargas!$C$6:$C$1064,C1016,Cargas!$O$6:$O$1064)</f>
        <v>0</v>
      </c>
      <c r="J1016" s="17">
        <f t="shared" si="19"/>
        <v>1144</v>
      </c>
      <c r="K1016" s="34">
        <v>1450175</v>
      </c>
      <c r="L1016" s="34">
        <v>25422</v>
      </c>
    </row>
    <row r="1017" hidden="1">
      <c r="B1017" s="64">
        <v>44958</v>
      </c>
      <c r="C1017" s="9" t="s">
        <v>3630</v>
      </c>
      <c r="D1017" s="6" t="s">
        <v>2285</v>
      </c>
      <c r="E1017" s="6" t="s">
        <v>2220</v>
      </c>
      <c r="F1017" s="6" t="s">
        <v>2226</v>
      </c>
      <c r="G1017" s="6" t="s">
        <v>2258</v>
      </c>
      <c r="H1017" s="7">
        <v>2160</v>
      </c>
      <c r="I1017" s="8">
        <f>SUMIF(Cargas!$C$6:$C$1064,C1017,Cargas!$O$6:$O$1064)</f>
        <v>0</v>
      </c>
      <c r="J1017" s="17">
        <f t="shared" si="19"/>
        <v>2160</v>
      </c>
      <c r="K1017" s="34">
        <v>1450174</v>
      </c>
      <c r="L1017" s="34">
        <v>29462</v>
      </c>
    </row>
    <row r="1018" hidden="1">
      <c r="B1018" s="64">
        <v>44958</v>
      </c>
      <c r="C1018" s="9" t="s">
        <v>3631</v>
      </c>
      <c r="D1018" s="6" t="s">
        <v>2291</v>
      </c>
      <c r="E1018" s="6" t="s">
        <v>2220</v>
      </c>
      <c r="F1018" s="6" t="s">
        <v>2226</v>
      </c>
      <c r="G1018" s="6" t="s">
        <v>2227</v>
      </c>
      <c r="H1018" s="7">
        <v>1144</v>
      </c>
      <c r="I1018" s="8">
        <f>SUMIF(Cargas!$C$6:$C$1064,C1018,Cargas!$O$6:$O$1064)</f>
        <v>0</v>
      </c>
      <c r="J1018" s="17">
        <f t="shared" si="19"/>
        <v>1144</v>
      </c>
      <c r="K1018" s="34">
        <v>1450176</v>
      </c>
      <c r="L1018" s="34">
        <v>29518</v>
      </c>
    </row>
    <row r="1019" hidden="1">
      <c r="B1019" s="64">
        <v>44965</v>
      </c>
      <c r="C1019" s="9" t="s">
        <v>3632</v>
      </c>
      <c r="D1019" s="6" t="s">
        <v>2295</v>
      </c>
      <c r="E1019" s="6" t="s">
        <v>2220</v>
      </c>
      <c r="F1019" s="6" t="s">
        <v>2226</v>
      </c>
      <c r="G1019" s="6" t="s">
        <v>2258</v>
      </c>
      <c r="H1019" s="7">
        <v>5400</v>
      </c>
      <c r="I1019" s="8">
        <f>SUMIF(Cargas!$C$6:$C$1064,C1019,Cargas!$O$6:$O$1064)</f>
        <v>0</v>
      </c>
      <c r="J1019" s="17">
        <f t="shared" si="19"/>
        <v>5400</v>
      </c>
      <c r="K1019" s="34">
        <v>1451232</v>
      </c>
      <c r="L1019" s="34">
        <v>32379</v>
      </c>
    </row>
    <row r="1020" hidden="1">
      <c r="B1020" s="64">
        <v>44965</v>
      </c>
      <c r="C1020" s="9" t="s">
        <v>3633</v>
      </c>
      <c r="D1020" s="6" t="s">
        <v>2307</v>
      </c>
      <c r="E1020" s="6" t="s">
        <v>2220</v>
      </c>
      <c r="F1020" s="6" t="s">
        <v>2226</v>
      </c>
      <c r="G1020" s="6" t="s">
        <v>2258</v>
      </c>
      <c r="H1020" s="7">
        <v>4320</v>
      </c>
      <c r="I1020" s="8">
        <f>SUMIF(Cargas!$C$6:$C$1064,C1020,Cargas!$O$6:$O$1064)</f>
        <v>0</v>
      </c>
      <c r="J1020" s="17">
        <f t="shared" si="19"/>
        <v>4320</v>
      </c>
      <c r="K1020" s="34">
        <v>1451234</v>
      </c>
      <c r="L1020" s="34">
        <v>32324</v>
      </c>
    </row>
    <row r="1021" hidden="1">
      <c r="B1021" s="64">
        <v>44965</v>
      </c>
      <c r="C1021" s="9" t="s">
        <v>3634</v>
      </c>
      <c r="D1021" s="6" t="s">
        <v>2309</v>
      </c>
      <c r="E1021" s="6" t="s">
        <v>2220</v>
      </c>
      <c r="F1021" s="6" t="s">
        <v>2226</v>
      </c>
      <c r="G1021" s="6" t="s">
        <v>2227</v>
      </c>
      <c r="H1021" s="7">
        <v>1144</v>
      </c>
      <c r="I1021" s="8">
        <f>SUMIF(Cargas!$C$6:$C$1064,C1021,Cargas!$O$6:$O$1064)</f>
        <v>0</v>
      </c>
      <c r="J1021" s="17">
        <f t="shared" si="19"/>
        <v>1144</v>
      </c>
      <c r="K1021" s="34">
        <v>1451235</v>
      </c>
      <c r="L1021" s="34">
        <v>32457</v>
      </c>
    </row>
    <row r="1022" hidden="1">
      <c r="B1022" s="64">
        <v>44971</v>
      </c>
      <c r="C1022" s="9" t="s">
        <v>3635</v>
      </c>
      <c r="D1022" s="6" t="s">
        <v>2319</v>
      </c>
      <c r="E1022" s="6" t="s">
        <v>2220</v>
      </c>
      <c r="F1022" s="6" t="s">
        <v>2226</v>
      </c>
      <c r="G1022" s="6" t="s">
        <v>2258</v>
      </c>
      <c r="H1022" s="7">
        <v>3240</v>
      </c>
      <c r="I1022" s="8">
        <f>SUMIF(Cargas!$C$6:$C$1064,C1022,Cargas!$O$6:$O$1064)</f>
        <v>0</v>
      </c>
      <c r="J1022" s="17">
        <f t="shared" si="19"/>
        <v>3240</v>
      </c>
      <c r="K1022" s="34">
        <v>1451868</v>
      </c>
      <c r="L1022" s="34">
        <v>38152</v>
      </c>
    </row>
    <row r="1023" hidden="1">
      <c r="B1023" s="64">
        <v>44971</v>
      </c>
      <c r="C1023" s="9" t="s">
        <v>3636</v>
      </c>
      <c r="D1023" s="6" t="s">
        <v>2325</v>
      </c>
      <c r="E1023" s="6" t="s">
        <v>2220</v>
      </c>
      <c r="F1023" s="6" t="s">
        <v>2226</v>
      </c>
      <c r="G1023" s="6" t="s">
        <v>2227</v>
      </c>
      <c r="H1023" s="7">
        <v>3240</v>
      </c>
      <c r="I1023" s="8">
        <f>SUMIF(Cargas!$C$6:$C$1064,C1023,Cargas!$O$6:$O$1064)</f>
        <v>0</v>
      </c>
      <c r="J1023" s="17">
        <f t="shared" si="19"/>
        <v>3240</v>
      </c>
      <c r="K1023" s="34">
        <v>1451867</v>
      </c>
      <c r="L1023" s="34">
        <v>37303</v>
      </c>
    </row>
    <row r="1024" hidden="1">
      <c r="B1024" s="64">
        <v>44971</v>
      </c>
      <c r="C1024" s="9" t="s">
        <v>3637</v>
      </c>
      <c r="D1024" s="6" t="s">
        <v>2331</v>
      </c>
      <c r="E1024" s="6" t="s">
        <v>2220</v>
      </c>
      <c r="F1024" s="6" t="s">
        <v>2226</v>
      </c>
      <c r="G1024" s="6" t="s">
        <v>2258</v>
      </c>
      <c r="H1024" s="7">
        <v>1144</v>
      </c>
      <c r="I1024" s="8">
        <f>SUMIF(Cargas!$C$6:$C$1064,C1024,Cargas!$O$6:$O$1064)</f>
        <v>0</v>
      </c>
      <c r="J1024" s="17">
        <f t="shared" si="19"/>
        <v>1144</v>
      </c>
      <c r="K1024" s="34">
        <v>1451869</v>
      </c>
      <c r="L1024" s="34">
        <v>38196</v>
      </c>
    </row>
    <row r="1025" hidden="1">
      <c r="B1025" s="64">
        <v>44979</v>
      </c>
      <c r="C1025" s="9" t="s">
        <v>3638</v>
      </c>
      <c r="D1025" s="6" t="s">
        <v>2335</v>
      </c>
      <c r="E1025" s="6" t="s">
        <v>2220</v>
      </c>
      <c r="F1025" s="6" t="s">
        <v>2226</v>
      </c>
      <c r="G1025" s="6" t="s">
        <v>2258</v>
      </c>
      <c r="H1025" s="7">
        <v>5400</v>
      </c>
      <c r="I1025" s="8">
        <f>SUMIF(Cargas!$C$6:$C$1064,C1025,Cargas!$O$6:$O$1064)</f>
        <v>0</v>
      </c>
      <c r="J1025" s="17">
        <f t="shared" si="19"/>
        <v>5400</v>
      </c>
      <c r="K1025" s="34">
        <v>1452318</v>
      </c>
      <c r="L1025" s="34">
        <v>43039</v>
      </c>
    </row>
    <row r="1026" hidden="1">
      <c r="B1026" s="64">
        <v>44985</v>
      </c>
      <c r="C1026" s="9" t="s">
        <v>3639</v>
      </c>
      <c r="D1026" s="6" t="s">
        <v>2346</v>
      </c>
      <c r="E1026" s="6" t="s">
        <v>2220</v>
      </c>
      <c r="F1026" s="6" t="s">
        <v>2226</v>
      </c>
      <c r="G1026" s="6" t="s">
        <v>2258</v>
      </c>
      <c r="H1026" s="7">
        <v>5400</v>
      </c>
      <c r="I1026" s="8">
        <f>SUMIF(Cargas!$C$6:$C$1064,C1026,Cargas!$O$6:$O$1064)</f>
        <v>0</v>
      </c>
      <c r="J1026" s="17">
        <f t="shared" si="19"/>
        <v>5400</v>
      </c>
      <c r="K1026" s="34">
        <v>1452942</v>
      </c>
      <c r="L1026" s="34">
        <v>48055</v>
      </c>
    </row>
    <row r="1027" hidden="1">
      <c r="B1027" s="64">
        <v>44985</v>
      </c>
      <c r="C1027" s="9" t="s">
        <v>3640</v>
      </c>
      <c r="D1027" s="6" t="s">
        <v>2361</v>
      </c>
      <c r="E1027" s="6" t="s">
        <v>2220</v>
      </c>
      <c r="F1027" s="6" t="s">
        <v>2226</v>
      </c>
      <c r="G1027" s="6" t="s">
        <v>2258</v>
      </c>
      <c r="H1027" s="7">
        <v>3200</v>
      </c>
      <c r="I1027" s="8">
        <f>SUMIF(Cargas!$C$6:$C$1064,C1027,Cargas!$O$6:$O$1064)</f>
        <v>0</v>
      </c>
      <c r="J1027" s="17">
        <f t="shared" si="19"/>
        <v>3200</v>
      </c>
      <c r="K1027" s="34">
        <v>1452943</v>
      </c>
      <c r="L1027" s="34">
        <v>47999</v>
      </c>
    </row>
    <row r="1028" hidden="1">
      <c r="B1028" s="64">
        <v>44985</v>
      </c>
      <c r="C1028" s="9" t="s">
        <v>3641</v>
      </c>
      <c r="D1028" s="6" t="s">
        <v>2371</v>
      </c>
      <c r="E1028" s="6" t="s">
        <v>2220</v>
      </c>
      <c r="F1028" s="6" t="s">
        <v>2226</v>
      </c>
      <c r="G1028" s="6" t="s">
        <v>2258</v>
      </c>
      <c r="H1028" s="7">
        <v>2160</v>
      </c>
      <c r="I1028" s="8">
        <f>SUMIF(Cargas!$C$6:$C$1064,C1028,Cargas!$O$6:$O$1064)</f>
        <v>0</v>
      </c>
      <c r="J1028" s="17">
        <f t="shared" si="19"/>
        <v>2160</v>
      </c>
      <c r="K1028" s="34">
        <v>1452944</v>
      </c>
      <c r="L1028" s="34">
        <v>47982</v>
      </c>
    </row>
    <row r="1029" hidden="1">
      <c r="B1029" s="64">
        <v>44992</v>
      </c>
      <c r="C1029" s="9" t="s">
        <v>3642</v>
      </c>
      <c r="D1029" s="6" t="s">
        <v>2391</v>
      </c>
      <c r="E1029" s="6" t="s">
        <v>2220</v>
      </c>
      <c r="F1029" s="6" t="s">
        <v>2226</v>
      </c>
      <c r="G1029" s="6" t="s">
        <v>2258</v>
      </c>
      <c r="H1029" s="7">
        <v>4320</v>
      </c>
      <c r="I1029" s="8">
        <f>SUMIF(Cargas!$C$6:$C$1064,C1029,Cargas!$O$6:$O$1064)</f>
        <v>0</v>
      </c>
      <c r="J1029" s="17">
        <f t="shared" si="19"/>
        <v>4320</v>
      </c>
      <c r="K1029" s="34">
        <v>1453528</v>
      </c>
      <c r="L1029" s="34">
        <v>51977</v>
      </c>
    </row>
    <row r="1030" hidden="1">
      <c r="B1030" s="64">
        <v>44992</v>
      </c>
      <c r="C1030" s="9" t="s">
        <v>3643</v>
      </c>
      <c r="D1030" s="6" t="s">
        <v>2400</v>
      </c>
      <c r="E1030" s="6" t="s">
        <v>2220</v>
      </c>
      <c r="F1030" s="6" t="s">
        <v>2226</v>
      </c>
      <c r="G1030" s="6" t="s">
        <v>2227</v>
      </c>
      <c r="H1030" s="7">
        <v>3240</v>
      </c>
      <c r="I1030" s="8">
        <f>SUMIF(Cargas!$C$6:$C$1064,C1030,Cargas!$O$6:$O$1064)</f>
        <v>0</v>
      </c>
      <c r="J1030" s="17">
        <f t="shared" si="19"/>
        <v>3240</v>
      </c>
      <c r="K1030" s="34">
        <v>1453530</v>
      </c>
      <c r="L1030" s="34">
        <v>51889</v>
      </c>
    </row>
    <row r="1031" hidden="1">
      <c r="B1031" s="64">
        <v>44999</v>
      </c>
      <c r="C1031" s="9" t="s">
        <v>3644</v>
      </c>
      <c r="D1031" s="6" t="s">
        <v>2408</v>
      </c>
      <c r="E1031" s="6" t="s">
        <v>2220</v>
      </c>
      <c r="F1031" s="6" t="s">
        <v>2226</v>
      </c>
      <c r="G1031" s="6" t="s">
        <v>2258</v>
      </c>
      <c r="H1031" s="7">
        <v>4320</v>
      </c>
      <c r="I1031" s="8">
        <f>SUMIF(Cargas!$C$6:$C$1064,C1031,Cargas!$O$6:$O$1064)</f>
        <v>0</v>
      </c>
      <c r="J1031" s="17">
        <f t="shared" si="19"/>
        <v>4320</v>
      </c>
      <c r="K1031" s="34">
        <v>1454279</v>
      </c>
      <c r="L1031" s="34">
        <v>57803</v>
      </c>
    </row>
    <row r="1032" hidden="1">
      <c r="B1032" s="64">
        <v>44999</v>
      </c>
      <c r="C1032" s="9" t="s">
        <v>3645</v>
      </c>
      <c r="D1032" s="6" t="s">
        <v>2414</v>
      </c>
      <c r="E1032" s="6" t="s">
        <v>2220</v>
      </c>
      <c r="F1032" s="6" t="s">
        <v>2226</v>
      </c>
      <c r="G1032" s="6" t="s">
        <v>2227</v>
      </c>
      <c r="H1032" s="7">
        <v>4320</v>
      </c>
      <c r="I1032" s="8">
        <f>SUMIF(Cargas!$C$6:$C$1064,C1032,Cargas!$O$6:$O$1064)</f>
        <v>0</v>
      </c>
      <c r="J1032" s="17">
        <f t="shared" si="19"/>
        <v>4320</v>
      </c>
      <c r="K1032" s="34">
        <v>1454280</v>
      </c>
      <c r="L1032" s="34">
        <v>56684</v>
      </c>
    </row>
    <row r="1033" hidden="1">
      <c r="B1033" s="64">
        <v>44999</v>
      </c>
      <c r="C1033" s="9" t="s">
        <v>3646</v>
      </c>
      <c r="D1033" s="6" t="s">
        <v>2420</v>
      </c>
      <c r="E1033" s="6" t="s">
        <v>2220</v>
      </c>
      <c r="F1033" s="6" t="s">
        <v>2226</v>
      </c>
      <c r="G1033" s="6" t="s">
        <v>2258</v>
      </c>
      <c r="H1033" s="7">
        <v>4320</v>
      </c>
      <c r="I1033" s="8">
        <f>SUMIF(Cargas!$C$6:$C$1064,C1033,Cargas!$O$6:$O$1064)</f>
        <v>0</v>
      </c>
      <c r="J1033" s="17">
        <f t="shared" si="19"/>
        <v>4320</v>
      </c>
      <c r="K1033" s="34">
        <v>1454281</v>
      </c>
      <c r="L1033" s="34">
        <v>57787</v>
      </c>
    </row>
    <row r="1034" hidden="1">
      <c r="B1034" s="64">
        <v>45013</v>
      </c>
      <c r="C1034" s="9" t="s">
        <v>3647</v>
      </c>
      <c r="D1034" s="6" t="s">
        <v>2428</v>
      </c>
      <c r="E1034" s="6" t="s">
        <v>2220</v>
      </c>
      <c r="F1034" s="6" t="s">
        <v>2226</v>
      </c>
      <c r="G1034" s="6" t="s">
        <v>2258</v>
      </c>
      <c r="H1034" s="7">
        <v>3240</v>
      </c>
      <c r="I1034" s="8">
        <f>SUMIF(Cargas!$C$6:$C$1064,C1034,Cargas!$O$6:$O$1064)</f>
        <v>0</v>
      </c>
      <c r="J1034" s="17">
        <f t="shared" si="19"/>
        <v>3240</v>
      </c>
      <c r="K1034" s="34">
        <v>1455622</v>
      </c>
      <c r="L1034" s="34">
        <v>65669</v>
      </c>
    </row>
    <row r="1035" hidden="1">
      <c r="B1035" s="64">
        <v>45013</v>
      </c>
      <c r="C1035" s="9" t="s">
        <v>3648</v>
      </c>
      <c r="D1035" s="6" t="s">
        <v>2840</v>
      </c>
      <c r="E1035" s="6" t="s">
        <v>2220</v>
      </c>
      <c r="F1035" s="6" t="s">
        <v>2226</v>
      </c>
      <c r="G1035" s="6" t="s">
        <v>2258</v>
      </c>
      <c r="H1035" s="7">
        <v>2160</v>
      </c>
      <c r="I1035" s="8">
        <f>SUMIF(Cargas!$C$6:$C$1064,C1035,Cargas!$O$6:$O$1064)</f>
        <v>0</v>
      </c>
      <c r="J1035" s="17">
        <f t="shared" si="19"/>
        <v>2160</v>
      </c>
      <c r="K1035" s="34">
        <v>1455623</v>
      </c>
      <c r="L1035" s="34">
        <v>65771</v>
      </c>
    </row>
    <row r="1036" hidden="1">
      <c r="B1036" s="64">
        <v>45013</v>
      </c>
      <c r="C1036" s="9" t="s">
        <v>3649</v>
      </c>
      <c r="D1036" s="6" t="s">
        <v>2440</v>
      </c>
      <c r="E1036" s="6" t="s">
        <v>2220</v>
      </c>
      <c r="F1036" s="6" t="s">
        <v>2226</v>
      </c>
      <c r="G1036" s="6" t="s">
        <v>2227</v>
      </c>
      <c r="H1036" s="7">
        <v>1112</v>
      </c>
      <c r="I1036" s="8">
        <f>SUMIF(Cargas!$C$6:$C$1064,C1036,Cargas!$O$6:$O$1064)</f>
        <v>0</v>
      </c>
      <c r="J1036" s="17">
        <f t="shared" si="19"/>
        <v>1112</v>
      </c>
      <c r="K1036" s="34">
        <v>1452624</v>
      </c>
      <c r="L1036" s="34">
        <v>65743</v>
      </c>
    </row>
    <row r="1037" hidden="1">
      <c r="B1037" s="64">
        <v>45021</v>
      </c>
      <c r="C1037" s="9" t="s">
        <v>3650</v>
      </c>
      <c r="D1037" s="6" t="s">
        <v>2444</v>
      </c>
      <c r="E1037" s="6" t="s">
        <v>2220</v>
      </c>
      <c r="F1037" s="6" t="s">
        <v>2226</v>
      </c>
      <c r="G1037" s="6" t="s">
        <v>2258</v>
      </c>
      <c r="H1037" s="7">
        <v>3240</v>
      </c>
      <c r="I1037" s="8">
        <f>SUMIF(Cargas!$C$6:$C$1064,C1037,Cargas!$O$6:$O$1064)</f>
        <v>0</v>
      </c>
      <c r="J1037" s="17">
        <f t="shared" si="19"/>
        <v>3240</v>
      </c>
      <c r="K1037" s="34">
        <v>1456477</v>
      </c>
      <c r="L1037" s="34">
        <v>67960</v>
      </c>
    </row>
    <row r="1038" hidden="1">
      <c r="B1038" s="64">
        <v>45021</v>
      </c>
      <c r="C1038" s="9" t="s">
        <v>3651</v>
      </c>
      <c r="D1038" s="6" t="s">
        <v>2446</v>
      </c>
      <c r="E1038" s="6" t="s">
        <v>2220</v>
      </c>
      <c r="F1038" s="6" t="s">
        <v>2226</v>
      </c>
      <c r="G1038" s="6" t="s">
        <v>2258</v>
      </c>
      <c r="H1038" s="7">
        <v>3240</v>
      </c>
      <c r="I1038" s="8">
        <f>SUMIF(Cargas!$C$6:$C$1064,C1038,Cargas!$O$6:$O$1064)</f>
        <v>0</v>
      </c>
      <c r="J1038" s="17">
        <f t="shared" si="19"/>
        <v>3240</v>
      </c>
      <c r="K1038" s="34">
        <v>1456478</v>
      </c>
      <c r="L1038" s="34">
        <v>67935</v>
      </c>
    </row>
    <row r="1039" hidden="1" ht="14.25" customHeight="1">
      <c r="B1039" s="64">
        <v>45028</v>
      </c>
      <c r="C1039" s="9" t="s">
        <v>3652</v>
      </c>
      <c r="D1039" s="6" t="s">
        <v>2454</v>
      </c>
      <c r="E1039" s="6" t="s">
        <v>2220</v>
      </c>
      <c r="F1039" s="6" t="s">
        <v>2226</v>
      </c>
      <c r="G1039" s="6" t="s">
        <v>2258</v>
      </c>
      <c r="H1039" s="7">
        <v>2160</v>
      </c>
      <c r="I1039" s="8">
        <f>SUMIF(Cargas!$C$6:$C$1064,C1039,Cargas!$O$6:$O$1064)</f>
        <v>0</v>
      </c>
      <c r="J1039" s="17">
        <f t="shared" si="19"/>
        <v>2160</v>
      </c>
      <c r="K1039" s="34">
        <v>1457269</v>
      </c>
      <c r="L1039" s="34">
        <v>75490</v>
      </c>
    </row>
    <row r="1040" hidden="1">
      <c r="B1040" s="64">
        <v>45028</v>
      </c>
      <c r="C1040" s="9" t="s">
        <v>3653</v>
      </c>
      <c r="D1040" s="6" t="s">
        <v>2456</v>
      </c>
      <c r="E1040" s="6" t="s">
        <v>2220</v>
      </c>
      <c r="F1040" s="6" t="s">
        <v>2226</v>
      </c>
      <c r="G1040" s="6" t="s">
        <v>2258</v>
      </c>
      <c r="H1040" s="7">
        <v>1114</v>
      </c>
      <c r="I1040" s="8">
        <f>SUMIF(Cargas!$C$6:$C$1064,C1040,Cargas!$O$6:$O$1064)</f>
        <v>0</v>
      </c>
      <c r="J1040" s="17">
        <f t="shared" si="19"/>
        <v>1114</v>
      </c>
      <c r="K1040" s="34">
        <v>1457270</v>
      </c>
      <c r="L1040" s="34">
        <v>75447</v>
      </c>
    </row>
    <row r="1041" hidden="1">
      <c r="B1041" s="64">
        <v>45032</v>
      </c>
      <c r="C1041" s="9" t="s">
        <v>3654</v>
      </c>
      <c r="D1041" s="6" t="s">
        <v>2458</v>
      </c>
      <c r="E1041" s="6" t="s">
        <v>2220</v>
      </c>
      <c r="F1041" s="6" t="s">
        <v>2226</v>
      </c>
      <c r="G1041" s="6" t="s">
        <v>2258</v>
      </c>
      <c r="H1041" s="7">
        <v>3240</v>
      </c>
      <c r="I1041" s="8">
        <f>SUMIF(Cargas!$C$6:$C$1064,C1041,Cargas!$O$6:$O$1064)</f>
        <v>0</v>
      </c>
      <c r="J1041" s="17">
        <f t="shared" si="19"/>
        <v>3240</v>
      </c>
      <c r="K1041" s="34">
        <v>1457544</v>
      </c>
      <c r="L1041" s="34">
        <v>80900</v>
      </c>
    </row>
    <row r="1042" hidden="1">
      <c r="B1042" s="64">
        <v>45032</v>
      </c>
      <c r="C1042" s="9" t="s">
        <v>3655</v>
      </c>
      <c r="D1042" s="6" t="s">
        <v>2460</v>
      </c>
      <c r="E1042" s="6" t="s">
        <v>2220</v>
      </c>
      <c r="F1042" s="6" t="s">
        <v>2226</v>
      </c>
      <c r="G1042" s="6" t="s">
        <v>2258</v>
      </c>
      <c r="H1042" s="7">
        <v>2160</v>
      </c>
      <c r="I1042" s="8">
        <f>SUMIF(Cargas!$C$6:$C$1064,C1042,Cargas!$O$6:$O$1064)</f>
        <v>0</v>
      </c>
      <c r="J1042" s="17">
        <f t="shared" si="19"/>
        <v>2160</v>
      </c>
      <c r="K1042" s="34">
        <v>1457545</v>
      </c>
      <c r="L1042" s="34">
        <v>80816</v>
      </c>
    </row>
    <row r="1043" hidden="1">
      <c r="B1043" s="64">
        <v>45032</v>
      </c>
      <c r="C1043" s="9" t="s">
        <v>3656</v>
      </c>
      <c r="D1043" s="6" t="s">
        <v>2475</v>
      </c>
      <c r="E1043" s="6" t="s">
        <v>2220</v>
      </c>
      <c r="F1043" s="6" t="s">
        <v>2226</v>
      </c>
      <c r="G1043" s="6" t="s">
        <v>2258</v>
      </c>
      <c r="H1043" s="7">
        <v>1080</v>
      </c>
      <c r="I1043" s="8">
        <f>SUMIF(Cargas!$C$6:$C$1064,C1043,Cargas!$O$6:$O$1064)</f>
        <v>0</v>
      </c>
      <c r="J1043" s="17">
        <f ref="J1043:J1064" t="shared" si="20">IF(ABS(H1043-I1043)&lt;20,0,H1043-I1043)</f>
        <v>1080</v>
      </c>
      <c r="K1043" s="34">
        <v>1457546</v>
      </c>
      <c r="L1043" s="34">
        <v>80771</v>
      </c>
    </row>
    <row r="1044" hidden="1">
      <c r="B1044" s="64">
        <v>45042</v>
      </c>
      <c r="C1044" s="9" t="s">
        <v>3657</v>
      </c>
      <c r="D1044" s="6" t="s">
        <v>2486</v>
      </c>
      <c r="E1044" s="6" t="s">
        <v>2220</v>
      </c>
      <c r="F1044" s="6" t="s">
        <v>2226</v>
      </c>
      <c r="G1044" s="6" t="s">
        <v>2258</v>
      </c>
      <c r="H1044" s="7">
        <v>4320</v>
      </c>
      <c r="I1044" s="8">
        <f>SUMIF(Cargas!$C$6:$C$1064,C1044,Cargas!$O$6:$O$1064)</f>
        <v>0</v>
      </c>
      <c r="J1044" s="17">
        <f t="shared" si="20"/>
        <v>4320</v>
      </c>
      <c r="K1044" s="34">
        <v>1458203</v>
      </c>
      <c r="L1044" s="34">
        <v>86142</v>
      </c>
    </row>
    <row r="1045" hidden="1">
      <c r="B1045" s="64">
        <v>45042</v>
      </c>
      <c r="C1045" s="9" t="s">
        <v>3658</v>
      </c>
      <c r="D1045" s="6" t="s">
        <v>2492</v>
      </c>
      <c r="E1045" s="6" t="s">
        <v>2220</v>
      </c>
      <c r="F1045" s="6" t="s">
        <v>2226</v>
      </c>
      <c r="G1045" s="6" t="s">
        <v>2227</v>
      </c>
      <c r="H1045" s="7">
        <v>1114</v>
      </c>
      <c r="I1045" s="8">
        <f>SUMIF(Cargas!$C$6:$C$1064,C1045,Cargas!$O$6:$O$1064)</f>
        <v>0</v>
      </c>
      <c r="J1045" s="17">
        <f t="shared" si="20"/>
        <v>1114</v>
      </c>
      <c r="K1045" s="34">
        <v>1458204</v>
      </c>
      <c r="L1045" s="34">
        <v>87000</v>
      </c>
    </row>
    <row r="1046" hidden="1">
      <c r="A1046" s="79"/>
      <c r="B1046" s="80">
        <v>45217</v>
      </c>
      <c r="C1046" s="81" t="s">
        <v>3659</v>
      </c>
      <c r="D1046" s="82" t="s">
        <v>3019</v>
      </c>
      <c r="E1046" s="82" t="s">
        <v>3020</v>
      </c>
      <c r="F1046" s="82" t="s">
        <v>2221</v>
      </c>
      <c r="G1046" s="82" t="s">
        <v>2222</v>
      </c>
      <c r="H1046" s="83">
        <v>1322</v>
      </c>
      <c r="I1046" s="84">
        <f>SUMIF(Cargas!$C$6:$C$1064,C1046,Cargas!$O$6:$O$1064)</f>
        <v>0</v>
      </c>
      <c r="J1046" s="85">
        <f t="shared" si="20"/>
        <v>1322</v>
      </c>
      <c r="K1046" s="86">
        <v>1474300</v>
      </c>
      <c r="L1046" s="86">
        <v>221782</v>
      </c>
      <c r="M1046" s="32"/>
    </row>
    <row r="1047" hidden="1" ht="14.25" customHeight="1">
      <c r="A1047" s="79"/>
      <c r="B1047" s="80">
        <v>45224</v>
      </c>
      <c r="C1047" s="81" t="s">
        <v>3660</v>
      </c>
      <c r="D1047" s="82" t="s">
        <v>3091</v>
      </c>
      <c r="E1047" s="82" t="s">
        <v>3020</v>
      </c>
      <c r="F1047" s="82" t="s">
        <v>2221</v>
      </c>
      <c r="G1047" s="82" t="s">
        <v>2222</v>
      </c>
      <c r="H1047" s="83">
        <v>1322</v>
      </c>
      <c r="I1047" s="84">
        <f>SUMIF(Cargas!$C$6:$C$1064,C1047,Cargas!$O$6:$O$1064)</f>
        <v>0</v>
      </c>
      <c r="J1047" s="85">
        <f t="shared" si="20"/>
        <v>1322</v>
      </c>
      <c r="K1047" s="86">
        <v>1474481</v>
      </c>
      <c r="L1047" s="86">
        <v>228708</v>
      </c>
      <c r="M1047" s="32"/>
    </row>
    <row r="1048" hidden="1">
      <c r="B1048" s="64">
        <v>45056</v>
      </c>
      <c r="C1048" s="9" t="s">
        <v>3661</v>
      </c>
      <c r="D1048" s="6" t="s">
        <v>2500</v>
      </c>
      <c r="E1048" s="6" t="s">
        <v>2220</v>
      </c>
      <c r="F1048" s="6" t="s">
        <v>2226</v>
      </c>
      <c r="G1048" s="6" t="s">
        <v>2227</v>
      </c>
      <c r="H1048" s="7">
        <v>2160</v>
      </c>
      <c r="I1048" s="8">
        <f>SUMIF(Cargas!$C$6:$C$1064,C1048,Cargas!$O$6:$O$1064)</f>
        <v>0</v>
      </c>
      <c r="J1048" s="17">
        <f t="shared" si="20"/>
        <v>2160</v>
      </c>
      <c r="K1048" s="34">
        <v>1459623</v>
      </c>
      <c r="L1048" s="34">
        <v>92187</v>
      </c>
    </row>
    <row r="1049" hidden="1">
      <c r="B1049" s="64">
        <v>45056</v>
      </c>
      <c r="C1049" s="9" t="s">
        <v>3662</v>
      </c>
      <c r="D1049" s="6" t="s">
        <v>2502</v>
      </c>
      <c r="E1049" s="6" t="s">
        <v>2220</v>
      </c>
      <c r="F1049" s="6" t="s">
        <v>2226</v>
      </c>
      <c r="G1049" s="6" t="s">
        <v>2227</v>
      </c>
      <c r="H1049" s="7">
        <v>1114</v>
      </c>
      <c r="I1049" s="8">
        <f>SUMIF(Cargas!$C$6:$C$1064,C1049,Cargas!$O$6:$O$1064)</f>
        <v>0</v>
      </c>
      <c r="J1049" s="17">
        <f t="shared" si="20"/>
        <v>1114</v>
      </c>
      <c r="K1049" s="34">
        <v>1459624</v>
      </c>
      <c r="L1049" s="34">
        <v>92098</v>
      </c>
    </row>
    <row r="1050" hidden="1">
      <c r="B1050" s="64">
        <v>45061</v>
      </c>
      <c r="C1050" s="9" t="s">
        <v>3663</v>
      </c>
      <c r="D1050" s="6" t="s">
        <v>2508</v>
      </c>
      <c r="E1050" s="6" t="s">
        <v>2220</v>
      </c>
      <c r="F1050" s="6" t="s">
        <v>2226</v>
      </c>
      <c r="G1050" s="6" t="s">
        <v>2227</v>
      </c>
      <c r="H1050" s="7">
        <v>2160</v>
      </c>
      <c r="I1050" s="8">
        <f>SUMIF(Cargas!$C$6:$C$1064,C1050,Cargas!$O$6:$O$1064)</f>
        <v>0</v>
      </c>
      <c r="J1050" s="17">
        <f t="shared" si="20"/>
        <v>2160</v>
      </c>
      <c r="K1050" s="34">
        <v>1460196</v>
      </c>
      <c r="L1050" s="34">
        <v>100347</v>
      </c>
    </row>
    <row r="1051" hidden="1">
      <c r="B1051" s="64">
        <v>45061</v>
      </c>
      <c r="C1051" s="9" t="s">
        <v>3664</v>
      </c>
      <c r="D1051" s="6" t="s">
        <v>2514</v>
      </c>
      <c r="E1051" s="6" t="s">
        <v>2220</v>
      </c>
      <c r="F1051" s="6" t="s">
        <v>2226</v>
      </c>
      <c r="G1051" s="6" t="s">
        <v>2227</v>
      </c>
      <c r="H1051" s="7">
        <v>1128</v>
      </c>
      <c r="I1051" s="8">
        <f>SUMIF(Cargas!$C$6:$C$1064,C1051,Cargas!$O$6:$O$1064)</f>
        <v>0</v>
      </c>
      <c r="J1051" s="17">
        <f t="shared" si="20"/>
        <v>1128</v>
      </c>
      <c r="K1051" s="34">
        <v>1460197</v>
      </c>
      <c r="L1051" s="34">
        <v>100381</v>
      </c>
    </row>
    <row r="1052" hidden="1" ht="14.25" customHeight="1">
      <c r="B1052" s="64">
        <v>45421</v>
      </c>
      <c r="C1052" s="9" t="s">
        <v>229</v>
      </c>
      <c r="D1052" s="6" t="s">
        <v>2761</v>
      </c>
      <c r="E1052" s="6" t="s">
        <v>2794</v>
      </c>
      <c r="F1052" s="6" t="s">
        <v>2226</v>
      </c>
      <c r="G1052" s="6" t="s">
        <v>2282</v>
      </c>
      <c r="H1052" s="7">
        <v>1180</v>
      </c>
      <c r="I1052" s="8">
        <f>SUMIF(Cargas!$C$6:$C$1064,C1052,Cargas!$O$6:$O$1064)</f>
        <v>1180</v>
      </c>
      <c r="J1052" s="17">
        <f t="shared" si="20"/>
        <v>0</v>
      </c>
      <c r="K1052" s="34">
        <v>1491458</v>
      </c>
      <c r="L1052" s="34">
        <v>88822</v>
      </c>
      <c r="M1052" s="0">
        <v>1</v>
      </c>
    </row>
    <row r="1053" hidden="1">
      <c r="B1053" s="64">
        <v>45421</v>
      </c>
      <c r="C1053" s="9" t="s">
        <v>231</v>
      </c>
      <c r="D1053" s="6" t="s">
        <v>2767</v>
      </c>
      <c r="E1053" s="6" t="s">
        <v>2794</v>
      </c>
      <c r="F1053" s="6" t="s">
        <v>2226</v>
      </c>
      <c r="G1053" s="6" t="s">
        <v>3420</v>
      </c>
      <c r="H1053" s="7">
        <v>1250</v>
      </c>
      <c r="I1053" s="8">
        <f>SUMIF(Cargas!$C$6:$C$1064,C1053,Cargas!$O$6:$O$1064)</f>
        <v>1250</v>
      </c>
      <c r="J1053" s="17">
        <f t="shared" si="20"/>
        <v>0</v>
      </c>
      <c r="K1053" s="34">
        <v>1491459</v>
      </c>
      <c r="L1053" s="34">
        <v>88918</v>
      </c>
      <c r="M1053" s="0">
        <v>1</v>
      </c>
    </row>
    <row r="1054" hidden="1">
      <c r="B1054" s="64">
        <v>45067</v>
      </c>
      <c r="C1054" s="9" t="s">
        <v>3665</v>
      </c>
      <c r="D1054" s="6" t="s">
        <v>2520</v>
      </c>
      <c r="E1054" s="6" t="s">
        <v>2220</v>
      </c>
      <c r="F1054" s="6" t="s">
        <v>2226</v>
      </c>
      <c r="G1054" s="6" t="s">
        <v>2227</v>
      </c>
      <c r="H1054" s="7">
        <v>2208</v>
      </c>
      <c r="I1054" s="8">
        <f>SUMIF(Cargas!$C$6:$C$1064,C1054,Cargas!$O$6:$O$1064)</f>
        <v>0</v>
      </c>
      <c r="J1054" s="17">
        <f t="shared" si="20"/>
        <v>2208</v>
      </c>
      <c r="K1054" s="34">
        <v>1460197</v>
      </c>
      <c r="L1054" s="34">
        <v>104476</v>
      </c>
    </row>
    <row r="1055" hidden="1">
      <c r="A1055" s="42"/>
      <c r="B1055" s="64">
        <v>45068</v>
      </c>
      <c r="C1055" s="134" t="s">
        <v>3666</v>
      </c>
      <c r="D1055" s="6" t="s">
        <v>3667</v>
      </c>
      <c r="E1055" s="6" t="s">
        <v>2780</v>
      </c>
      <c r="F1055" s="6" t="s">
        <v>2221</v>
      </c>
      <c r="G1055" s="6" t="s">
        <v>2222</v>
      </c>
      <c r="H1055" s="135">
        <v>1000</v>
      </c>
      <c r="I1055" s="8">
        <f>SUMIF(Cargas!$C$6:$C$1064,C1055,Cargas!$O$6:$O$1064)</f>
        <v>0</v>
      </c>
      <c r="J1055" s="17">
        <f t="shared" si="20"/>
        <v>1000</v>
      </c>
      <c r="K1055" s="34">
        <v>1460325</v>
      </c>
      <c r="L1055" s="34">
        <v>96344</v>
      </c>
    </row>
    <row r="1056" hidden="1">
      <c r="B1056" s="64">
        <v>45074</v>
      </c>
      <c r="C1056" s="9" t="s">
        <v>3668</v>
      </c>
      <c r="D1056" s="6" t="s">
        <v>2524</v>
      </c>
      <c r="E1056" s="6" t="s">
        <v>2220</v>
      </c>
      <c r="F1056" s="6" t="s">
        <v>2226</v>
      </c>
      <c r="G1056" s="6" t="s">
        <v>2227</v>
      </c>
      <c r="H1056" s="7">
        <v>3240</v>
      </c>
      <c r="I1056" s="8">
        <f>SUMIF(Cargas!$C$6:$C$1064,C1056,Cargas!$O$6:$O$1064)</f>
        <v>0</v>
      </c>
      <c r="J1056" s="17">
        <f t="shared" si="20"/>
        <v>3240</v>
      </c>
      <c r="K1056" s="34">
        <v>1461177</v>
      </c>
      <c r="L1056" s="34">
        <v>107757</v>
      </c>
    </row>
    <row r="1057" hidden="1">
      <c r="B1057" s="64">
        <v>45074</v>
      </c>
      <c r="C1057" s="9" t="s">
        <v>3669</v>
      </c>
      <c r="D1057" s="6" t="s">
        <v>2530</v>
      </c>
      <c r="E1057" s="6" t="s">
        <v>2220</v>
      </c>
      <c r="F1057" s="6" t="s">
        <v>2226</v>
      </c>
      <c r="G1057" s="6" t="s">
        <v>2227</v>
      </c>
      <c r="H1057" s="7">
        <v>1112</v>
      </c>
      <c r="I1057" s="8">
        <f>SUMIF(Cargas!$C$6:$C$1064,C1057,Cargas!$O$6:$O$1064)</f>
        <v>0</v>
      </c>
      <c r="J1057" s="17">
        <f t="shared" si="20"/>
        <v>1112</v>
      </c>
      <c r="K1057" s="34">
        <v>1461176</v>
      </c>
      <c r="L1057" s="34">
        <v>107774</v>
      </c>
    </row>
    <row r="1058" hidden="1">
      <c r="B1058" s="64">
        <v>45081</v>
      </c>
      <c r="C1058" s="9" t="s">
        <v>3670</v>
      </c>
      <c r="D1058" s="6" t="s">
        <v>2532</v>
      </c>
      <c r="E1058" s="6" t="s">
        <v>2220</v>
      </c>
      <c r="F1058" s="6" t="s">
        <v>2226</v>
      </c>
      <c r="G1058" s="6" t="s">
        <v>2258</v>
      </c>
      <c r="H1058" s="7">
        <v>3240</v>
      </c>
      <c r="I1058" s="8">
        <f>SUMIF(Cargas!$C$6:$C$1064,C1058,Cargas!$O$6:$O$1064)</f>
        <v>0</v>
      </c>
      <c r="J1058" s="17">
        <f t="shared" si="20"/>
        <v>3240</v>
      </c>
      <c r="K1058" s="34">
        <v>1461176</v>
      </c>
      <c r="L1058" s="34">
        <v>114463</v>
      </c>
    </row>
    <row r="1059" hidden="1">
      <c r="B1059" s="64">
        <v>45081</v>
      </c>
      <c r="C1059" s="9" t="s">
        <v>3671</v>
      </c>
      <c r="D1059" s="6" t="s">
        <v>2528</v>
      </c>
      <c r="E1059" s="6" t="s">
        <v>2220</v>
      </c>
      <c r="F1059" s="6" t="s">
        <v>2226</v>
      </c>
      <c r="G1059" s="6" t="s">
        <v>2258</v>
      </c>
      <c r="H1059" s="7">
        <v>2160</v>
      </c>
      <c r="I1059" s="8">
        <f>SUMIF(Cargas!$C$6:$C$1064,C1059,Cargas!$O$6:$O$1064)</f>
        <v>0</v>
      </c>
      <c r="J1059" s="17">
        <f t="shared" si="20"/>
        <v>2160</v>
      </c>
      <c r="K1059" s="34">
        <v>1461176</v>
      </c>
      <c r="L1059" s="34">
        <v>114530</v>
      </c>
    </row>
    <row r="1060" hidden="1">
      <c r="B1060" s="64">
        <v>45081</v>
      </c>
      <c r="C1060" s="9" t="s">
        <v>3672</v>
      </c>
      <c r="D1060" s="6" t="s">
        <v>2542</v>
      </c>
      <c r="E1060" s="6" t="s">
        <v>2220</v>
      </c>
      <c r="F1060" s="6" t="s">
        <v>2226</v>
      </c>
      <c r="G1060" s="6" t="s">
        <v>2258</v>
      </c>
      <c r="H1060" s="7">
        <v>1096</v>
      </c>
      <c r="I1060" s="8">
        <f>SUMIF(Cargas!$C$6:$C$1064,C1060,Cargas!$O$6:$O$1064)</f>
        <v>0</v>
      </c>
      <c r="J1060" s="17">
        <f t="shared" si="20"/>
        <v>1096</v>
      </c>
      <c r="K1060" s="34">
        <v>1461176</v>
      </c>
      <c r="L1060" s="34">
        <v>113705</v>
      </c>
    </row>
    <row r="1061" hidden="1">
      <c r="B1061" s="64">
        <v>45090</v>
      </c>
      <c r="C1061" s="9" t="s">
        <v>3673</v>
      </c>
      <c r="D1061" s="6" t="s">
        <v>2550</v>
      </c>
      <c r="E1061" s="6" t="s">
        <v>2220</v>
      </c>
      <c r="F1061" s="6" t="s">
        <v>2226</v>
      </c>
      <c r="G1061" s="6" t="s">
        <v>2258</v>
      </c>
      <c r="H1061" s="7">
        <v>4320</v>
      </c>
      <c r="I1061" s="8">
        <f>SUMIF(Cargas!$C$6:$C$1064,C1061,Cargas!$O$6:$O$1064)</f>
        <v>0</v>
      </c>
      <c r="J1061" s="17">
        <f t="shared" si="20"/>
        <v>4320</v>
      </c>
      <c r="K1061" s="34">
        <v>1462235</v>
      </c>
      <c r="L1061" s="34">
        <v>121067</v>
      </c>
    </row>
    <row r="1062" hidden="1">
      <c r="B1062" s="64">
        <v>45090</v>
      </c>
      <c r="C1062" s="9" t="s">
        <v>3674</v>
      </c>
      <c r="D1062" s="6" t="s">
        <v>2554</v>
      </c>
      <c r="E1062" s="6" t="s">
        <v>2220</v>
      </c>
      <c r="F1062" s="6" t="s">
        <v>2226</v>
      </c>
      <c r="G1062" s="6" t="s">
        <v>2227</v>
      </c>
      <c r="H1062" s="7">
        <v>3240</v>
      </c>
      <c r="I1062" s="8">
        <f>SUMIF(Cargas!$C$6:$C$1064,C1062,Cargas!$O$6:$O$1064)</f>
        <v>0</v>
      </c>
      <c r="J1062" s="17">
        <f t="shared" si="20"/>
        <v>3240</v>
      </c>
      <c r="K1062" s="34">
        <v>1462236</v>
      </c>
      <c r="L1062" s="34">
        <v>121049</v>
      </c>
    </row>
    <row r="1063" hidden="1">
      <c r="B1063" s="64">
        <v>45125</v>
      </c>
      <c r="C1063" s="9" t="s">
        <v>3675</v>
      </c>
      <c r="D1063" s="6" t="s">
        <v>2562</v>
      </c>
      <c r="E1063" s="6" t="s">
        <v>2220</v>
      </c>
      <c r="F1063" s="6" t="s">
        <v>2226</v>
      </c>
      <c r="G1063" s="6" t="s">
        <v>2258</v>
      </c>
      <c r="H1063" s="7">
        <v>1112</v>
      </c>
      <c r="I1063" s="8">
        <f>SUMIF(Cargas!$C$6:$C$1064,C1063,Cargas!$O$6:$O$1064)</f>
        <v>0</v>
      </c>
      <c r="J1063" s="17">
        <f t="shared" si="20"/>
        <v>1112</v>
      </c>
      <c r="K1063" s="34">
        <v>1462237</v>
      </c>
      <c r="L1063" s="34">
        <v>121005</v>
      </c>
    </row>
    <row r="1064" hidden="1">
      <c r="B1064" s="64">
        <v>45125</v>
      </c>
      <c r="C1064" s="9" t="s">
        <v>3676</v>
      </c>
      <c r="D1064" s="6" t="s">
        <v>2566</v>
      </c>
      <c r="E1064" s="6" t="s">
        <v>2220</v>
      </c>
      <c r="F1064" s="6" t="s">
        <v>2226</v>
      </c>
      <c r="G1064" s="6" t="s">
        <v>2258</v>
      </c>
      <c r="H1064" s="7">
        <v>3240</v>
      </c>
      <c r="I1064" s="8">
        <f>SUMIF(Cargas!$C$6:$C$1064,C1064,Cargas!$O$6:$O$1064)</f>
        <v>0</v>
      </c>
      <c r="J1064" s="17">
        <f t="shared" si="20"/>
        <v>3240</v>
      </c>
      <c r="K1064" s="34">
        <v>1462861</v>
      </c>
      <c r="L1064" s="34">
        <v>128472</v>
      </c>
    </row>
    <row r="1065" hidden="1" ht="14.25" customHeight="1" s="32" customFormat="1">
      <c r="A1065" s="42"/>
      <c r="B1065" s="64">
        <v>44958</v>
      </c>
      <c r="C1065" s="134" t="s">
        <v>3677</v>
      </c>
      <c r="D1065" s="6" t="s">
        <v>3678</v>
      </c>
      <c r="E1065" s="6" t="s">
        <v>3226</v>
      </c>
      <c r="F1065" s="6" t="s">
        <v>2221</v>
      </c>
      <c r="G1065" s="6" t="s">
        <v>2222</v>
      </c>
      <c r="H1065" s="135">
        <v>510</v>
      </c>
      <c r="I1065" s="136">
        <v>2112</v>
      </c>
      <c r="J1065" s="137">
        <v>0</v>
      </c>
      <c r="K1065" s="34">
        <v>1451659</v>
      </c>
      <c r="L1065" s="34">
        <v>35836</v>
      </c>
    </row>
    <row r="1066" hidden="1" ht="14.25" customHeight="1" s="32" customFormat="1">
      <c r="A1066" s="42"/>
      <c r="B1066" s="64">
        <v>44999</v>
      </c>
      <c r="C1066" s="134" t="s">
        <v>3679</v>
      </c>
      <c r="D1066" s="6" t="s">
        <v>3680</v>
      </c>
      <c r="E1066" s="6" t="s">
        <v>3226</v>
      </c>
      <c r="F1066" s="6" t="s">
        <v>2221</v>
      </c>
      <c r="G1066" s="6" t="s">
        <v>2222</v>
      </c>
      <c r="H1066" s="135">
        <v>510</v>
      </c>
      <c r="I1066" s="8">
        <f>SUMIF(Cargas!$C$6:$C$1064,C1066,Cargas!$O$6:$O$1064)</f>
        <v>0</v>
      </c>
      <c r="J1066" s="17">
        <f ref="J1066:J1129" t="shared" si="21">IF(ABS(H1066-I1066)&lt;20,0,H1066-I1066)</f>
        <v>510</v>
      </c>
      <c r="K1066" s="34">
        <v>1451708</v>
      </c>
      <c r="L1066" s="34">
        <v>47615</v>
      </c>
    </row>
    <row r="1067" hidden="1" ht="14.25" customHeight="1" s="32" customFormat="1">
      <c r="A1067" s="42"/>
      <c r="B1067" s="64">
        <v>45009</v>
      </c>
      <c r="C1067" s="134" t="s">
        <v>3681</v>
      </c>
      <c r="D1067" s="6" t="s">
        <v>3682</v>
      </c>
      <c r="E1067" s="6" t="s">
        <v>3226</v>
      </c>
      <c r="F1067" s="6" t="s">
        <v>2221</v>
      </c>
      <c r="G1067" s="6" t="s">
        <v>2222</v>
      </c>
      <c r="H1067" s="135">
        <v>765</v>
      </c>
      <c r="I1067" s="8">
        <f>SUMIF(Cargas!$C$6:$C$1064,C1067,Cargas!$O$6:$O$1064)</f>
        <v>0</v>
      </c>
      <c r="J1067" s="17">
        <f t="shared" si="21"/>
        <v>765</v>
      </c>
      <c r="K1067" s="34">
        <v>1455675</v>
      </c>
      <c r="L1067" s="34">
        <v>54621</v>
      </c>
    </row>
    <row r="1068" hidden="1" ht="14.25" customHeight="1" s="32" customFormat="1">
      <c r="A1068" s="42"/>
      <c r="B1068" s="64">
        <v>45027</v>
      </c>
      <c r="C1068" s="134" t="s">
        <v>3683</v>
      </c>
      <c r="D1068" s="6" t="s">
        <v>3684</v>
      </c>
      <c r="E1068" s="6" t="s">
        <v>3226</v>
      </c>
      <c r="F1068" s="6" t="s">
        <v>2221</v>
      </c>
      <c r="G1068" s="6" t="s">
        <v>2222</v>
      </c>
      <c r="H1068" s="135">
        <v>1020</v>
      </c>
      <c r="I1068" s="8">
        <f>SUMIF(Cargas!$C$6:$C$1064,C1068,Cargas!$O$6:$O$1064)</f>
        <v>0</v>
      </c>
      <c r="J1068" s="17">
        <f t="shared" si="21"/>
        <v>1020</v>
      </c>
      <c r="K1068" s="34">
        <v>1457277</v>
      </c>
      <c r="L1068" s="34">
        <v>66526</v>
      </c>
    </row>
    <row r="1069" hidden="1" ht="14.25" customHeight="1" s="32" customFormat="1">
      <c r="A1069" s="42"/>
      <c r="B1069" s="64">
        <v>45037</v>
      </c>
      <c r="C1069" s="134" t="s">
        <v>3685</v>
      </c>
      <c r="D1069" s="6" t="s">
        <v>3686</v>
      </c>
      <c r="E1069" s="6" t="s">
        <v>3226</v>
      </c>
      <c r="F1069" s="6" t="s">
        <v>2221</v>
      </c>
      <c r="G1069" s="6" t="s">
        <v>2222</v>
      </c>
      <c r="H1069" s="135">
        <v>1020</v>
      </c>
      <c r="I1069" s="8">
        <f>SUMIF(Cargas!$C$6:$C$1064,C1069,Cargas!$O$6:$O$1064)</f>
        <v>0</v>
      </c>
      <c r="J1069" s="17">
        <f t="shared" si="21"/>
        <v>1020</v>
      </c>
      <c r="K1069" s="34" t="s">
        <v>3687</v>
      </c>
      <c r="L1069" s="34">
        <v>69363</v>
      </c>
    </row>
    <row r="1070" hidden="1" ht="14.25" customHeight="1" s="32" customFormat="1">
      <c r="A1070" s="42"/>
      <c r="B1070" s="64">
        <v>45039</v>
      </c>
      <c r="C1070" s="134" t="s">
        <v>3688</v>
      </c>
      <c r="D1070" s="6" t="s">
        <v>3689</v>
      </c>
      <c r="E1070" s="6" t="s">
        <v>3226</v>
      </c>
      <c r="F1070" s="6" t="s">
        <v>2221</v>
      </c>
      <c r="G1070" s="6" t="s">
        <v>2222</v>
      </c>
      <c r="H1070" s="135">
        <v>1020</v>
      </c>
      <c r="I1070" s="8">
        <f>SUMIF(Cargas!$C$6:$C$1064,C1070,Cargas!$O$6:$O$1064)</f>
        <v>0</v>
      </c>
      <c r="J1070" s="17">
        <f t="shared" si="21"/>
        <v>1020</v>
      </c>
      <c r="K1070" s="34" t="s">
        <v>3690</v>
      </c>
      <c r="L1070" s="34" t="s">
        <v>3691</v>
      </c>
    </row>
    <row r="1071" hidden="1" ht="14.25" customHeight="1" s="32" customFormat="1">
      <c r="A1071" s="42"/>
      <c r="B1071" s="64">
        <v>45047</v>
      </c>
      <c r="C1071" s="134" t="s">
        <v>3692</v>
      </c>
      <c r="D1071" s="6" t="s">
        <v>3693</v>
      </c>
      <c r="E1071" s="6" t="s">
        <v>3226</v>
      </c>
      <c r="F1071" s="6" t="s">
        <v>2221</v>
      </c>
      <c r="G1071" s="6" t="s">
        <v>2222</v>
      </c>
      <c r="H1071" s="135">
        <v>1020</v>
      </c>
      <c r="I1071" s="8">
        <f>SUMIF(Cargas!$C$6:$C$1064,C1071,Cargas!$O$6:$O$1064)</f>
        <v>0</v>
      </c>
      <c r="J1071" s="17">
        <f t="shared" si="21"/>
        <v>1020</v>
      </c>
      <c r="K1071" s="34" t="s">
        <v>3694</v>
      </c>
      <c r="L1071" s="34">
        <v>80653</v>
      </c>
    </row>
    <row r="1072" hidden="1" ht="14.25" customHeight="1" s="32" customFormat="1">
      <c r="A1072" s="42"/>
      <c r="B1072" s="64">
        <v>45089</v>
      </c>
      <c r="C1072" s="134" t="s">
        <v>3695</v>
      </c>
      <c r="D1072" s="6" t="s">
        <v>3696</v>
      </c>
      <c r="E1072" s="6" t="s">
        <v>3226</v>
      </c>
      <c r="F1072" s="6" t="s">
        <v>2221</v>
      </c>
      <c r="G1072" s="6" t="s">
        <v>2222</v>
      </c>
      <c r="H1072" s="135">
        <v>765</v>
      </c>
      <c r="I1072" s="8">
        <f>SUMIF(Cargas!$C$6:$C$1064,C1072,Cargas!$O$6:$O$1064)</f>
        <v>0</v>
      </c>
      <c r="J1072" s="17">
        <f t="shared" si="21"/>
        <v>765</v>
      </c>
      <c r="K1072" s="34">
        <v>1461152</v>
      </c>
      <c r="L1072" s="34">
        <v>106377</v>
      </c>
    </row>
    <row r="1073" hidden="1" ht="14.25" customHeight="1" s="32" customFormat="1">
      <c r="B1073" s="64">
        <v>44940</v>
      </c>
      <c r="C1073" s="9" t="s">
        <v>3697</v>
      </c>
      <c r="D1073" s="6" t="s">
        <v>3292</v>
      </c>
      <c r="E1073" s="6" t="s">
        <v>3698</v>
      </c>
      <c r="F1073" s="6" t="s">
        <v>2221</v>
      </c>
      <c r="G1073" s="6" t="s">
        <v>2222</v>
      </c>
      <c r="H1073" s="7">
        <v>480</v>
      </c>
      <c r="I1073" s="8">
        <f>SUMIF(Cargas!$C$6:$C$1064,C1073,Cargas!$O$6:$O$1064)</f>
        <v>0</v>
      </c>
      <c r="J1073" s="17">
        <f t="shared" si="21"/>
        <v>480</v>
      </c>
      <c r="K1073" s="34">
        <v>1449350</v>
      </c>
      <c r="L1073" s="34">
        <v>7800</v>
      </c>
    </row>
    <row r="1074" hidden="1" ht="14.25" customHeight="1" s="32" customFormat="1">
      <c r="B1074" s="64">
        <v>44948</v>
      </c>
      <c r="C1074" s="9" t="s">
        <v>3699</v>
      </c>
      <c r="D1074" s="6" t="s">
        <v>3700</v>
      </c>
      <c r="E1074" s="6" t="s">
        <v>3698</v>
      </c>
      <c r="F1074" s="6" t="s">
        <v>2221</v>
      </c>
      <c r="G1074" s="6" t="s">
        <v>2222</v>
      </c>
      <c r="H1074" s="7">
        <v>480</v>
      </c>
      <c r="I1074" s="8">
        <v>480</v>
      </c>
      <c r="J1074" s="17">
        <f t="shared" si="21"/>
        <v>0</v>
      </c>
      <c r="K1074" s="34">
        <v>144996</v>
      </c>
      <c r="L1074" s="34">
        <v>13067</v>
      </c>
    </row>
    <row r="1075" hidden="1">
      <c r="B1075" s="64">
        <v>45426</v>
      </c>
      <c r="C1075" s="9" t="s">
        <v>240</v>
      </c>
      <c r="D1075" s="6" t="s">
        <v>2773</v>
      </c>
      <c r="E1075" s="6" t="s">
        <v>2794</v>
      </c>
      <c r="F1075" s="6" t="s">
        <v>2226</v>
      </c>
      <c r="G1075" s="6" t="s">
        <v>2258</v>
      </c>
      <c r="H1075" s="7">
        <v>1250</v>
      </c>
      <c r="I1075" s="8">
        <f>SUMIF(Cargas!$C$6:$C$1064,C1075,Cargas!$O$6:$O$1064)</f>
        <v>1250</v>
      </c>
      <c r="J1075" s="17">
        <f t="shared" si="21"/>
        <v>0</v>
      </c>
      <c r="K1075" s="34"/>
      <c r="L1075" s="34">
        <v>92030</v>
      </c>
      <c r="M1075" s="0">
        <v>1</v>
      </c>
    </row>
    <row r="1076" hidden="1">
      <c r="B1076" s="64">
        <v>45426</v>
      </c>
      <c r="C1076" s="9" t="s">
        <v>241</v>
      </c>
      <c r="D1076" s="6" t="s">
        <v>3554</v>
      </c>
      <c r="E1076" s="6" t="s">
        <v>2794</v>
      </c>
      <c r="F1076" s="6" t="s">
        <v>2226</v>
      </c>
      <c r="G1076" s="6" t="s">
        <v>3420</v>
      </c>
      <c r="H1076" s="7">
        <v>1250</v>
      </c>
      <c r="I1076" s="8">
        <f>SUMIF(Cargas!$C$6:$C$1064,C1076,Cargas!$O$6:$O$1064)</f>
        <v>1250</v>
      </c>
      <c r="J1076" s="17">
        <f t="shared" si="21"/>
        <v>0</v>
      </c>
      <c r="K1076" s="34"/>
      <c r="L1076" s="34">
        <v>93149</v>
      </c>
      <c r="M1076" s="0">
        <v>1</v>
      </c>
    </row>
    <row r="1077" hidden="1">
      <c r="B1077" s="64">
        <v>45428</v>
      </c>
      <c r="C1077" s="9" t="s">
        <v>242</v>
      </c>
      <c r="D1077" s="6" t="s">
        <v>3556</v>
      </c>
      <c r="E1077" s="6" t="s">
        <v>2794</v>
      </c>
      <c r="F1077" s="6" t="s">
        <v>2226</v>
      </c>
      <c r="G1077" s="6" t="s">
        <v>2258</v>
      </c>
      <c r="H1077" s="7">
        <v>1250</v>
      </c>
      <c r="I1077" s="8">
        <f>SUMIF(Cargas!$C$6:$C$1064,C1077,Cargas!$O$6:$O$1064)</f>
        <v>1250</v>
      </c>
      <c r="J1077" s="17">
        <f t="shared" si="21"/>
        <v>0</v>
      </c>
      <c r="K1077" s="34"/>
      <c r="L1077" s="34">
        <v>94439</v>
      </c>
      <c r="M1077" s="0">
        <v>1</v>
      </c>
    </row>
    <row r="1078" hidden="1" ht="14.25" customHeight="1" s="32" customFormat="1">
      <c r="B1078" s="64">
        <v>45090</v>
      </c>
      <c r="C1078" s="9" t="s">
        <v>3701</v>
      </c>
      <c r="D1078" s="6" t="s">
        <v>2575</v>
      </c>
      <c r="E1078" s="6" t="s">
        <v>2220</v>
      </c>
      <c r="F1078" s="6" t="s">
        <v>2226</v>
      </c>
      <c r="G1078" s="6" t="s">
        <v>2227</v>
      </c>
      <c r="H1078" s="7">
        <v>3240</v>
      </c>
      <c r="I1078" s="8">
        <f>SUMIF(Cargas!$C$6:$C$1064,C1078,Cargas!$O$6:$O$1064)</f>
        <v>0</v>
      </c>
      <c r="J1078" s="17">
        <f t="shared" si="21"/>
        <v>3240</v>
      </c>
      <c r="K1078" s="34">
        <v>1462864</v>
      </c>
      <c r="L1078" s="34">
        <v>129644</v>
      </c>
    </row>
    <row r="1079" hidden="1" ht="14.25" customHeight="1" s="32" customFormat="1">
      <c r="B1079" s="64">
        <v>45104</v>
      </c>
      <c r="C1079" s="9" t="s">
        <v>3702</v>
      </c>
      <c r="D1079" s="6" t="s">
        <v>3169</v>
      </c>
      <c r="E1079" s="6" t="s">
        <v>2220</v>
      </c>
      <c r="F1079" s="6" t="s">
        <v>2226</v>
      </c>
      <c r="G1079" s="6" t="s">
        <v>2258</v>
      </c>
      <c r="H1079" s="7">
        <v>2160</v>
      </c>
      <c r="I1079" s="8">
        <f>SUMIF(Cargas!$C$6:$C$1064,C1079,Cargas!$O$6:$O$1064)</f>
        <v>0</v>
      </c>
      <c r="J1079" s="17">
        <f t="shared" si="21"/>
        <v>2160</v>
      </c>
      <c r="K1079" s="34">
        <v>1463432</v>
      </c>
      <c r="L1079" s="34">
        <v>130549</v>
      </c>
    </row>
    <row r="1080" hidden="1" ht="14.25" customHeight="1" s="32" customFormat="1">
      <c r="B1080" s="64">
        <v>45110</v>
      </c>
      <c r="C1080" s="9" t="s">
        <v>3703</v>
      </c>
      <c r="D1080" s="6" t="s">
        <v>2600</v>
      </c>
      <c r="E1080" s="6" t="s">
        <v>2220</v>
      </c>
      <c r="F1080" s="6" t="s">
        <v>2226</v>
      </c>
      <c r="G1080" s="6" t="s">
        <v>2258</v>
      </c>
      <c r="H1080" s="7">
        <v>4320</v>
      </c>
      <c r="I1080" s="8">
        <f>SUMIF(Cargas!$C$6:$C$1064,C1080,Cargas!$O$6:$O$1064)</f>
        <v>0</v>
      </c>
      <c r="J1080" s="17">
        <f t="shared" si="21"/>
        <v>4320</v>
      </c>
      <c r="K1080" s="34">
        <v>1464112</v>
      </c>
      <c r="L1080" s="34">
        <v>133175</v>
      </c>
    </row>
    <row r="1081" hidden="1" ht="14.25" customHeight="1" s="32" customFormat="1">
      <c r="B1081" s="64">
        <v>45110</v>
      </c>
      <c r="C1081" s="9" t="s">
        <v>3704</v>
      </c>
      <c r="D1081" s="6" t="s">
        <v>2610</v>
      </c>
      <c r="E1081" s="6" t="s">
        <v>2220</v>
      </c>
      <c r="F1081" s="6" t="s">
        <v>2226</v>
      </c>
      <c r="G1081" s="6" t="s">
        <v>2258</v>
      </c>
      <c r="H1081" s="7">
        <v>1112</v>
      </c>
      <c r="I1081" s="8">
        <f>SUMIF(Cargas!$C$6:$C$1064,C1081,Cargas!$O$6:$O$1064)</f>
        <v>0</v>
      </c>
      <c r="J1081" s="17">
        <f t="shared" si="21"/>
        <v>1112</v>
      </c>
      <c r="K1081" s="34">
        <v>1464113</v>
      </c>
      <c r="L1081" s="34">
        <v>133755</v>
      </c>
    </row>
    <row r="1082" hidden="1" ht="14.25" customHeight="1" s="32" customFormat="1">
      <c r="B1082" s="64">
        <v>45118</v>
      </c>
      <c r="C1082" s="9" t="s">
        <v>3705</v>
      </c>
      <c r="D1082" s="6" t="s">
        <v>2616</v>
      </c>
      <c r="E1082" s="6" t="s">
        <v>2220</v>
      </c>
      <c r="F1082" s="6" t="s">
        <v>2226</v>
      </c>
      <c r="G1082" s="6" t="s">
        <v>2258</v>
      </c>
      <c r="H1082" s="7">
        <v>4320</v>
      </c>
      <c r="I1082" s="8">
        <f>SUMIF(Cargas!$C$6:$C$1064,C1082,Cargas!$O$6:$O$1064)</f>
        <v>0</v>
      </c>
      <c r="J1082" s="17">
        <f t="shared" si="21"/>
        <v>4320</v>
      </c>
      <c r="K1082" s="34">
        <v>1464767</v>
      </c>
      <c r="L1082" s="34">
        <v>138796</v>
      </c>
    </row>
    <row r="1083" hidden="1" ht="14.25" customHeight="1" s="32" customFormat="1">
      <c r="B1083" s="64">
        <v>45125</v>
      </c>
      <c r="C1083" s="9" t="s">
        <v>3706</v>
      </c>
      <c r="D1083" s="6" t="s">
        <v>2628</v>
      </c>
      <c r="E1083" s="6" t="s">
        <v>2220</v>
      </c>
      <c r="F1083" s="6" t="s">
        <v>2226</v>
      </c>
      <c r="G1083" s="6" t="s">
        <v>2258</v>
      </c>
      <c r="H1083" s="7">
        <v>1080</v>
      </c>
      <c r="I1083" s="8">
        <f>SUMIF(Cargas!$C$6:$C$1064,C1083,Cargas!$O$6:$O$1064)</f>
        <v>0</v>
      </c>
      <c r="J1083" s="17">
        <f t="shared" si="21"/>
        <v>1080</v>
      </c>
      <c r="K1083" s="34">
        <v>1464768</v>
      </c>
      <c r="L1083" s="34">
        <v>138842</v>
      </c>
    </row>
    <row r="1084" hidden="1" ht="14.25" customHeight="1" s="32" customFormat="1">
      <c r="B1084" s="64">
        <v>45125</v>
      </c>
      <c r="C1084" s="9" t="s">
        <v>3707</v>
      </c>
      <c r="D1084" s="6" t="s">
        <v>2638</v>
      </c>
      <c r="E1084" s="6" t="s">
        <v>2220</v>
      </c>
      <c r="F1084" s="6" t="s">
        <v>2226</v>
      </c>
      <c r="G1084" s="6" t="s">
        <v>2258</v>
      </c>
      <c r="H1084" s="7">
        <v>4320</v>
      </c>
      <c r="I1084" s="8">
        <f>SUMIF(Cargas!$C$6:$C$1064,C1084,Cargas!$O$6:$O$1064)</f>
        <v>0</v>
      </c>
      <c r="J1084" s="17">
        <f t="shared" si="21"/>
        <v>4320</v>
      </c>
      <c r="K1084" s="34">
        <v>1465396</v>
      </c>
      <c r="L1084" s="34">
        <v>143291</v>
      </c>
    </row>
    <row r="1085" hidden="1">
      <c r="B1085" s="64">
        <v>45125</v>
      </c>
      <c r="C1085" s="9" t="s">
        <v>3708</v>
      </c>
      <c r="D1085" s="6" t="s">
        <v>2653</v>
      </c>
      <c r="E1085" s="6" t="s">
        <v>2220</v>
      </c>
      <c r="F1085" s="6" t="s">
        <v>2226</v>
      </c>
      <c r="G1085" s="6" t="s">
        <v>2227</v>
      </c>
      <c r="H1085" s="7">
        <v>4320</v>
      </c>
      <c r="I1085" s="8">
        <f>SUMIF(Cargas!$C$6:$C$1064,C1085,Cargas!$O$6:$O$1064)</f>
        <v>0</v>
      </c>
      <c r="J1085" s="17">
        <f t="shared" si="21"/>
        <v>4320</v>
      </c>
      <c r="K1085" s="34">
        <v>1465397</v>
      </c>
      <c r="L1085" s="34">
        <v>143413</v>
      </c>
    </row>
    <row r="1086" hidden="1">
      <c r="B1086" s="64">
        <v>45132</v>
      </c>
      <c r="C1086" s="9" t="s">
        <v>3709</v>
      </c>
      <c r="D1086" s="6" t="s">
        <v>2649</v>
      </c>
      <c r="E1086" s="6" t="s">
        <v>2220</v>
      </c>
      <c r="F1086" s="6" t="s">
        <v>2226</v>
      </c>
      <c r="G1086" s="6" t="s">
        <v>2258</v>
      </c>
      <c r="H1086" s="7">
        <v>3240</v>
      </c>
      <c r="I1086" s="8">
        <f>SUMIF(Cargas!$C$6:$C$1064,C1086,Cargas!$O$6:$O$1064)</f>
        <v>0</v>
      </c>
      <c r="J1086" s="17">
        <f t="shared" si="21"/>
        <v>3240</v>
      </c>
      <c r="K1086" s="34">
        <v>1465865</v>
      </c>
      <c r="L1086" s="34">
        <v>149457</v>
      </c>
    </row>
    <row r="1087" hidden="1">
      <c r="B1087" s="64">
        <v>45132</v>
      </c>
      <c r="C1087" s="9" t="s">
        <v>3710</v>
      </c>
      <c r="D1087" s="6" t="s">
        <v>2663</v>
      </c>
      <c r="E1087" s="6" t="s">
        <v>2220</v>
      </c>
      <c r="F1087" s="6" t="s">
        <v>2226</v>
      </c>
      <c r="G1087" s="6" t="s">
        <v>2258</v>
      </c>
      <c r="H1087" s="7">
        <v>1112</v>
      </c>
      <c r="I1087" s="8">
        <f>SUMIF(Cargas!$C$6:$C$1064,C1087,Cargas!$O$6:$O$1064)</f>
        <v>0</v>
      </c>
      <c r="J1087" s="17">
        <f t="shared" si="21"/>
        <v>1112</v>
      </c>
      <c r="K1087" s="34">
        <v>1465866</v>
      </c>
      <c r="L1087" s="34">
        <v>149532</v>
      </c>
    </row>
    <row r="1088" hidden="1">
      <c r="B1088" s="64">
        <v>45140</v>
      </c>
      <c r="C1088" s="9" t="s">
        <v>3711</v>
      </c>
      <c r="D1088" s="6" t="s">
        <v>2659</v>
      </c>
      <c r="E1088" s="6" t="s">
        <v>2220</v>
      </c>
      <c r="F1088" s="6" t="s">
        <v>2226</v>
      </c>
      <c r="G1088" s="6" t="s">
        <v>2258</v>
      </c>
      <c r="H1088" s="7">
        <v>2160</v>
      </c>
      <c r="I1088" s="8">
        <f>SUMIF(Cargas!$C$6:$C$1064,C1088,Cargas!$O$6:$O$1064)</f>
        <v>0</v>
      </c>
      <c r="J1088" s="17">
        <f t="shared" si="21"/>
        <v>2160</v>
      </c>
      <c r="K1088" s="34">
        <v>1466766</v>
      </c>
      <c r="L1088" s="34">
        <v>160091</v>
      </c>
    </row>
    <row r="1089" hidden="1">
      <c r="B1089" s="64">
        <v>45147</v>
      </c>
      <c r="C1089" s="9" t="s">
        <v>3712</v>
      </c>
      <c r="D1089" s="6" t="s">
        <v>2672</v>
      </c>
      <c r="E1089" s="6" t="s">
        <v>2220</v>
      </c>
      <c r="F1089" s="6" t="s">
        <v>2226</v>
      </c>
      <c r="G1089" s="6" t="s">
        <v>2258</v>
      </c>
      <c r="H1089" s="7">
        <v>2192</v>
      </c>
      <c r="I1089" s="8">
        <f>SUMIF(Cargas!$C$6:$C$1064,C1089,Cargas!$O$6:$O$1064)</f>
        <v>0</v>
      </c>
      <c r="J1089" s="17">
        <f t="shared" si="21"/>
        <v>2192</v>
      </c>
      <c r="K1089" s="34">
        <v>1467301</v>
      </c>
      <c r="L1089" s="34">
        <v>161624</v>
      </c>
    </row>
    <row r="1090" hidden="1">
      <c r="B1090" s="64">
        <v>45154</v>
      </c>
      <c r="C1090" s="9" t="s">
        <v>3713</v>
      </c>
      <c r="D1090" s="6" t="s">
        <v>2674</v>
      </c>
      <c r="E1090" s="6" t="s">
        <v>2220</v>
      </c>
      <c r="F1090" s="6" t="s">
        <v>2226</v>
      </c>
      <c r="G1090" s="6" t="s">
        <v>2227</v>
      </c>
      <c r="H1090" s="7">
        <v>3240</v>
      </c>
      <c r="I1090" s="8">
        <f>SUMIF(Cargas!$C$6:$C$1064,C1090,Cargas!$O$6:$O$1064)</f>
        <v>0</v>
      </c>
      <c r="J1090" s="17">
        <f t="shared" si="21"/>
        <v>3240</v>
      </c>
      <c r="K1090" s="34">
        <v>1457954</v>
      </c>
      <c r="L1090" s="34">
        <v>169648</v>
      </c>
    </row>
    <row r="1091" hidden="1">
      <c r="B1091" s="64">
        <v>45154</v>
      </c>
      <c r="C1091" s="9" t="s">
        <v>3714</v>
      </c>
      <c r="D1091" s="6" t="s">
        <v>2686</v>
      </c>
      <c r="E1091" s="6" t="s">
        <v>2220</v>
      </c>
      <c r="F1091" s="6" t="s">
        <v>2226</v>
      </c>
      <c r="G1091" s="6" t="s">
        <v>2227</v>
      </c>
      <c r="H1091" s="7">
        <v>3240</v>
      </c>
      <c r="I1091" s="8">
        <f>SUMIF(Cargas!$C$6:$C$1064,C1091,Cargas!$O$6:$O$1064)</f>
        <v>0</v>
      </c>
      <c r="J1091" s="17">
        <f t="shared" si="21"/>
        <v>3240</v>
      </c>
      <c r="K1091" s="34">
        <v>1467959</v>
      </c>
      <c r="L1091" s="34">
        <v>173727</v>
      </c>
    </row>
    <row r="1092" hidden="1">
      <c r="B1092" s="64">
        <v>45154</v>
      </c>
      <c r="C1092" s="9" t="s">
        <v>3715</v>
      </c>
      <c r="D1092" s="6" t="s">
        <v>2692</v>
      </c>
      <c r="E1092" s="6" t="s">
        <v>2220</v>
      </c>
      <c r="F1092" s="6" t="s">
        <v>2226</v>
      </c>
      <c r="G1092" s="6" t="s">
        <v>2227</v>
      </c>
      <c r="H1092" s="7">
        <v>3240</v>
      </c>
      <c r="I1092" s="8">
        <f>SUMIF(Cargas!$C$6:$C$1064,C1092,Cargas!$O$6:$O$1064)</f>
        <v>0</v>
      </c>
      <c r="J1092" s="17">
        <f t="shared" si="21"/>
        <v>3240</v>
      </c>
      <c r="K1092" s="34">
        <v>1468157</v>
      </c>
      <c r="L1092" s="34">
        <v>172947</v>
      </c>
    </row>
    <row r="1093" hidden="1">
      <c r="B1093" s="64">
        <v>45160</v>
      </c>
      <c r="C1093" s="9" t="s">
        <v>3716</v>
      </c>
      <c r="D1093" s="6" t="s">
        <v>2705</v>
      </c>
      <c r="E1093" s="6" t="s">
        <v>2220</v>
      </c>
      <c r="F1093" s="6" t="s">
        <v>2226</v>
      </c>
      <c r="G1093" s="6" t="s">
        <v>2258</v>
      </c>
      <c r="H1093" s="7">
        <f>1080*5</f>
        <v>5400</v>
      </c>
      <c r="I1093" s="8">
        <f>SUMIF(Cargas!$C$6:$C$1064,C1093,Cargas!$O$6:$O$1064)</f>
        <v>0</v>
      </c>
      <c r="J1093" s="17">
        <f t="shared" si="21"/>
        <v>5400</v>
      </c>
      <c r="K1093" s="34">
        <v>1468799</v>
      </c>
      <c r="L1093" s="34">
        <v>174948</v>
      </c>
    </row>
    <row r="1094" hidden="1">
      <c r="B1094" s="64">
        <v>45160</v>
      </c>
      <c r="C1094" s="9" t="s">
        <v>3717</v>
      </c>
      <c r="D1094" s="6" t="s">
        <v>2943</v>
      </c>
      <c r="E1094" s="6" t="s">
        <v>2220</v>
      </c>
      <c r="F1094" s="6" t="s">
        <v>2226</v>
      </c>
      <c r="G1094" s="6" t="s">
        <v>382</v>
      </c>
      <c r="H1094" s="7">
        <v>1080</v>
      </c>
      <c r="I1094" s="8">
        <f>SUMIF(Cargas!$C$6:$C$1064,C1094,Cargas!$O$6:$O$1064)</f>
        <v>0</v>
      </c>
      <c r="J1094" s="17">
        <f t="shared" si="21"/>
        <v>1080</v>
      </c>
      <c r="K1094" s="34">
        <v>1468801</v>
      </c>
      <c r="L1094" s="34">
        <v>174706</v>
      </c>
    </row>
    <row r="1095" hidden="1">
      <c r="B1095" s="64">
        <v>45167</v>
      </c>
      <c r="C1095" s="9" t="s">
        <v>3718</v>
      </c>
      <c r="D1095" s="6" t="s">
        <v>2945</v>
      </c>
      <c r="E1095" s="6" t="s">
        <v>2220</v>
      </c>
      <c r="F1095" s="6" t="s">
        <v>2226</v>
      </c>
      <c r="G1095" s="6" t="s">
        <v>2227</v>
      </c>
      <c r="H1095" s="7">
        <v>2160</v>
      </c>
      <c r="I1095" s="8">
        <f>SUMIF(Cargas!$C$6:$C$1064,C1095,Cargas!$O$6:$O$1064)</f>
        <v>0</v>
      </c>
      <c r="J1095" s="17">
        <f t="shared" si="21"/>
        <v>2160</v>
      </c>
      <c r="K1095" s="34">
        <v>1469703</v>
      </c>
      <c r="L1095" s="34">
        <v>178687</v>
      </c>
    </row>
    <row r="1096" hidden="1">
      <c r="B1096" s="64">
        <v>45167</v>
      </c>
      <c r="C1096" s="9" t="s">
        <v>3719</v>
      </c>
      <c r="D1096" s="6" t="s">
        <v>2954</v>
      </c>
      <c r="E1096" s="6" t="s">
        <v>2220</v>
      </c>
      <c r="F1096" s="6" t="s">
        <v>2226</v>
      </c>
      <c r="G1096" s="6" t="s">
        <v>2227</v>
      </c>
      <c r="H1096" s="7">
        <v>2160</v>
      </c>
      <c r="I1096" s="8">
        <f>SUMIF(Cargas!$C$6:$C$1064,C1096,Cargas!$O$6:$O$1064)</f>
        <v>0</v>
      </c>
      <c r="J1096" s="17">
        <f t="shared" si="21"/>
        <v>2160</v>
      </c>
      <c r="K1096" s="34">
        <v>1469704</v>
      </c>
      <c r="L1096" s="34">
        <v>178706</v>
      </c>
    </row>
    <row r="1097" hidden="1">
      <c r="B1097" s="64">
        <v>45198</v>
      </c>
      <c r="C1097" s="9" t="s">
        <v>3720</v>
      </c>
      <c r="D1097" s="6" t="s">
        <v>2956</v>
      </c>
      <c r="E1097" s="6" t="s">
        <v>2220</v>
      </c>
      <c r="F1097" s="6" t="s">
        <v>2226</v>
      </c>
      <c r="G1097" s="6" t="s">
        <v>2227</v>
      </c>
      <c r="H1097" s="7">
        <v>2160</v>
      </c>
      <c r="I1097" s="8">
        <f>SUMIF(Cargas!$C$6:$C$1064,C1097,Cargas!$O$6:$O$1064)</f>
        <v>0</v>
      </c>
      <c r="J1097" s="17">
        <f t="shared" si="21"/>
        <v>2160</v>
      </c>
      <c r="K1097" s="34">
        <v>1469839</v>
      </c>
      <c r="L1097" s="34">
        <v>178741</v>
      </c>
    </row>
    <row r="1098" hidden="1">
      <c r="B1098" s="64">
        <v>45181</v>
      </c>
      <c r="C1098" s="9" t="s">
        <v>3721</v>
      </c>
      <c r="D1098" s="6" t="s">
        <v>2958</v>
      </c>
      <c r="E1098" s="6" t="s">
        <v>2220</v>
      </c>
      <c r="F1098" s="6" t="s">
        <v>2226</v>
      </c>
      <c r="G1098" s="6" t="s">
        <v>2227</v>
      </c>
      <c r="H1098" s="7">
        <v>2160</v>
      </c>
      <c r="I1098" s="8">
        <f>SUMIF(Cargas!$C$6:$C$1064,C1098,Cargas!$O$6:$O$1064)</f>
        <v>0</v>
      </c>
      <c r="J1098" s="17">
        <f t="shared" si="21"/>
        <v>2160</v>
      </c>
      <c r="K1098" s="34">
        <v>1471364</v>
      </c>
      <c r="L1098" s="34">
        <v>188546</v>
      </c>
    </row>
    <row r="1099" hidden="1">
      <c r="B1099" s="64">
        <v>45181</v>
      </c>
      <c r="C1099" s="9" t="s">
        <v>3722</v>
      </c>
      <c r="D1099" s="6" t="s">
        <v>2960</v>
      </c>
      <c r="E1099" s="6" t="s">
        <v>2220</v>
      </c>
      <c r="F1099" s="6" t="s">
        <v>2226</v>
      </c>
      <c r="G1099" s="6" t="s">
        <v>2227</v>
      </c>
      <c r="H1099" s="7">
        <v>3240</v>
      </c>
      <c r="I1099" s="8">
        <f>SUMIF(Cargas!$C$6:$C$1064,C1099,Cargas!$O$6:$O$1064)</f>
        <v>0</v>
      </c>
      <c r="J1099" s="17">
        <f t="shared" si="21"/>
        <v>3240</v>
      </c>
      <c r="K1099" s="34">
        <v>1471365</v>
      </c>
      <c r="L1099" s="34">
        <v>188515</v>
      </c>
    </row>
    <row r="1100" hidden="1">
      <c r="B1100" s="64">
        <v>45181</v>
      </c>
      <c r="C1100" s="9" t="s">
        <v>3723</v>
      </c>
      <c r="D1100" s="6" t="s">
        <v>2971</v>
      </c>
      <c r="E1100" s="6" t="s">
        <v>2220</v>
      </c>
      <c r="F1100" s="6" t="s">
        <v>2226</v>
      </c>
      <c r="G1100" s="6" t="s">
        <v>2227</v>
      </c>
      <c r="H1100" s="7">
        <v>1128</v>
      </c>
      <c r="I1100" s="8">
        <f>SUMIF(Cargas!$C$6:$C$1064,C1100,Cargas!$O$6:$O$1064)</f>
        <v>0</v>
      </c>
      <c r="J1100" s="17">
        <f t="shared" si="21"/>
        <v>1128</v>
      </c>
      <c r="K1100" s="34">
        <v>1471367</v>
      </c>
      <c r="L1100" s="34">
        <v>188472</v>
      </c>
    </row>
    <row r="1101" hidden="1">
      <c r="B1101" s="64">
        <v>45189</v>
      </c>
      <c r="C1101" s="9" t="s">
        <v>3724</v>
      </c>
      <c r="D1101" s="6" t="s">
        <v>2977</v>
      </c>
      <c r="E1101" s="6" t="s">
        <v>2220</v>
      </c>
      <c r="F1101" s="6" t="s">
        <v>2226</v>
      </c>
      <c r="G1101" s="6" t="s">
        <v>2227</v>
      </c>
      <c r="H1101" s="7">
        <v>5400</v>
      </c>
      <c r="I1101" s="8">
        <f>SUMIF(Cargas!$C$6:$C$1064,C1101,Cargas!$O$6:$O$1064)</f>
        <v>0</v>
      </c>
      <c r="J1101" s="17">
        <f t="shared" si="21"/>
        <v>5400</v>
      </c>
      <c r="K1101" s="34">
        <v>1471966</v>
      </c>
      <c r="L1101" s="34">
        <v>189580</v>
      </c>
    </row>
    <row r="1102" hidden="1">
      <c r="B1102" s="64">
        <v>45189</v>
      </c>
      <c r="C1102" s="9" t="s">
        <v>3725</v>
      </c>
      <c r="D1102" s="6" t="s">
        <v>2982</v>
      </c>
      <c r="E1102" s="6" t="s">
        <v>2220</v>
      </c>
      <c r="F1102" s="6" t="s">
        <v>2226</v>
      </c>
      <c r="G1102" s="6" t="s">
        <v>2227</v>
      </c>
      <c r="H1102" s="7">
        <v>1080</v>
      </c>
      <c r="I1102" s="8">
        <f>SUMIF(Cargas!$C$6:$C$1064,C1102,Cargas!$O$6:$O$1064)</f>
        <v>0</v>
      </c>
      <c r="J1102" s="17">
        <f t="shared" si="21"/>
        <v>1080</v>
      </c>
      <c r="K1102" s="34">
        <v>1471966</v>
      </c>
      <c r="L1102" s="34">
        <v>189598</v>
      </c>
    </row>
    <row r="1103" hidden="1">
      <c r="B1103" s="64">
        <v>45195</v>
      </c>
      <c r="C1103" s="9" t="s">
        <v>3726</v>
      </c>
      <c r="D1103" s="6" t="s">
        <v>3727</v>
      </c>
      <c r="E1103" s="6" t="s">
        <v>2220</v>
      </c>
      <c r="F1103" s="6" t="s">
        <v>2226</v>
      </c>
      <c r="G1103" s="6" t="s">
        <v>2227</v>
      </c>
      <c r="H1103" s="7">
        <v>2160</v>
      </c>
      <c r="I1103" s="8">
        <f>SUMIF(Cargas!$C$6:$C$1064,C1103,Cargas!$O$6:$O$1064)</f>
        <v>0</v>
      </c>
      <c r="J1103" s="17">
        <f t="shared" si="21"/>
        <v>2160</v>
      </c>
      <c r="K1103" s="34">
        <v>1472656</v>
      </c>
      <c r="L1103" s="34">
        <v>193607</v>
      </c>
    </row>
    <row r="1104" hidden="1">
      <c r="B1104" s="64">
        <v>45202</v>
      </c>
      <c r="C1104" s="9" t="s">
        <v>3728</v>
      </c>
      <c r="D1104" s="6" t="s">
        <v>3204</v>
      </c>
      <c r="E1104" s="6" t="s">
        <v>2220</v>
      </c>
      <c r="F1104" s="6" t="s">
        <v>2226</v>
      </c>
      <c r="G1104" s="6" t="s">
        <v>2227</v>
      </c>
      <c r="H1104" s="7">
        <v>3240</v>
      </c>
      <c r="I1104" s="8">
        <f>SUMIF(Cargas!$C$6:$C$1064,C1104,Cargas!$O$6:$O$1064)</f>
        <v>0</v>
      </c>
      <c r="J1104" s="17">
        <f t="shared" si="21"/>
        <v>3240</v>
      </c>
      <c r="K1104" s="34">
        <v>1473147</v>
      </c>
      <c r="L1104" s="34">
        <v>198178</v>
      </c>
    </row>
    <row r="1105" hidden="1">
      <c r="B1105" s="64">
        <v>45202</v>
      </c>
      <c r="C1105" s="9" t="s">
        <v>3729</v>
      </c>
      <c r="D1105" s="6" t="s">
        <v>3201</v>
      </c>
      <c r="E1105" s="6" t="s">
        <v>2220</v>
      </c>
      <c r="F1105" s="6" t="s">
        <v>2226</v>
      </c>
      <c r="G1105" s="6" t="s">
        <v>2227</v>
      </c>
      <c r="H1105" s="7">
        <v>1112</v>
      </c>
      <c r="I1105" s="8">
        <f>SUMIF(Cargas!$C$6:$C$1064,C1105,Cargas!$O$6:$O$1064)</f>
        <v>0</v>
      </c>
      <c r="J1105" s="17">
        <f t="shared" si="21"/>
        <v>1112</v>
      </c>
      <c r="K1105" s="34">
        <v>1473192</v>
      </c>
      <c r="L1105" s="34">
        <v>198077</v>
      </c>
    </row>
    <row r="1106" hidden="1">
      <c r="B1106" s="64">
        <v>45209</v>
      </c>
      <c r="C1106" s="9" t="s">
        <v>3730</v>
      </c>
      <c r="D1106" s="6" t="s">
        <v>3391</v>
      </c>
      <c r="E1106" s="6" t="s">
        <v>2220</v>
      </c>
      <c r="F1106" s="6" t="s">
        <v>2226</v>
      </c>
      <c r="G1106" s="6" t="s">
        <v>2227</v>
      </c>
      <c r="H1106" s="7">
        <v>2160</v>
      </c>
      <c r="I1106" s="8">
        <f>SUMIF(Cargas!$C$6:$C$1064,C1106,Cargas!$O$6:$O$1064)</f>
        <v>0</v>
      </c>
      <c r="J1106" s="17">
        <f t="shared" si="21"/>
        <v>2160</v>
      </c>
      <c r="K1106" s="34">
        <v>1474064</v>
      </c>
      <c r="L1106" s="34">
        <v>203138</v>
      </c>
    </row>
    <row r="1107" hidden="1">
      <c r="B1107" s="64">
        <v>45216</v>
      </c>
      <c r="C1107" s="9" t="s">
        <v>3731</v>
      </c>
      <c r="D1107" s="6" t="s">
        <v>3393</v>
      </c>
      <c r="E1107" s="6" t="s">
        <v>2220</v>
      </c>
      <c r="F1107" s="6" t="s">
        <v>2226</v>
      </c>
      <c r="G1107" s="6" t="s">
        <v>2227</v>
      </c>
      <c r="H1107" s="7">
        <v>3240</v>
      </c>
      <c r="I1107" s="8">
        <f>SUMIF(Cargas!$C$6:$C$1064,C1107,Cargas!$O$6:$O$1064)</f>
        <v>0</v>
      </c>
      <c r="J1107" s="17">
        <f t="shared" si="21"/>
        <v>3240</v>
      </c>
      <c r="K1107" s="34">
        <v>1475061</v>
      </c>
      <c r="L1107" s="34">
        <v>210138</v>
      </c>
    </row>
    <row r="1108" hidden="1">
      <c r="B1108" s="64">
        <v>45223</v>
      </c>
      <c r="C1108" s="9" t="s">
        <v>3732</v>
      </c>
      <c r="D1108" s="6" t="s">
        <v>3395</v>
      </c>
      <c r="E1108" s="6" t="s">
        <v>2220</v>
      </c>
      <c r="F1108" s="6" t="s">
        <v>2226</v>
      </c>
      <c r="G1108" s="6" t="s">
        <v>2227</v>
      </c>
      <c r="H1108" s="7">
        <v>2192</v>
      </c>
      <c r="I1108" s="8">
        <f>SUMIF(Cargas!$C$6:$C$1064,C1108,Cargas!$O$6:$O$1064)</f>
        <v>0</v>
      </c>
      <c r="J1108" s="17">
        <f t="shared" si="21"/>
        <v>2192</v>
      </c>
      <c r="K1108" s="34">
        <v>1475266</v>
      </c>
      <c r="L1108" s="34" t="s">
        <v>29</v>
      </c>
    </row>
    <row r="1109" hidden="1">
      <c r="B1109" s="64">
        <v>45235</v>
      </c>
      <c r="C1109" s="9" t="s">
        <v>3733</v>
      </c>
      <c r="D1109" s="6" t="s">
        <v>2991</v>
      </c>
      <c r="E1109" s="6" t="s">
        <v>2220</v>
      </c>
      <c r="F1109" s="6" t="s">
        <v>2226</v>
      </c>
      <c r="G1109" s="6" t="s">
        <v>2227</v>
      </c>
      <c r="H1109" s="7">
        <v>2160</v>
      </c>
      <c r="I1109" s="8">
        <f>SUMIF(Cargas!$C$6:$C$1064,C1109,Cargas!$O$6:$O$1064)</f>
        <v>0</v>
      </c>
      <c r="J1109" s="17">
        <f t="shared" si="21"/>
        <v>2160</v>
      </c>
      <c r="K1109" s="34">
        <v>1476433</v>
      </c>
      <c r="L1109" s="34" t="s">
        <v>29</v>
      </c>
    </row>
    <row r="1110" hidden="1">
      <c r="B1110" s="64">
        <v>45235</v>
      </c>
      <c r="C1110" s="9" t="s">
        <v>3734</v>
      </c>
      <c r="D1110" s="6" t="s">
        <v>3408</v>
      </c>
      <c r="E1110" s="6" t="s">
        <v>2220</v>
      </c>
      <c r="F1110" s="6" t="s">
        <v>2226</v>
      </c>
      <c r="G1110" s="6" t="s">
        <v>2227</v>
      </c>
      <c r="H1110" s="7">
        <v>3240</v>
      </c>
      <c r="I1110" s="8">
        <f>SUMIF(Cargas!$C$6:$C$1064,C1110,Cargas!$O$6:$O$1064)</f>
        <v>0</v>
      </c>
      <c r="J1110" s="17">
        <f t="shared" si="21"/>
        <v>3240</v>
      </c>
      <c r="K1110" s="34">
        <v>1476541</v>
      </c>
      <c r="L1110" s="34" t="s">
        <v>29</v>
      </c>
    </row>
    <row r="1111" hidden="1" ht="14.25" customHeight="1" s="32" customFormat="1">
      <c r="B1111" s="64">
        <v>45242</v>
      </c>
      <c r="C1111" s="9" t="s">
        <v>3735</v>
      </c>
      <c r="D1111" s="6" t="s">
        <v>3397</v>
      </c>
      <c r="E1111" s="6" t="s">
        <v>2220</v>
      </c>
      <c r="F1111" s="6" t="s">
        <v>2226</v>
      </c>
      <c r="G1111" s="6" t="s">
        <v>2227</v>
      </c>
      <c r="H1111" s="7">
        <v>1080</v>
      </c>
      <c r="I1111" s="8">
        <f>SUMIF(Cargas!$C$6:$C$1064,C1111,Cargas!$O$6:$O$1064)</f>
        <v>0</v>
      </c>
      <c r="J1111" s="17">
        <f t="shared" si="21"/>
        <v>1080</v>
      </c>
      <c r="K1111" s="34">
        <v>1477107</v>
      </c>
      <c r="L1111" s="34">
        <v>227909</v>
      </c>
    </row>
    <row r="1112" hidden="1">
      <c r="B1112" s="64">
        <v>45258</v>
      </c>
      <c r="C1112" s="9" t="s">
        <v>3736</v>
      </c>
      <c r="D1112" s="6" t="s">
        <v>3410</v>
      </c>
      <c r="E1112" s="6" t="s">
        <v>2220</v>
      </c>
      <c r="F1112" s="6" t="s">
        <v>2226</v>
      </c>
      <c r="G1112" s="6" t="s">
        <v>2227</v>
      </c>
      <c r="H1112" s="7">
        <v>3240</v>
      </c>
      <c r="I1112" s="8">
        <f>SUMIF(Cargas!$C$6:$C$1064,C1112,Cargas!$O$6:$O$1064)</f>
        <v>0</v>
      </c>
      <c r="J1112" s="17">
        <f t="shared" si="21"/>
        <v>3240</v>
      </c>
      <c r="K1112" s="34">
        <v>1478610</v>
      </c>
      <c r="L1112" s="34">
        <v>241764</v>
      </c>
    </row>
    <row r="1113" hidden="1">
      <c r="B1113" s="64">
        <v>45258</v>
      </c>
      <c r="C1113" s="9" t="s">
        <v>3737</v>
      </c>
      <c r="D1113" s="6" t="s">
        <v>3738</v>
      </c>
      <c r="E1113" s="6" t="s">
        <v>2220</v>
      </c>
      <c r="F1113" s="6" t="s">
        <v>2226</v>
      </c>
      <c r="G1113" s="6" t="s">
        <v>2227</v>
      </c>
      <c r="H1113" s="7">
        <v>1112</v>
      </c>
      <c r="I1113" s="8">
        <f>SUMIF(Cargas!$C$6:$C$1064,C1113,Cargas!$O$6:$O$1064)</f>
        <v>0</v>
      </c>
      <c r="J1113" s="17">
        <f t="shared" si="21"/>
        <v>1112</v>
      </c>
      <c r="K1113" s="34">
        <v>1478731</v>
      </c>
      <c r="L1113" s="34">
        <v>241822</v>
      </c>
    </row>
    <row r="1114" hidden="1">
      <c r="B1114" s="64">
        <v>45265</v>
      </c>
      <c r="C1114" s="9" t="s">
        <v>3739</v>
      </c>
      <c r="D1114" s="6" t="s">
        <v>3078</v>
      </c>
      <c r="E1114" s="6" t="s">
        <v>2220</v>
      </c>
      <c r="F1114" s="6" t="s">
        <v>2226</v>
      </c>
      <c r="G1114" s="6" t="s">
        <v>2227</v>
      </c>
      <c r="H1114" s="7">
        <v>3272</v>
      </c>
      <c r="I1114" s="8">
        <f>SUMIF(Cargas!$C$6:$C$1064,C1114,Cargas!$O$6:$O$1064)</f>
        <v>0</v>
      </c>
      <c r="J1114" s="17">
        <f t="shared" si="21"/>
        <v>3272</v>
      </c>
      <c r="K1114" s="34">
        <v>1479236</v>
      </c>
      <c r="L1114" s="34">
        <v>246447</v>
      </c>
    </row>
    <row r="1115" hidden="1">
      <c r="B1115" s="64">
        <v>45272</v>
      </c>
      <c r="C1115" s="9" t="s">
        <v>3740</v>
      </c>
      <c r="D1115" s="6" t="s">
        <v>3399</v>
      </c>
      <c r="E1115" s="6" t="s">
        <v>2220</v>
      </c>
      <c r="F1115" s="6" t="s">
        <v>2226</v>
      </c>
      <c r="G1115" s="6" t="s">
        <v>2227</v>
      </c>
      <c r="H1115" s="7">
        <v>3240</v>
      </c>
      <c r="I1115" s="8">
        <f>SUMIF(Cargas!$C$6:$C$1064,C1115,Cargas!$O$6:$O$1064)</f>
        <v>0</v>
      </c>
      <c r="J1115" s="17">
        <f t="shared" si="21"/>
        <v>3240</v>
      </c>
      <c r="K1115" s="34">
        <v>1479796</v>
      </c>
      <c r="L1115" s="34">
        <v>249912</v>
      </c>
    </row>
    <row r="1116" hidden="1">
      <c r="B1116" s="64">
        <v>45281</v>
      </c>
      <c r="C1116" s="9" t="s">
        <v>3741</v>
      </c>
      <c r="D1116" s="6" t="s">
        <v>3385</v>
      </c>
      <c r="E1116" s="6" t="s">
        <v>2220</v>
      </c>
      <c r="F1116" s="6" t="s">
        <v>2226</v>
      </c>
      <c r="G1116" s="6" t="s">
        <v>2227</v>
      </c>
      <c r="H1116" s="7">
        <v>2160</v>
      </c>
      <c r="I1116" s="8">
        <f>SUMIF(Cargas!$C$6:$C$1064,C1116,Cargas!$O$6:$O$1064)</f>
        <v>0</v>
      </c>
      <c r="J1116" s="17">
        <f t="shared" si="21"/>
        <v>2160</v>
      </c>
      <c r="K1116" s="34">
        <v>1480367</v>
      </c>
      <c r="L1116" s="34">
        <v>5554</v>
      </c>
    </row>
    <row r="1117" hidden="1">
      <c r="B1117" s="64">
        <v>45281</v>
      </c>
      <c r="C1117" s="9" t="s">
        <v>3742</v>
      </c>
      <c r="D1117" s="6" t="s">
        <v>3404</v>
      </c>
      <c r="E1117" s="6" t="s">
        <v>2220</v>
      </c>
      <c r="F1117" s="6" t="s">
        <v>2226</v>
      </c>
      <c r="G1117" s="6" t="s">
        <v>2227</v>
      </c>
      <c r="H1117" s="7">
        <v>1112</v>
      </c>
      <c r="I1117" s="8">
        <f>SUMIF(Cargas!$C$6:$C$1064,C1117,Cargas!$O$6:$O$1064)</f>
        <v>0</v>
      </c>
      <c r="J1117" s="17">
        <f t="shared" si="21"/>
        <v>1112</v>
      </c>
      <c r="K1117" s="34">
        <v>1480367</v>
      </c>
      <c r="L1117" s="34">
        <v>7211</v>
      </c>
    </row>
    <row r="1118" hidden="1">
      <c r="A1118" s="79"/>
      <c r="B1118" s="80">
        <v>45205</v>
      </c>
      <c r="C1118" s="81" t="s">
        <v>3743</v>
      </c>
      <c r="D1118" s="82" t="s">
        <v>2572</v>
      </c>
      <c r="E1118" s="82" t="s">
        <v>3744</v>
      </c>
      <c r="F1118" s="82" t="s">
        <v>2221</v>
      </c>
      <c r="G1118" s="82" t="s">
        <v>2222</v>
      </c>
      <c r="H1118" s="83">
        <v>2310</v>
      </c>
      <c r="I1118" s="84">
        <f>SUMIF(Cargas!$C$6:$C$1064,C1118,Cargas!$O$6:$O$1064)</f>
        <v>0</v>
      </c>
      <c r="J1118" s="85">
        <f t="shared" si="21"/>
        <v>2310</v>
      </c>
      <c r="K1118" s="86">
        <v>1474300</v>
      </c>
      <c r="L1118" s="86">
        <v>220701</v>
      </c>
      <c r="M1118" s="32"/>
    </row>
    <row r="1119" hidden="1">
      <c r="A1119" s="79"/>
      <c r="B1119" s="80">
        <v>45221</v>
      </c>
      <c r="C1119" s="81" t="s">
        <v>3745</v>
      </c>
      <c r="D1119" s="82" t="s">
        <v>2608</v>
      </c>
      <c r="E1119" s="82" t="s">
        <v>3744</v>
      </c>
      <c r="F1119" s="82" t="s">
        <v>2221</v>
      </c>
      <c r="G1119" s="82" t="s">
        <v>2222</v>
      </c>
      <c r="H1119" s="83">
        <v>2310</v>
      </c>
      <c r="I1119" s="84">
        <f>SUMIF(Cargas!$C$6:$C$1064,C1119,Cargas!$O$6:$O$1064)</f>
        <v>0</v>
      </c>
      <c r="J1119" s="85">
        <f t="shared" si="21"/>
        <v>2310</v>
      </c>
      <c r="K1119" s="86">
        <v>1474676</v>
      </c>
      <c r="L1119" s="86">
        <v>225226</v>
      </c>
      <c r="M1119" s="32"/>
    </row>
    <row r="1120" hidden="1">
      <c r="B1120" s="64">
        <v>45098</v>
      </c>
      <c r="C1120" s="9" t="s">
        <v>3746</v>
      </c>
      <c r="D1120" s="6" t="s">
        <v>3747</v>
      </c>
      <c r="E1120" s="6" t="s">
        <v>3748</v>
      </c>
      <c r="F1120" s="6" t="s">
        <v>2226</v>
      </c>
      <c r="G1120" s="6" t="s">
        <v>2227</v>
      </c>
      <c r="H1120" s="7">
        <v>1098</v>
      </c>
      <c r="I1120" s="8">
        <f>SUMIF(Cargas!$C$6:$C$1064,C1120,Cargas!$O$6:$O$1064)</f>
        <v>0</v>
      </c>
      <c r="J1120" s="17">
        <f t="shared" si="21"/>
        <v>1098</v>
      </c>
      <c r="K1120" s="34">
        <v>1423276</v>
      </c>
      <c r="L1120" s="34">
        <v>127528</v>
      </c>
    </row>
    <row r="1121" hidden="1">
      <c r="B1121" s="64">
        <v>45106</v>
      </c>
      <c r="C1121" s="9" t="s">
        <v>3749</v>
      </c>
      <c r="D1121" s="6" t="s">
        <v>3750</v>
      </c>
      <c r="E1121" s="6" t="s">
        <v>3748</v>
      </c>
      <c r="F1121" s="6" t="s">
        <v>2226</v>
      </c>
      <c r="G1121" s="6" t="s">
        <v>2227</v>
      </c>
      <c r="H1121" s="7">
        <v>1098</v>
      </c>
      <c r="I1121" s="8">
        <f>SUMIF(Cargas!$C$6:$C$1064,C1121,Cargas!$O$6:$O$1064)</f>
        <v>0</v>
      </c>
      <c r="J1121" s="17">
        <f t="shared" si="21"/>
        <v>1098</v>
      </c>
      <c r="K1121" s="34">
        <v>1462804</v>
      </c>
      <c r="L1121" s="34">
        <v>127607</v>
      </c>
    </row>
    <row r="1122" hidden="1" ht="14.25" customHeight="1" s="32" customFormat="1">
      <c r="B1122" s="64">
        <v>45113</v>
      </c>
      <c r="C1122" s="9" t="s">
        <v>3751</v>
      </c>
      <c r="D1122" s="6" t="s">
        <v>3752</v>
      </c>
      <c r="E1122" s="6" t="s">
        <v>3748</v>
      </c>
      <c r="F1122" s="6" t="s">
        <v>2226</v>
      </c>
      <c r="G1122" s="6" t="s">
        <v>2227</v>
      </c>
      <c r="H1122" s="7">
        <v>1098</v>
      </c>
      <c r="I1122" s="8">
        <f>SUMIF(Cargas!$C$6:$C$1064,C1122,Cargas!$O$6:$O$1064)</f>
        <v>0</v>
      </c>
      <c r="J1122" s="17">
        <f t="shared" si="21"/>
        <v>1098</v>
      </c>
      <c r="K1122" s="34">
        <v>1464463</v>
      </c>
      <c r="L1122" s="34">
        <v>131475</v>
      </c>
    </row>
    <row r="1123" hidden="1">
      <c r="B1123" s="64">
        <v>45127</v>
      </c>
      <c r="C1123" s="9" t="s">
        <v>3753</v>
      </c>
      <c r="D1123" s="6" t="s">
        <v>3754</v>
      </c>
      <c r="E1123" s="6" t="s">
        <v>3748</v>
      </c>
      <c r="F1123" s="6" t="s">
        <v>2226</v>
      </c>
      <c r="G1123" s="6" t="s">
        <v>2227</v>
      </c>
      <c r="H1123" s="7">
        <v>1098</v>
      </c>
      <c r="I1123" s="8">
        <f>SUMIF(Cargas!$C$6:$C$1064,C1123,Cargas!$O$6:$O$1064)</f>
        <v>0</v>
      </c>
      <c r="J1123" s="17">
        <f t="shared" si="21"/>
        <v>1098</v>
      </c>
      <c r="K1123" s="34">
        <v>1465661</v>
      </c>
      <c r="L1123" s="34">
        <v>143451</v>
      </c>
    </row>
    <row r="1124" hidden="1">
      <c r="B1124" s="64">
        <v>45134</v>
      </c>
      <c r="C1124" s="9" t="s">
        <v>3755</v>
      </c>
      <c r="D1124" s="6" t="s">
        <v>3756</v>
      </c>
      <c r="E1124" s="6" t="s">
        <v>3748</v>
      </c>
      <c r="F1124" s="6" t="s">
        <v>2226</v>
      </c>
      <c r="G1124" s="6" t="s">
        <v>2227</v>
      </c>
      <c r="H1124" s="7">
        <v>1098</v>
      </c>
      <c r="I1124" s="8">
        <f>SUMIF(Cargas!$C$6:$C$1064,C1124,Cargas!$O$6:$O$1064)</f>
        <v>0</v>
      </c>
      <c r="J1124" s="17">
        <f t="shared" si="21"/>
        <v>1098</v>
      </c>
      <c r="K1124" s="34">
        <v>1466227</v>
      </c>
      <c r="L1124" s="34">
        <v>149504</v>
      </c>
    </row>
    <row r="1125" hidden="1">
      <c r="B1125" s="64">
        <v>45428</v>
      </c>
      <c r="C1125" s="9" t="s">
        <v>249</v>
      </c>
      <c r="D1125" s="6" t="s">
        <v>3558</v>
      </c>
      <c r="E1125" s="6" t="s">
        <v>2794</v>
      </c>
      <c r="F1125" s="6" t="s">
        <v>2226</v>
      </c>
      <c r="G1125" s="6" t="s">
        <v>2258</v>
      </c>
      <c r="H1125" s="7">
        <v>1250</v>
      </c>
      <c r="I1125" s="8">
        <f>SUMIF(Cargas!$C$6:$C$1064,C1125,Cargas!$O$6:$O$1064)</f>
        <v>1250</v>
      </c>
      <c r="J1125" s="17">
        <f t="shared" si="21"/>
        <v>0</v>
      </c>
      <c r="K1125" s="34"/>
      <c r="L1125" s="34">
        <v>98560</v>
      </c>
      <c r="M1125" s="0">
        <v>1</v>
      </c>
    </row>
    <row r="1126" hidden="1">
      <c r="B1126" s="64">
        <v>45428</v>
      </c>
      <c r="C1126" s="9" t="s">
        <v>265</v>
      </c>
      <c r="D1126" s="6" t="s">
        <v>3560</v>
      </c>
      <c r="E1126" s="6" t="s">
        <v>2794</v>
      </c>
      <c r="F1126" s="6" t="s">
        <v>2226</v>
      </c>
      <c r="G1126" s="6" t="s">
        <v>401</v>
      </c>
      <c r="H1126" s="7">
        <v>1250</v>
      </c>
      <c r="I1126" s="8">
        <f>SUMIF(Cargas!$C$6:$C$1064,C1126,Cargas!$O$6:$O$1064)</f>
        <v>1250</v>
      </c>
      <c r="J1126" s="17">
        <f t="shared" si="21"/>
        <v>0</v>
      </c>
      <c r="K1126" s="34"/>
      <c r="L1126" s="34" t="s">
        <v>29</v>
      </c>
      <c r="M1126" s="0">
        <v>1</v>
      </c>
    </row>
    <row r="1127" hidden="1">
      <c r="B1127" s="64">
        <v>45428</v>
      </c>
      <c r="C1127" s="9" t="s">
        <v>264</v>
      </c>
      <c r="D1127" s="6" t="s">
        <v>3562</v>
      </c>
      <c r="E1127" s="6" t="s">
        <v>2794</v>
      </c>
      <c r="F1127" s="6" t="s">
        <v>2226</v>
      </c>
      <c r="G1127" s="6" t="s">
        <v>401</v>
      </c>
      <c r="H1127" s="7">
        <v>1250</v>
      </c>
      <c r="I1127" s="8">
        <f>SUMIF(Cargas!$C$6:$C$1064,C1127,Cargas!$O$6:$O$1064)</f>
        <v>1250</v>
      </c>
      <c r="J1127" s="17">
        <f t="shared" si="21"/>
        <v>0</v>
      </c>
      <c r="K1127" s="34"/>
      <c r="L1127" s="34">
        <v>98554</v>
      </c>
      <c r="M1127" s="0">
        <v>1</v>
      </c>
    </row>
    <row r="1128" hidden="1">
      <c r="B1128" s="64">
        <v>45439</v>
      </c>
      <c r="C1128" s="9" t="s">
        <v>277</v>
      </c>
      <c r="D1128" s="6" t="s">
        <v>3574</v>
      </c>
      <c r="E1128" s="6" t="s">
        <v>3757</v>
      </c>
      <c r="F1128" s="6" t="s">
        <v>2226</v>
      </c>
      <c r="G1128" s="6" t="s">
        <v>2258</v>
      </c>
      <c r="H1128" s="7">
        <v>980</v>
      </c>
      <c r="I1128" s="8">
        <f>SUMIF(Cargas!$C$6:$C$1064,C1128,Cargas!$O$6:$O$1064)</f>
        <v>980</v>
      </c>
      <c r="J1128" s="17">
        <f t="shared" si="21"/>
        <v>0</v>
      </c>
      <c r="K1128" s="34"/>
      <c r="L1128" s="34">
        <v>104766</v>
      </c>
      <c r="M1128" s="0">
        <v>1</v>
      </c>
    </row>
    <row r="1129" hidden="1" ht="14.25" customHeight="1">
      <c r="B1129" s="64">
        <v>45443</v>
      </c>
      <c r="C1129" s="9" t="s">
        <v>270</v>
      </c>
      <c r="D1129" s="6" t="s">
        <v>3576</v>
      </c>
      <c r="E1129" s="6" t="s">
        <v>3757</v>
      </c>
      <c r="F1129" s="6" t="s">
        <v>2226</v>
      </c>
      <c r="G1129" s="6" t="s">
        <v>2282</v>
      </c>
      <c r="H1129" s="7">
        <v>980</v>
      </c>
      <c r="I1129" s="8">
        <f>SUMIF(Cargas!$C$6:$C$1064,C1129,Cargas!$O$6:$O$1064)</f>
        <v>980</v>
      </c>
      <c r="J1129" s="17">
        <f t="shared" si="21"/>
        <v>0</v>
      </c>
      <c r="K1129" s="34"/>
      <c r="L1129" s="34">
        <v>104753</v>
      </c>
      <c r="M1129" s="0">
        <v>1</v>
      </c>
    </row>
    <row r="1130" hidden="1">
      <c r="B1130" s="64">
        <v>45443</v>
      </c>
      <c r="C1130" s="9" t="s">
        <v>271</v>
      </c>
      <c r="D1130" s="6" t="s">
        <v>3578</v>
      </c>
      <c r="E1130" s="6" t="s">
        <v>2794</v>
      </c>
      <c r="F1130" s="6" t="s">
        <v>2226</v>
      </c>
      <c r="G1130" s="6" t="s">
        <v>2258</v>
      </c>
      <c r="H1130" s="7">
        <v>1080</v>
      </c>
      <c r="I1130" s="8">
        <f>SUMIF(Cargas!$C$6:$C$1064,C1130,Cargas!$O$6:$O$1064)</f>
        <v>1080</v>
      </c>
      <c r="J1130" s="17">
        <f ref="J1130:J1193" t="shared" si="22">IF(ABS(H1130-I1130)&lt;20,0,H1130-I1130)</f>
        <v>0</v>
      </c>
      <c r="K1130" s="34"/>
      <c r="L1130" s="34">
        <v>105677</v>
      </c>
      <c r="M1130" s="0">
        <v>1</v>
      </c>
    </row>
    <row r="1131" hidden="1">
      <c r="B1131" s="64">
        <v>45449</v>
      </c>
      <c r="C1131" s="9" t="s">
        <v>283</v>
      </c>
      <c r="D1131" s="6" t="s">
        <v>3580</v>
      </c>
      <c r="E1131" s="6" t="s">
        <v>2794</v>
      </c>
      <c r="F1131" s="6" t="s">
        <v>2226</v>
      </c>
      <c r="G1131" s="6" t="s">
        <v>2258</v>
      </c>
      <c r="H1131" s="7">
        <v>1030</v>
      </c>
      <c r="I1131" s="8">
        <f>SUMIF(Cargas!$C$6:$C$1064,C1131,Cargas!$O$6:$O$1064)</f>
        <v>1030</v>
      </c>
      <c r="J1131" s="17">
        <f t="shared" si="22"/>
        <v>0</v>
      </c>
      <c r="K1131" s="34"/>
      <c r="L1131" s="34">
        <v>109869</v>
      </c>
      <c r="M1131" s="0">
        <v>1</v>
      </c>
    </row>
    <row r="1132" hidden="1">
      <c r="B1132" s="64">
        <v>45449</v>
      </c>
      <c r="C1132" s="9" t="s">
        <v>289</v>
      </c>
      <c r="D1132" s="6" t="s">
        <v>3582</v>
      </c>
      <c r="E1132" s="6" t="s">
        <v>2794</v>
      </c>
      <c r="F1132" s="6" t="s">
        <v>2226</v>
      </c>
      <c r="G1132" s="6" t="s">
        <v>2258</v>
      </c>
      <c r="H1132" s="7">
        <v>1080</v>
      </c>
      <c r="I1132" s="8">
        <f>SUMIF(Cargas!$C$6:$C$1064,C1132,Cargas!$O$6:$O$1064)</f>
        <v>1080</v>
      </c>
      <c r="J1132" s="17">
        <f t="shared" si="22"/>
        <v>0</v>
      </c>
      <c r="K1132" s="34"/>
      <c r="L1132" s="34">
        <v>109777</v>
      </c>
      <c r="M1132" s="0">
        <v>1</v>
      </c>
    </row>
    <row r="1133" hidden="1">
      <c r="B1133" s="64">
        <v>45453</v>
      </c>
      <c r="C1133" s="9" t="s">
        <v>290</v>
      </c>
      <c r="D1133" s="6" t="s">
        <v>3758</v>
      </c>
      <c r="E1133" s="6" t="s">
        <v>3757</v>
      </c>
      <c r="F1133" s="6" t="s">
        <v>2226</v>
      </c>
      <c r="G1133" s="6" t="s">
        <v>401</v>
      </c>
      <c r="H1133" s="7">
        <v>980</v>
      </c>
      <c r="I1133" s="8">
        <f>SUMIF(Cargas!$C$6:$C$1064,C1133,Cargas!$O$6:$O$1064)</f>
        <v>980</v>
      </c>
      <c r="J1133" s="17">
        <f t="shared" si="22"/>
        <v>0</v>
      </c>
      <c r="K1133" s="34"/>
      <c r="L1133" s="34">
        <v>113902</v>
      </c>
      <c r="M1133" s="0">
        <v>1</v>
      </c>
    </row>
    <row r="1134" hidden="1">
      <c r="B1134" s="64">
        <v>45453</v>
      </c>
      <c r="C1134" s="9" t="s">
        <v>299</v>
      </c>
      <c r="D1134" s="6" t="s">
        <v>3759</v>
      </c>
      <c r="E1134" s="6" t="s">
        <v>3757</v>
      </c>
      <c r="F1134" s="6" t="s">
        <v>2226</v>
      </c>
      <c r="G1134" s="6" t="s">
        <v>401</v>
      </c>
      <c r="H1134" s="7">
        <v>980</v>
      </c>
      <c r="I1134" s="8">
        <f>SUMIF(Cargas!$C$6:$C$1064,C1134,Cargas!$O$6:$O$1064)</f>
        <v>980</v>
      </c>
      <c r="J1134" s="17">
        <f t="shared" si="22"/>
        <v>0</v>
      </c>
      <c r="K1134" s="34"/>
      <c r="L1134" s="34">
        <v>113943</v>
      </c>
      <c r="M1134" s="0">
        <v>1</v>
      </c>
    </row>
    <row r="1135" hidden="1">
      <c r="B1135" s="64">
        <v>45451</v>
      </c>
      <c r="C1135" s="9" t="s">
        <v>291</v>
      </c>
      <c r="D1135" s="6" t="s">
        <v>3760</v>
      </c>
      <c r="E1135" s="6" t="s">
        <v>2794</v>
      </c>
      <c r="F1135" s="6" t="s">
        <v>2226</v>
      </c>
      <c r="G1135" s="6" t="s">
        <v>394</v>
      </c>
      <c r="H1135" s="7">
        <v>1080</v>
      </c>
      <c r="I1135" s="8">
        <f>SUMIF(Cargas!$C$6:$C$1064,C1135,Cargas!$O$6:$O$1064)</f>
        <v>1080</v>
      </c>
      <c r="J1135" s="17">
        <f t="shared" si="22"/>
        <v>0</v>
      </c>
      <c r="K1135" s="34"/>
      <c r="L1135" s="34">
        <v>114087</v>
      </c>
      <c r="M1135" s="0">
        <v>1</v>
      </c>
    </row>
    <row r="1136" hidden="1">
      <c r="B1136" s="64">
        <v>45393</v>
      </c>
      <c r="C1136" s="9" t="s">
        <v>193</v>
      </c>
      <c r="D1136" s="6" t="s">
        <v>3761</v>
      </c>
      <c r="E1136" s="6" t="s">
        <v>3295</v>
      </c>
      <c r="F1136" s="6" t="s">
        <v>2226</v>
      </c>
      <c r="G1136" s="6" t="s">
        <v>2258</v>
      </c>
      <c r="H1136" s="7">
        <v>1230</v>
      </c>
      <c r="I1136" s="8">
        <f>SUMIF(Cargas!$C$6:$C$1064,C1136,Cargas!$O$6:$O$1064)</f>
        <v>1230</v>
      </c>
      <c r="J1136" s="17">
        <f t="shared" si="22"/>
        <v>0</v>
      </c>
      <c r="K1136" s="34" t="s">
        <v>3762</v>
      </c>
      <c r="L1136" s="34">
        <v>69916</v>
      </c>
      <c r="M1136" s="0">
        <v>1</v>
      </c>
    </row>
    <row r="1137" hidden="1">
      <c r="B1137" s="64">
        <v>45404</v>
      </c>
      <c r="C1137" s="9" t="s">
        <v>205</v>
      </c>
      <c r="D1137" s="6" t="s">
        <v>3763</v>
      </c>
      <c r="E1137" s="6" t="s">
        <v>3757</v>
      </c>
      <c r="F1137" s="6" t="s">
        <v>2226</v>
      </c>
      <c r="G1137" s="6" t="s">
        <v>401</v>
      </c>
      <c r="H1137" s="7">
        <v>1230</v>
      </c>
      <c r="I1137" s="8">
        <f>SUMIF(Cargas!$C$6:$C$1064,C1137,Cargas!$O$6:$O$1064)</f>
        <v>1230</v>
      </c>
      <c r="J1137" s="17">
        <f t="shared" si="22"/>
        <v>0</v>
      </c>
      <c r="K1137" s="34"/>
      <c r="L1137" s="34">
        <v>74851</v>
      </c>
      <c r="M1137" s="0">
        <v>1</v>
      </c>
    </row>
    <row r="1138" hidden="1">
      <c r="A1138" s="79"/>
      <c r="B1138" s="80">
        <v>45429</v>
      </c>
      <c r="C1138" s="81" t="s">
        <v>266</v>
      </c>
      <c r="D1138" s="82" t="s">
        <v>3764</v>
      </c>
      <c r="E1138" s="82" t="s">
        <v>3516</v>
      </c>
      <c r="F1138" s="82" t="s">
        <v>2226</v>
      </c>
      <c r="G1138" s="82" t="s">
        <v>2227</v>
      </c>
      <c r="H1138" s="83">
        <v>1080</v>
      </c>
      <c r="I1138" s="84">
        <f>SUMIF(Cargas!$C$6:$C$1064,C1138,Cargas!$O$6:$O$1064)</f>
        <v>1080</v>
      </c>
      <c r="J1138" s="85">
        <f t="shared" si="22"/>
        <v>0</v>
      </c>
      <c r="K1138" s="86"/>
      <c r="L1138" s="86">
        <v>102668</v>
      </c>
      <c r="M1138" s="32"/>
    </row>
    <row r="1139" hidden="1">
      <c r="B1139" s="64">
        <v>45466</v>
      </c>
      <c r="C1139" s="9" t="s">
        <v>388</v>
      </c>
      <c r="D1139" s="6" t="s">
        <v>3765</v>
      </c>
      <c r="E1139" s="6" t="s">
        <v>3766</v>
      </c>
      <c r="F1139" s="6" t="s">
        <v>2226</v>
      </c>
      <c r="G1139" s="6" t="s">
        <v>2227</v>
      </c>
      <c r="H1139" s="7">
        <v>1080</v>
      </c>
      <c r="I1139" s="8">
        <f>SUMIF(Cargas!$C$6:$C$1064,C1139,Cargas!$O$6:$O$1064)</f>
        <v>1080</v>
      </c>
      <c r="J1139" s="17">
        <f t="shared" si="22"/>
        <v>0</v>
      </c>
      <c r="K1139" s="34"/>
      <c r="L1139" s="34">
        <v>143347</v>
      </c>
      <c r="M1139" s="0">
        <v>1</v>
      </c>
    </row>
    <row r="1140" hidden="1">
      <c r="B1140" s="64">
        <v>45474</v>
      </c>
      <c r="C1140" s="9" t="s">
        <v>414</v>
      </c>
      <c r="D1140" s="6" t="s">
        <v>3767</v>
      </c>
      <c r="E1140" s="6" t="s">
        <v>3766</v>
      </c>
      <c r="F1140" s="6" t="s">
        <v>2226</v>
      </c>
      <c r="G1140" s="6" t="s">
        <v>2227</v>
      </c>
      <c r="H1140" s="7">
        <v>1080</v>
      </c>
      <c r="I1140" s="8">
        <f>SUMIF(Cargas!$C$6:$C$1064,C1140,Cargas!$O$6:$O$1064)</f>
        <v>1080</v>
      </c>
      <c r="J1140" s="17">
        <f t="shared" si="22"/>
        <v>0</v>
      </c>
      <c r="K1140" s="34"/>
      <c r="L1140" s="34">
        <v>146149</v>
      </c>
    </row>
    <row r="1141" hidden="1">
      <c r="B1141" s="64">
        <v>45481</v>
      </c>
      <c r="C1141" s="9" t="s">
        <v>430</v>
      </c>
      <c r="D1141" s="6" t="s">
        <v>3768</v>
      </c>
      <c r="E1141" s="6" t="s">
        <v>3766</v>
      </c>
      <c r="F1141" s="6" t="s">
        <v>2226</v>
      </c>
      <c r="G1141" s="6" t="s">
        <v>2227</v>
      </c>
      <c r="H1141" s="7">
        <v>1080</v>
      </c>
      <c r="I1141" s="8">
        <f>SUMIF(Cargas!$C$6:$C$1064,C1141,Cargas!$O$6:$O$1064)</f>
        <v>1080</v>
      </c>
      <c r="J1141" s="17">
        <f t="shared" si="22"/>
        <v>0</v>
      </c>
      <c r="K1141" s="34"/>
      <c r="L1141" s="34">
        <v>149197</v>
      </c>
    </row>
    <row r="1142" hidden="1">
      <c r="B1142" s="64">
        <v>45490</v>
      </c>
      <c r="C1142" s="9" t="s">
        <v>442</v>
      </c>
      <c r="D1142" s="6" t="s">
        <v>3769</v>
      </c>
      <c r="E1142" s="6" t="s">
        <v>3766</v>
      </c>
      <c r="F1142" s="6" t="s">
        <v>2226</v>
      </c>
      <c r="G1142" s="6" t="s">
        <v>2227</v>
      </c>
      <c r="H1142" s="7">
        <v>1080</v>
      </c>
      <c r="I1142" s="8">
        <f>SUMIF(Cargas!$C$6:$C$1064,C1142,Cargas!$O$6:$O$1064)</f>
        <v>1080</v>
      </c>
      <c r="J1142" s="17">
        <f t="shared" si="22"/>
        <v>0</v>
      </c>
      <c r="K1142" s="34"/>
      <c r="L1142" s="34">
        <v>156712</v>
      </c>
    </row>
    <row r="1143" hidden="1">
      <c r="B1143" s="64">
        <v>45495</v>
      </c>
      <c r="C1143" s="9" t="s">
        <v>454</v>
      </c>
      <c r="D1143" s="6" t="s">
        <v>3770</v>
      </c>
      <c r="E1143" s="6" t="s">
        <v>3766</v>
      </c>
      <c r="F1143" s="6" t="s">
        <v>2226</v>
      </c>
      <c r="G1143" s="6" t="s">
        <v>2227</v>
      </c>
      <c r="H1143" s="7">
        <v>1080</v>
      </c>
      <c r="I1143" s="8">
        <f>SUMIF(Cargas!$C$6:$C$1064,C1143,Cargas!$O$6:$O$1064)</f>
        <v>1080</v>
      </c>
      <c r="J1143" s="17">
        <f t="shared" si="22"/>
        <v>0</v>
      </c>
      <c r="K1143" s="34"/>
      <c r="L1143" s="34">
        <v>160971</v>
      </c>
    </row>
    <row r="1144" hidden="1">
      <c r="B1144" s="64">
        <v>45504</v>
      </c>
      <c r="C1144" s="9" t="s">
        <v>496</v>
      </c>
      <c r="D1144" s="6" t="s">
        <v>3771</v>
      </c>
      <c r="E1144" s="6" t="s">
        <v>3766</v>
      </c>
      <c r="F1144" s="6" t="s">
        <v>2226</v>
      </c>
      <c r="G1144" s="6" t="s">
        <v>2227</v>
      </c>
      <c r="H1144" s="7">
        <v>3240</v>
      </c>
      <c r="I1144" s="8">
        <f>SUMIF(Cargas!$C$6:$C$1064,C1144,Cargas!$O$6:$O$1064)</f>
        <v>3240</v>
      </c>
      <c r="J1144" s="17">
        <f t="shared" si="22"/>
        <v>0</v>
      </c>
      <c r="K1144" s="34"/>
      <c r="L1144" s="34">
        <v>170226</v>
      </c>
    </row>
    <row r="1145" hidden="1">
      <c r="B1145" s="64">
        <v>45528</v>
      </c>
      <c r="C1145" s="9" t="s">
        <v>535</v>
      </c>
      <c r="D1145" s="6" t="s">
        <v>3772</v>
      </c>
      <c r="E1145" s="6" t="s">
        <v>3766</v>
      </c>
      <c r="F1145" s="6" t="s">
        <v>2226</v>
      </c>
      <c r="G1145" s="6" t="s">
        <v>2227</v>
      </c>
      <c r="H1145" s="7">
        <v>1080</v>
      </c>
      <c r="I1145" s="8">
        <f>SUMIF(Cargas!$C$6:$C$1064,C1145,Cargas!$O$6:$O$1064)</f>
        <v>1080</v>
      </c>
      <c r="J1145" s="17">
        <f t="shared" si="22"/>
        <v>0</v>
      </c>
      <c r="K1145" s="34"/>
      <c r="L1145" s="34">
        <v>179944</v>
      </c>
    </row>
    <row r="1146" hidden="1">
      <c r="B1146" s="64">
        <v>45530</v>
      </c>
      <c r="C1146" s="9" t="s">
        <v>549</v>
      </c>
      <c r="D1146" s="6" t="s">
        <v>3773</v>
      </c>
      <c r="E1146" s="6" t="s">
        <v>3766</v>
      </c>
      <c r="F1146" s="6" t="s">
        <v>2226</v>
      </c>
      <c r="G1146" s="6" t="s">
        <v>2227</v>
      </c>
      <c r="H1146" s="7">
        <v>1080</v>
      </c>
      <c r="I1146" s="8">
        <f>SUMIF(Cargas!$C$6:$C$1064,C1146,Cargas!$O$6:$O$1064)</f>
        <v>1080</v>
      </c>
      <c r="J1146" s="17">
        <f t="shared" si="22"/>
        <v>0</v>
      </c>
      <c r="K1146" s="34"/>
      <c r="L1146" s="34">
        <v>186205</v>
      </c>
    </row>
    <row r="1147" hidden="1" ht="15.75">
      <c r="B1147" s="64">
        <v>45604</v>
      </c>
      <c r="C1147" s="9" t="s">
        <v>686</v>
      </c>
      <c r="D1147" s="6" t="s">
        <v>3269</v>
      </c>
      <c r="E1147" s="6" t="s">
        <v>2871</v>
      </c>
      <c r="F1147" s="6" t="s">
        <v>2226</v>
      </c>
      <c r="G1147" s="6" t="s">
        <v>2258</v>
      </c>
      <c r="H1147" s="7">
        <v>1936</v>
      </c>
      <c r="I1147" s="8">
        <f>SUMIF(Cargas!$C$6:$C$1064,C1147,Cargas!$O$6:$O$1064)</f>
        <v>1936</v>
      </c>
      <c r="J1147" s="17">
        <f t="shared" si="22"/>
        <v>0</v>
      </c>
      <c r="K1147" s="34"/>
      <c r="L1147" s="119">
        <v>228688</v>
      </c>
    </row>
    <row r="1148" hidden="1" ht="15.75">
      <c r="B1148" s="64">
        <v>45608</v>
      </c>
      <c r="C1148" s="9" t="s">
        <v>683</v>
      </c>
      <c r="D1148" s="6" t="s">
        <v>3272</v>
      </c>
      <c r="E1148" s="6" t="s">
        <v>2712</v>
      </c>
      <c r="F1148" s="6" t="s">
        <v>2226</v>
      </c>
      <c r="G1148" s="6" t="s">
        <v>2282</v>
      </c>
      <c r="H1148" s="7">
        <v>2112</v>
      </c>
      <c r="I1148" s="8">
        <f>SUMIF(Cargas!$C$6:$C$1064,C1148,Cargas!$O$6:$O$1064)</f>
        <v>2112</v>
      </c>
      <c r="J1148" s="17">
        <f t="shared" si="22"/>
        <v>0</v>
      </c>
      <c r="K1148" s="34"/>
      <c r="L1148" s="119">
        <v>228609</v>
      </c>
    </row>
    <row r="1149" hidden="1" ht="15.75">
      <c r="B1149" s="64">
        <v>45611</v>
      </c>
      <c r="C1149" s="9" t="s">
        <v>705</v>
      </c>
      <c r="D1149" s="6" t="s">
        <v>3274</v>
      </c>
      <c r="E1149" s="6" t="s">
        <v>2712</v>
      </c>
      <c r="F1149" s="6" t="s">
        <v>2226</v>
      </c>
      <c r="G1149" s="6" t="s">
        <v>2258</v>
      </c>
      <c r="H1149" s="7">
        <v>2112</v>
      </c>
      <c r="I1149" s="8">
        <f>SUMIF(Cargas!$C$6:$C$1064,C1149,Cargas!$O$6:$O$1064)</f>
        <v>2112</v>
      </c>
      <c r="J1149" s="17">
        <f t="shared" si="22"/>
        <v>0</v>
      </c>
      <c r="K1149" s="34"/>
      <c r="L1149" s="119">
        <v>232032</v>
      </c>
    </row>
    <row r="1150" hidden="1" ht="15.75">
      <c r="B1150" s="64">
        <v>45614</v>
      </c>
      <c r="C1150" s="9" t="s">
        <v>744</v>
      </c>
      <c r="D1150" s="6" t="s">
        <v>3276</v>
      </c>
      <c r="E1150" s="6" t="s">
        <v>2871</v>
      </c>
      <c r="F1150" s="6" t="s">
        <v>2226</v>
      </c>
      <c r="G1150" s="6" t="s">
        <v>2282</v>
      </c>
      <c r="H1150" s="7">
        <v>1936</v>
      </c>
      <c r="I1150" s="8">
        <f>SUMIF(Cargas!$C$6:$C$1064,C1150,Cargas!$O$6:$O$1064)</f>
        <v>1936</v>
      </c>
      <c r="J1150" s="17">
        <f t="shared" si="22"/>
        <v>0</v>
      </c>
      <c r="K1150" s="34"/>
      <c r="L1150" s="119">
        <v>235368</v>
      </c>
    </row>
    <row r="1151" hidden="1">
      <c r="B1151" s="64">
        <v>45684</v>
      </c>
      <c r="C1151" s="9" t="s">
        <v>982</v>
      </c>
      <c r="D1151" s="6" t="s">
        <v>983</v>
      </c>
      <c r="E1151" s="6" t="s">
        <v>3499</v>
      </c>
      <c r="F1151" s="6" t="s">
        <v>978</v>
      </c>
      <c r="G1151" s="6" t="s">
        <v>3500</v>
      </c>
      <c r="H1151" s="7">
        <v>1100</v>
      </c>
      <c r="I1151" s="8">
        <f>SUMIF(Cargas!$C$6:$C$1064,C1151,Cargas!$O$6:$O$1064)</f>
        <v>1100</v>
      </c>
      <c r="J1151" s="17">
        <f t="shared" si="22"/>
        <v>0</v>
      </c>
      <c r="K1151" s="34"/>
      <c r="L1151" s="34"/>
    </row>
    <row r="1152" hidden="1">
      <c r="B1152" s="64">
        <v>45566</v>
      </c>
      <c r="C1152" s="9" t="s">
        <v>623</v>
      </c>
      <c r="D1152" s="6" t="s">
        <v>3774</v>
      </c>
      <c r="E1152" s="6" t="s">
        <v>3766</v>
      </c>
      <c r="F1152" s="6" t="s">
        <v>2226</v>
      </c>
      <c r="G1152" s="6" t="s">
        <v>2227</v>
      </c>
      <c r="H1152" s="7">
        <v>2160</v>
      </c>
      <c r="I1152" s="8">
        <f>SUMIF(Cargas!$C$6:$C$1064,C1152,Cargas!$O$6:$O$1064)</f>
        <v>2160</v>
      </c>
      <c r="J1152" s="17">
        <f t="shared" si="22"/>
        <v>0</v>
      </c>
      <c r="K1152" s="34"/>
      <c r="L1152" s="34">
        <v>213032</v>
      </c>
    </row>
    <row r="1153" hidden="1">
      <c r="B1153" s="64">
        <v>45537</v>
      </c>
      <c r="C1153" s="9" t="s">
        <v>560</v>
      </c>
      <c r="D1153" s="6" t="s">
        <v>3775</v>
      </c>
      <c r="E1153" s="6" t="s">
        <v>3766</v>
      </c>
      <c r="F1153" s="6" t="s">
        <v>2226</v>
      </c>
      <c r="G1153" s="6" t="s">
        <v>2227</v>
      </c>
      <c r="H1153" s="7">
        <v>1080</v>
      </c>
      <c r="I1153" s="8">
        <f>SUMIF(Cargas!$C$6:$C$1064,C1153,Cargas!$O$6:$O$1064)</f>
        <v>1080</v>
      </c>
      <c r="J1153" s="17">
        <f t="shared" si="22"/>
        <v>0</v>
      </c>
      <c r="K1153" s="34"/>
      <c r="L1153" s="34">
        <v>192675</v>
      </c>
      <c r="N1153" s="0">
        <v>1</v>
      </c>
    </row>
    <row r="1154" hidden="1">
      <c r="B1154" s="64">
        <v>45546</v>
      </c>
      <c r="C1154" s="9" t="s">
        <v>578</v>
      </c>
      <c r="D1154" s="6" t="s">
        <v>3776</v>
      </c>
      <c r="E1154" s="6" t="s">
        <v>3766</v>
      </c>
      <c r="F1154" s="6" t="s">
        <v>2226</v>
      </c>
      <c r="G1154" s="6" t="s">
        <v>2227</v>
      </c>
      <c r="H1154" s="7">
        <v>2160</v>
      </c>
      <c r="I1154" s="8">
        <f>SUMIF(Cargas!$C$6:$C$1064,C1154,Cargas!$O$6:$O$1064)</f>
        <v>2160</v>
      </c>
      <c r="J1154" s="17">
        <f t="shared" si="22"/>
        <v>0</v>
      </c>
      <c r="K1154" s="34"/>
      <c r="L1154" s="34" t="s">
        <v>29</v>
      </c>
    </row>
    <row r="1155" hidden="1">
      <c r="B1155" s="64">
        <v>45550</v>
      </c>
      <c r="C1155" s="9" t="s">
        <v>581</v>
      </c>
      <c r="D1155" s="6" t="s">
        <v>3777</v>
      </c>
      <c r="E1155" s="6" t="s">
        <v>3766</v>
      </c>
      <c r="F1155" s="6" t="s">
        <v>2226</v>
      </c>
      <c r="G1155" s="6" t="s">
        <v>2227</v>
      </c>
      <c r="H1155" s="7">
        <v>2160</v>
      </c>
      <c r="I1155" s="8">
        <f>SUMIF(Cargas!$C$6:$C$1064,C1155,Cargas!$O$6:$O$1064)</f>
        <v>2160</v>
      </c>
      <c r="J1155" s="17">
        <f t="shared" si="22"/>
        <v>0</v>
      </c>
      <c r="K1155" s="34"/>
      <c r="L1155" s="34" t="s">
        <v>29</v>
      </c>
    </row>
    <row r="1156" hidden="1">
      <c r="B1156" s="64">
        <v>45557</v>
      </c>
      <c r="C1156" s="9" t="s">
        <v>610</v>
      </c>
      <c r="D1156" s="6" t="s">
        <v>3778</v>
      </c>
      <c r="E1156" s="6" t="s">
        <v>3766</v>
      </c>
      <c r="F1156" s="6" t="s">
        <v>2226</v>
      </c>
      <c r="G1156" s="6" t="s">
        <v>2227</v>
      </c>
      <c r="H1156" s="7">
        <v>2160</v>
      </c>
      <c r="I1156" s="8">
        <f>SUMIF(Cargas!$C$6:$C$1064,C1156,Cargas!$O$6:$O$1064)</f>
        <v>2160</v>
      </c>
      <c r="J1156" s="17">
        <f t="shared" si="22"/>
        <v>0</v>
      </c>
      <c r="K1156" s="34"/>
      <c r="L1156" s="34">
        <v>208635</v>
      </c>
    </row>
    <row r="1157" hidden="1">
      <c r="B1157" s="64">
        <v>45574</v>
      </c>
      <c r="C1157" s="9" t="s">
        <v>673</v>
      </c>
      <c r="D1157" s="6" t="s">
        <v>3779</v>
      </c>
      <c r="E1157" s="6" t="s">
        <v>3766</v>
      </c>
      <c r="F1157" s="6" t="s">
        <v>2226</v>
      </c>
      <c r="G1157" s="6" t="s">
        <v>2227</v>
      </c>
      <c r="H1157" s="7">
        <v>2160</v>
      </c>
      <c r="I1157" s="8">
        <f>SUMIF(Cargas!$C$6:$C$1064,C1157,Cargas!$O$6:$O$1064)</f>
        <v>2160</v>
      </c>
      <c r="J1157" s="17">
        <f t="shared" si="22"/>
        <v>0</v>
      </c>
      <c r="K1157" s="34"/>
      <c r="L1157" s="34">
        <v>224045</v>
      </c>
    </row>
    <row r="1158" hidden="1">
      <c r="B1158" s="64">
        <v>45586</v>
      </c>
      <c r="C1158" s="9" t="s">
        <v>689</v>
      </c>
      <c r="D1158" s="6" t="s">
        <v>3780</v>
      </c>
      <c r="E1158" s="6" t="s">
        <v>3766</v>
      </c>
      <c r="F1158" s="6" t="s">
        <v>2226</v>
      </c>
      <c r="G1158" s="6" t="s">
        <v>2227</v>
      </c>
      <c r="H1158" s="7">
        <v>2160</v>
      </c>
      <c r="I1158" s="8">
        <f>SUMIF(Cargas!$C$6:$C$1064,C1158,Cargas!$O$6:$O$1064)</f>
        <v>2160</v>
      </c>
      <c r="J1158" s="17">
        <f t="shared" si="22"/>
        <v>0</v>
      </c>
      <c r="K1158" s="34"/>
      <c r="L1158" s="34">
        <v>228999</v>
      </c>
    </row>
    <row r="1159" hidden="1">
      <c r="B1159" s="64">
        <v>45593</v>
      </c>
      <c r="C1159" s="9" t="s">
        <v>763</v>
      </c>
      <c r="D1159" s="6" t="s">
        <v>3781</v>
      </c>
      <c r="E1159" s="6" t="s">
        <v>3766</v>
      </c>
      <c r="F1159" s="6" t="s">
        <v>2226</v>
      </c>
      <c r="G1159" s="6" t="s">
        <v>2227</v>
      </c>
      <c r="H1159" s="7">
        <v>2160</v>
      </c>
      <c r="I1159" s="8">
        <f>SUMIF(Cargas!$C$6:$C$1064,C1159,Cargas!$O$6:$O$1064)</f>
        <v>2160</v>
      </c>
      <c r="J1159" s="17">
        <f t="shared" si="22"/>
        <v>0</v>
      </c>
      <c r="K1159" s="34"/>
      <c r="L1159" s="34">
        <v>235557</v>
      </c>
    </row>
    <row r="1160" hidden="1">
      <c r="B1160" s="64">
        <v>45294</v>
      </c>
      <c r="C1160" s="9" t="s">
        <v>3782</v>
      </c>
      <c r="D1160" s="6" t="s">
        <v>2224</v>
      </c>
      <c r="E1160" s="6" t="s">
        <v>2225</v>
      </c>
      <c r="F1160" s="6" t="s">
        <v>2226</v>
      </c>
      <c r="G1160" s="6" t="s">
        <v>2227</v>
      </c>
      <c r="H1160" s="7">
        <v>1680</v>
      </c>
      <c r="I1160" s="8">
        <f>SUMIF(Cargas!$C$6:$C$1064,C1160,Cargas!$O$6:$O$1064)</f>
        <v>0</v>
      </c>
      <c r="J1160" s="17">
        <f t="shared" si="22"/>
        <v>1680</v>
      </c>
      <c r="K1160" s="34">
        <v>1481489</v>
      </c>
      <c r="L1160" s="34">
        <v>9080</v>
      </c>
    </row>
    <row r="1161" hidden="1">
      <c r="B1161" s="64">
        <v>45300</v>
      </c>
      <c r="C1161" s="9" t="s">
        <v>41</v>
      </c>
      <c r="D1161" s="6" t="s">
        <v>2246</v>
      </c>
      <c r="E1161" s="6" t="s">
        <v>2225</v>
      </c>
      <c r="F1161" s="6" t="s">
        <v>2226</v>
      </c>
      <c r="G1161" s="6" t="s">
        <v>2227</v>
      </c>
      <c r="H1161" s="7">
        <v>1680</v>
      </c>
      <c r="I1161" s="8">
        <f>SUMIF(Cargas!$C$6:$C$1064,C1161,Cargas!$O$6:$O$1064)</f>
        <v>1680</v>
      </c>
      <c r="J1161" s="17">
        <f t="shared" si="22"/>
        <v>0</v>
      </c>
      <c r="K1161" s="34">
        <v>1481832</v>
      </c>
      <c r="L1161" s="34" t="s">
        <v>29</v>
      </c>
    </row>
    <row r="1162" hidden="1">
      <c r="B1162" s="64">
        <v>45307</v>
      </c>
      <c r="C1162" s="9" t="s">
        <v>53</v>
      </c>
      <c r="D1162" s="6" t="s">
        <v>2268</v>
      </c>
      <c r="E1162" s="6" t="s">
        <v>2225</v>
      </c>
      <c r="F1162" s="6" t="s">
        <v>2226</v>
      </c>
      <c r="G1162" s="6" t="s">
        <v>2227</v>
      </c>
      <c r="H1162" s="7">
        <v>1680</v>
      </c>
      <c r="I1162" s="8">
        <f>SUMIF(Cargas!$C$6:$C$1064,C1162,Cargas!$O$6:$O$1064)</f>
        <v>1680</v>
      </c>
      <c r="J1162" s="17">
        <f t="shared" si="22"/>
        <v>0</v>
      </c>
      <c r="K1162" s="34">
        <v>1482156</v>
      </c>
      <c r="L1162" s="34" t="s">
        <v>29</v>
      </c>
    </row>
    <row r="1163" hidden="1">
      <c r="B1163" s="64">
        <v>45314</v>
      </c>
      <c r="C1163" s="9" t="s">
        <v>58</v>
      </c>
      <c r="D1163" s="6" t="s">
        <v>2274</v>
      </c>
      <c r="E1163" s="6" t="s">
        <v>2225</v>
      </c>
      <c r="F1163" s="6" t="s">
        <v>2226</v>
      </c>
      <c r="G1163" s="6" t="s">
        <v>2227</v>
      </c>
      <c r="H1163" s="7">
        <v>1680</v>
      </c>
      <c r="I1163" s="8">
        <f>SUMIF(Cargas!$C$6:$C$1064,C1163,Cargas!$O$6:$O$1064)</f>
        <v>1680</v>
      </c>
      <c r="J1163" s="17">
        <f t="shared" si="22"/>
        <v>0</v>
      </c>
      <c r="K1163" s="34">
        <v>1482164</v>
      </c>
      <c r="L1163" s="34">
        <v>25463</v>
      </c>
    </row>
    <row r="1164" hidden="1">
      <c r="B1164" s="64">
        <v>45333</v>
      </c>
      <c r="C1164" s="9" t="s">
        <v>99</v>
      </c>
      <c r="D1164" s="6" t="s">
        <v>2293</v>
      </c>
      <c r="E1164" s="6" t="s">
        <v>2225</v>
      </c>
      <c r="F1164" s="6" t="s">
        <v>2226</v>
      </c>
      <c r="G1164" s="6" t="s">
        <v>2227</v>
      </c>
      <c r="H1164" s="7">
        <v>1680</v>
      </c>
      <c r="I1164" s="8">
        <f>SUMIF(Cargas!$C$6:$C$1064,C1164,Cargas!$O$6:$O$1064)</f>
        <v>1680</v>
      </c>
      <c r="J1164" s="17">
        <f t="shared" si="22"/>
        <v>0</v>
      </c>
      <c r="K1164" s="34">
        <v>1484118</v>
      </c>
      <c r="L1164" s="34">
        <v>37245</v>
      </c>
    </row>
    <row r="1165" hidden="1">
      <c r="B1165" s="64">
        <v>45347</v>
      </c>
      <c r="C1165" s="9" t="s">
        <v>148</v>
      </c>
      <c r="D1165" s="6" t="s">
        <v>2304</v>
      </c>
      <c r="E1165" s="6" t="s">
        <v>2225</v>
      </c>
      <c r="F1165" s="6" t="s">
        <v>2226</v>
      </c>
      <c r="G1165" s="6" t="s">
        <v>2227</v>
      </c>
      <c r="H1165" s="7">
        <v>1680</v>
      </c>
      <c r="I1165" s="8">
        <f>SUMIF(Cargas!$C$6:$C$1064,C1165,Cargas!$O$6:$O$1064)</f>
        <v>1680</v>
      </c>
      <c r="J1165" s="17">
        <f t="shared" si="22"/>
        <v>0</v>
      </c>
      <c r="K1165" s="34">
        <v>1484931</v>
      </c>
      <c r="L1165" s="34">
        <v>49476</v>
      </c>
    </row>
    <row r="1166" hidden="1">
      <c r="B1166" s="64">
        <v>45362</v>
      </c>
      <c r="C1166" s="9" t="s">
        <v>167</v>
      </c>
      <c r="D1166" s="6" t="s">
        <v>2323</v>
      </c>
      <c r="E1166" s="6" t="s">
        <v>2225</v>
      </c>
      <c r="F1166" s="6" t="s">
        <v>2226</v>
      </c>
      <c r="G1166" s="6" t="s">
        <v>2227</v>
      </c>
      <c r="H1166" s="7">
        <v>1680</v>
      </c>
      <c r="I1166" s="8">
        <f>SUMIF(Cargas!$C$6:$C$1064,C1166,Cargas!$O$6:$O$1064)</f>
        <v>1680</v>
      </c>
      <c r="J1166" s="17">
        <f t="shared" si="22"/>
        <v>0</v>
      </c>
      <c r="K1166" s="34" t="s">
        <v>3783</v>
      </c>
      <c r="L1166" s="34">
        <v>57843</v>
      </c>
    </row>
    <row r="1167" hidden="1">
      <c r="B1167" s="64">
        <v>45377</v>
      </c>
      <c r="C1167" s="9" t="s">
        <v>190</v>
      </c>
      <c r="D1167" s="6" t="s">
        <v>2365</v>
      </c>
      <c r="E1167" s="6" t="s">
        <v>2225</v>
      </c>
      <c r="F1167" s="6" t="s">
        <v>2226</v>
      </c>
      <c r="G1167" s="6" t="s">
        <v>2227</v>
      </c>
      <c r="H1167" s="7">
        <v>1680</v>
      </c>
      <c r="I1167" s="8">
        <f>SUMIF(Cargas!$C$6:$C$1064,C1167,Cargas!$O$6:$O$1064)</f>
        <v>1680</v>
      </c>
      <c r="J1167" s="17">
        <f t="shared" si="22"/>
        <v>0</v>
      </c>
      <c r="K1167" s="34">
        <v>1487362</v>
      </c>
      <c r="L1167" s="34">
        <v>66952</v>
      </c>
    </row>
    <row r="1168" hidden="1">
      <c r="B1168" s="64">
        <v>45389</v>
      </c>
      <c r="C1168" s="9" t="s">
        <v>214</v>
      </c>
      <c r="D1168" s="6" t="s">
        <v>2404</v>
      </c>
      <c r="E1168" s="6" t="s">
        <v>2225</v>
      </c>
      <c r="F1168" s="6" t="s">
        <v>2226</v>
      </c>
      <c r="G1168" s="6" t="s">
        <v>2227</v>
      </c>
      <c r="H1168" s="7">
        <v>1680</v>
      </c>
      <c r="I1168" s="8">
        <f>SUMIF(Cargas!$C$6:$C$1064,C1168,Cargas!$O$6:$O$1064)</f>
        <v>1680</v>
      </c>
      <c r="J1168" s="17">
        <f t="shared" si="22"/>
        <v>0</v>
      </c>
      <c r="K1168" s="34">
        <v>1488133</v>
      </c>
      <c r="L1168" s="34">
        <v>76647</v>
      </c>
    </row>
    <row r="1169" hidden="1">
      <c r="B1169" s="64">
        <v>45404</v>
      </c>
      <c r="C1169" s="9" t="s">
        <v>226</v>
      </c>
      <c r="D1169" s="6" t="s">
        <v>2422</v>
      </c>
      <c r="E1169" s="6" t="s">
        <v>2225</v>
      </c>
      <c r="F1169" s="6" t="s">
        <v>2226</v>
      </c>
      <c r="G1169" s="6" t="s">
        <v>2227</v>
      </c>
      <c r="H1169" s="7">
        <v>1680</v>
      </c>
      <c r="I1169" s="8">
        <f>SUMIF(Cargas!$C$6:$C$1064,C1169,Cargas!$O$6:$O$1064)</f>
        <v>1680</v>
      </c>
      <c r="J1169" s="17">
        <f t="shared" si="22"/>
        <v>0</v>
      </c>
      <c r="K1169" s="34">
        <v>1489473</v>
      </c>
      <c r="L1169" s="34">
        <v>86221</v>
      </c>
    </row>
    <row r="1170" hidden="1">
      <c r="B1170" s="64">
        <v>45417</v>
      </c>
      <c r="C1170" s="9" t="s">
        <v>246</v>
      </c>
      <c r="D1170" s="6" t="s">
        <v>2430</v>
      </c>
      <c r="E1170" s="6" t="s">
        <v>2225</v>
      </c>
      <c r="F1170" s="6" t="s">
        <v>2226</v>
      </c>
      <c r="G1170" s="6" t="s">
        <v>2227</v>
      </c>
      <c r="H1170" s="7">
        <v>1680</v>
      </c>
      <c r="I1170" s="8">
        <f>SUMIF(Cargas!$C$6:$C$1064,C1170,Cargas!$O$6:$O$1064)</f>
        <v>1680</v>
      </c>
      <c r="J1170" s="17">
        <f t="shared" si="22"/>
        <v>0</v>
      </c>
      <c r="K1170" s="34">
        <v>1490753</v>
      </c>
      <c r="L1170" s="34">
        <v>96256</v>
      </c>
    </row>
    <row r="1171" hidden="1">
      <c r="B1171" s="64">
        <v>45431</v>
      </c>
      <c r="C1171" s="9" t="s">
        <v>279</v>
      </c>
      <c r="D1171" s="6" t="s">
        <v>2471</v>
      </c>
      <c r="E1171" s="6" t="s">
        <v>2225</v>
      </c>
      <c r="F1171" s="6" t="s">
        <v>2226</v>
      </c>
      <c r="G1171" s="6" t="s">
        <v>2227</v>
      </c>
      <c r="H1171" s="7">
        <v>1680</v>
      </c>
      <c r="I1171" s="8">
        <f>SUMIF(Cargas!$C$6:$C$1064,C1171,Cargas!$O$6:$O$1064)</f>
        <v>1680</v>
      </c>
      <c r="J1171" s="17">
        <f t="shared" si="22"/>
        <v>0</v>
      </c>
      <c r="K1171" s="34">
        <v>1492402</v>
      </c>
      <c r="L1171" s="34">
        <v>10750</v>
      </c>
    </row>
    <row r="1172" hidden="1">
      <c r="B1172" s="64">
        <v>45461</v>
      </c>
      <c r="C1172" s="9" t="s">
        <v>308</v>
      </c>
      <c r="D1172" s="6" t="s">
        <v>2510</v>
      </c>
      <c r="E1172" s="6" t="s">
        <v>2225</v>
      </c>
      <c r="F1172" s="6" t="s">
        <v>2226</v>
      </c>
      <c r="G1172" s="6" t="s">
        <v>2227</v>
      </c>
      <c r="H1172" s="7">
        <v>1680</v>
      </c>
      <c r="I1172" s="8">
        <f>SUMIF(Cargas!$C$6:$C$1064,C1172,Cargas!$O$6:$O$1064)</f>
        <v>1680</v>
      </c>
      <c r="J1172" s="17">
        <f t="shared" si="22"/>
        <v>0</v>
      </c>
      <c r="K1172" s="34">
        <v>1493404</v>
      </c>
      <c r="L1172" s="34">
        <v>127776</v>
      </c>
    </row>
    <row r="1173" hidden="1">
      <c r="B1173" s="64">
        <v>45471</v>
      </c>
      <c r="C1173" s="9" t="s">
        <v>352</v>
      </c>
      <c r="D1173" s="6" t="s">
        <v>2546</v>
      </c>
      <c r="E1173" s="6" t="s">
        <v>2225</v>
      </c>
      <c r="F1173" s="6" t="s">
        <v>2226</v>
      </c>
      <c r="G1173" s="6" t="s">
        <v>2227</v>
      </c>
      <c r="H1173" s="7">
        <v>1680</v>
      </c>
      <c r="I1173" s="8">
        <f>SUMIF(Cargas!$C$6:$C$1064,C1173,Cargas!$O$6:$O$1064)</f>
        <v>1680</v>
      </c>
      <c r="J1173" s="17">
        <f t="shared" si="22"/>
        <v>0</v>
      </c>
      <c r="K1173" s="34">
        <v>1495480</v>
      </c>
      <c r="L1173" s="34">
        <v>1495480</v>
      </c>
    </row>
    <row r="1174" hidden="1">
      <c r="B1174" s="64">
        <v>45491</v>
      </c>
      <c r="C1174" s="9" t="s">
        <v>423</v>
      </c>
      <c r="D1174" s="6" t="s">
        <v>2577</v>
      </c>
      <c r="E1174" s="6" t="s">
        <v>2225</v>
      </c>
      <c r="F1174" s="6" t="s">
        <v>2226</v>
      </c>
      <c r="G1174" s="6" t="s">
        <v>2227</v>
      </c>
      <c r="H1174" s="7">
        <v>1680</v>
      </c>
      <c r="I1174" s="8">
        <f>SUMIF(Cargas!$C$6:$C$1064,C1174,Cargas!$O$6:$O$1064)</f>
        <v>1680</v>
      </c>
      <c r="J1174" s="17">
        <f t="shared" si="22"/>
        <v>0</v>
      </c>
      <c r="K1174" s="34">
        <v>1496769</v>
      </c>
      <c r="L1174" s="34">
        <v>149199</v>
      </c>
    </row>
    <row r="1175" hidden="1">
      <c r="B1175" s="64">
        <v>45501</v>
      </c>
      <c r="C1175" s="9" t="s">
        <v>448</v>
      </c>
      <c r="D1175" s="6" t="s">
        <v>2602</v>
      </c>
      <c r="E1175" s="6" t="s">
        <v>2225</v>
      </c>
      <c r="F1175" s="6" t="s">
        <v>2226</v>
      </c>
      <c r="G1175" s="6" t="s">
        <v>2227</v>
      </c>
      <c r="H1175" s="7">
        <v>1680</v>
      </c>
      <c r="I1175" s="8">
        <f>SUMIF(Cargas!$C$6:$C$1064,C1175,Cargas!$O$6:$O$1064)</f>
        <v>1680</v>
      </c>
      <c r="J1175" s="17">
        <f t="shared" si="22"/>
        <v>0</v>
      </c>
      <c r="K1175" s="34">
        <v>1498268</v>
      </c>
      <c r="L1175" s="34" t="s">
        <v>29</v>
      </c>
    </row>
    <row r="1176" hidden="1">
      <c r="B1176" s="64">
        <v>45517</v>
      </c>
      <c r="C1176" s="9" t="s">
        <v>500</v>
      </c>
      <c r="D1176" s="6" t="s">
        <v>2618</v>
      </c>
      <c r="E1176" s="6" t="s">
        <v>2225</v>
      </c>
      <c r="F1176" s="6" t="s">
        <v>2226</v>
      </c>
      <c r="G1176" s="6" t="s">
        <v>2227</v>
      </c>
      <c r="H1176" s="7">
        <v>1680</v>
      </c>
      <c r="I1176" s="8">
        <f>SUMIF(Cargas!$C$6:$C$1064,C1176,Cargas!$O$6:$O$1064)</f>
        <v>1680</v>
      </c>
      <c r="J1176" s="17">
        <f t="shared" si="22"/>
        <v>0</v>
      </c>
      <c r="K1176" s="34">
        <v>1499591</v>
      </c>
      <c r="L1176" s="34">
        <v>170141</v>
      </c>
    </row>
    <row r="1177" hidden="1">
      <c r="B1177" s="64">
        <v>45587</v>
      </c>
      <c r="C1177" s="9" t="s">
        <v>775</v>
      </c>
      <c r="D1177" s="6" t="s">
        <v>3784</v>
      </c>
      <c r="E1177" s="6" t="s">
        <v>3766</v>
      </c>
      <c r="F1177" s="6" t="s">
        <v>2226</v>
      </c>
      <c r="G1177" s="6" t="s">
        <v>2227</v>
      </c>
      <c r="H1177" s="7">
        <v>2160</v>
      </c>
      <c r="I1177" s="8">
        <f>SUMIF(Cargas!$C$6:$C$1064,C1177,Cargas!$O$6:$O$1064)</f>
        <v>2160</v>
      </c>
      <c r="J1177" s="17">
        <f t="shared" si="22"/>
        <v>0</v>
      </c>
      <c r="K1177" s="34"/>
      <c r="L1177" s="34">
        <v>240243</v>
      </c>
    </row>
    <row r="1178" hidden="1">
      <c r="B1178" s="64">
        <v>45560</v>
      </c>
      <c r="C1178" s="9" t="s">
        <v>534</v>
      </c>
      <c r="D1178" s="6" t="s">
        <v>2645</v>
      </c>
      <c r="E1178" s="6" t="s">
        <v>2225</v>
      </c>
      <c r="F1178" s="6" t="s">
        <v>2226</v>
      </c>
      <c r="G1178" s="6" t="s">
        <v>2227</v>
      </c>
      <c r="H1178" s="7">
        <v>1680</v>
      </c>
      <c r="I1178" s="8">
        <f>SUMIF(Cargas!$C$6:$C$1064,C1178,Cargas!$O$6:$O$1064)</f>
        <v>1680</v>
      </c>
      <c r="J1178" s="17">
        <f t="shared" si="22"/>
        <v>0</v>
      </c>
      <c r="K1178" s="34">
        <v>1500760</v>
      </c>
      <c r="L1178" s="34">
        <v>180061</v>
      </c>
    </row>
    <row r="1179" hidden="1">
      <c r="B1179" s="64">
        <v>45543</v>
      </c>
      <c r="C1179" s="9" t="s">
        <v>552</v>
      </c>
      <c r="D1179" s="6" t="s">
        <v>2655</v>
      </c>
      <c r="E1179" s="6" t="s">
        <v>2225</v>
      </c>
      <c r="F1179" s="6" t="s">
        <v>2226</v>
      </c>
      <c r="G1179" s="6" t="s">
        <v>2227</v>
      </c>
      <c r="H1179" s="7">
        <v>1680</v>
      </c>
      <c r="I1179" s="8">
        <f>SUMIF(Cargas!$C$6:$C$1064,C1179,Cargas!$O$6:$O$1064)</f>
        <v>1680</v>
      </c>
      <c r="J1179" s="17">
        <f t="shared" si="22"/>
        <v>0</v>
      </c>
      <c r="K1179" s="34">
        <v>1502017</v>
      </c>
      <c r="L1179" s="34">
        <v>191134</v>
      </c>
    </row>
    <row r="1180" hidden="1">
      <c r="B1180" s="64">
        <v>45557</v>
      </c>
      <c r="C1180" s="9" t="s">
        <v>590</v>
      </c>
      <c r="D1180" s="6" t="s">
        <v>2676</v>
      </c>
      <c r="E1180" s="6" t="s">
        <v>2225</v>
      </c>
      <c r="F1180" s="6" t="s">
        <v>2226</v>
      </c>
      <c r="G1180" s="6" t="s">
        <v>2227</v>
      </c>
      <c r="H1180" s="7">
        <v>1680</v>
      </c>
      <c r="I1180" s="8">
        <f>SUMIF(Cargas!$C$6:$C$1064,C1180,Cargas!$O$6:$O$1064)</f>
        <v>1680</v>
      </c>
      <c r="J1180" s="17">
        <f t="shared" si="22"/>
        <v>0</v>
      </c>
      <c r="K1180" s="34">
        <v>1504711</v>
      </c>
      <c r="L1180" s="34">
        <v>202433</v>
      </c>
    </row>
    <row r="1181" hidden="1">
      <c r="B1181" s="64">
        <v>45685</v>
      </c>
      <c r="C1181" s="9" t="s">
        <v>1002</v>
      </c>
      <c r="D1181" s="6" t="s">
        <v>2358</v>
      </c>
      <c r="E1181" s="6" t="s">
        <v>3499</v>
      </c>
      <c r="F1181" s="6" t="s">
        <v>978</v>
      </c>
      <c r="G1181" s="6" t="s">
        <v>3500</v>
      </c>
      <c r="H1181" s="7">
        <v>1100</v>
      </c>
      <c r="I1181" s="8">
        <f>SUMIF(Cargas!$C$6:$C$1064,C1181,Cargas!$O$6:$O$1064)</f>
        <v>1100</v>
      </c>
      <c r="J1181" s="17">
        <f t="shared" si="22"/>
        <v>0</v>
      </c>
      <c r="K1181" s="34"/>
      <c r="L1181" s="34">
        <v>23905</v>
      </c>
    </row>
    <row r="1182" hidden="1">
      <c r="B1182" s="64">
        <v>45687</v>
      </c>
      <c r="C1182" s="9" t="s">
        <v>1004</v>
      </c>
      <c r="D1182" s="6" t="s">
        <v>2379</v>
      </c>
      <c r="E1182" s="6" t="s">
        <v>2559</v>
      </c>
      <c r="F1182" s="6" t="s">
        <v>978</v>
      </c>
      <c r="G1182" s="6" t="s">
        <v>2560</v>
      </c>
      <c r="H1182" s="7">
        <v>1104</v>
      </c>
      <c r="I1182" s="8">
        <f>SUMIF(Cargas!$C$6:$C$1064,C1182,Cargas!$O$6:$O$1064)</f>
        <v>1100</v>
      </c>
      <c r="J1182" s="17">
        <f t="shared" si="22"/>
        <v>0</v>
      </c>
      <c r="K1182" s="34"/>
      <c r="L1182" s="34">
        <v>23932</v>
      </c>
    </row>
    <row r="1183" hidden="1">
      <c r="B1183" s="64">
        <v>45687</v>
      </c>
      <c r="C1183" s="9" t="s">
        <v>1045</v>
      </c>
      <c r="D1183" s="6" t="s">
        <v>2383</v>
      </c>
      <c r="E1183" s="6" t="s">
        <v>3499</v>
      </c>
      <c r="F1183" s="6" t="s">
        <v>978</v>
      </c>
      <c r="G1183" s="6" t="s">
        <v>3500</v>
      </c>
      <c r="H1183" s="7">
        <v>1100</v>
      </c>
      <c r="I1183" s="8">
        <f>SUMIF(Cargas!$C$6:$C$1064,C1183,Cargas!$O$6:$O$1064)</f>
        <v>1100</v>
      </c>
      <c r="J1183" s="17">
        <f t="shared" si="22"/>
        <v>0</v>
      </c>
      <c r="K1183" s="34"/>
      <c r="L1183" s="34">
        <v>31057</v>
      </c>
    </row>
    <row r="1184" hidden="1" ht="15.75">
      <c r="B1184" s="64">
        <v>45294</v>
      </c>
      <c r="C1184" s="9" t="s">
        <v>934</v>
      </c>
      <c r="D1184" s="6" t="s">
        <v>3289</v>
      </c>
      <c r="E1184" s="6" t="s">
        <v>2871</v>
      </c>
      <c r="F1184" s="6" t="s">
        <v>2226</v>
      </c>
      <c r="G1184" s="6" t="s">
        <v>401</v>
      </c>
      <c r="H1184" s="7">
        <v>1936</v>
      </c>
      <c r="I1184" s="8">
        <f>SUMIF(Cargas!$C$6:$C$1064,C1184,Cargas!$O$6:$O$1064)</f>
        <v>1936</v>
      </c>
      <c r="J1184" s="17">
        <f t="shared" si="22"/>
        <v>0</v>
      </c>
      <c r="K1184" s="34"/>
      <c r="L1184" s="119">
        <v>1167</v>
      </c>
    </row>
    <row r="1185" hidden="1">
      <c r="B1185" s="64">
        <v>45637</v>
      </c>
      <c r="C1185" s="9" t="s">
        <v>874</v>
      </c>
      <c r="D1185" s="6" t="s">
        <v>2684</v>
      </c>
      <c r="E1185" s="6" t="s">
        <v>2559</v>
      </c>
      <c r="F1185" s="6" t="s">
        <v>978</v>
      </c>
      <c r="G1185" s="6" t="s">
        <v>29</v>
      </c>
      <c r="H1185" s="7">
        <v>2228</v>
      </c>
      <c r="I1185" s="8">
        <f>SUMIF(Cargas!$C$6:$C$1064,C1185,Cargas!$O$6:$O$1064)</f>
        <v>2228</v>
      </c>
      <c r="J1185" s="17">
        <f t="shared" si="22"/>
        <v>0</v>
      </c>
      <c r="K1185" s="34">
        <v>1512833</v>
      </c>
      <c r="L1185" s="34">
        <v>257838</v>
      </c>
    </row>
    <row r="1186" hidden="1">
      <c r="B1186" s="64">
        <v>45642</v>
      </c>
      <c r="C1186" s="9" t="s">
        <v>890</v>
      </c>
      <c r="D1186" s="6" t="s">
        <v>3785</v>
      </c>
      <c r="E1186" s="6" t="s">
        <v>3498</v>
      </c>
      <c r="F1186" s="6" t="s">
        <v>978</v>
      </c>
      <c r="G1186" s="6" t="s">
        <v>3500</v>
      </c>
      <c r="H1186" s="7">
        <v>1100</v>
      </c>
      <c r="I1186" s="8">
        <f>SUMIF(Cargas!$C$6:$C$1064,C1186,Cargas!$O$6:$O$1064)</f>
        <v>1100</v>
      </c>
      <c r="J1186" s="17">
        <f t="shared" si="22"/>
        <v>0</v>
      </c>
      <c r="K1186" s="34">
        <v>1513130</v>
      </c>
      <c r="L1186" s="34">
        <v>262344</v>
      </c>
    </row>
    <row r="1187" hidden="1">
      <c r="B1187" s="64">
        <v>45642</v>
      </c>
      <c r="C1187" s="9" t="s">
        <v>894</v>
      </c>
      <c r="D1187" s="6" t="s">
        <v>3786</v>
      </c>
      <c r="E1187" s="6" t="s">
        <v>3498</v>
      </c>
      <c r="F1187" s="6" t="s">
        <v>978</v>
      </c>
      <c r="G1187" s="6" t="s">
        <v>3500</v>
      </c>
      <c r="H1187" s="7">
        <v>1100</v>
      </c>
      <c r="I1187" s="8">
        <f>SUMIF(Cargas!$C$6:$C$1064,C1187,Cargas!$O$6:$O$1064)</f>
        <v>1100</v>
      </c>
      <c r="J1187" s="17">
        <f t="shared" si="22"/>
        <v>0</v>
      </c>
      <c r="K1187" s="34">
        <v>1513131</v>
      </c>
      <c r="L1187" s="34">
        <v>262344</v>
      </c>
    </row>
    <row r="1188" hidden="1">
      <c r="B1188" s="64">
        <v>45643</v>
      </c>
      <c r="C1188" s="9" t="s">
        <v>898</v>
      </c>
      <c r="D1188" s="6" t="s">
        <v>3787</v>
      </c>
      <c r="E1188" s="6" t="s">
        <v>2559</v>
      </c>
      <c r="F1188" s="6" t="s">
        <v>978</v>
      </c>
      <c r="G1188" s="6" t="s">
        <v>2559</v>
      </c>
      <c r="H1188" s="7">
        <v>2208</v>
      </c>
      <c r="I1188" s="8">
        <f>SUMIF(Cargas!$C$6:$C$1064,C1188,Cargas!$O$6:$O$1064)</f>
        <v>2208</v>
      </c>
      <c r="J1188" s="17">
        <f t="shared" si="22"/>
        <v>0</v>
      </c>
      <c r="K1188" s="34">
        <v>1513131</v>
      </c>
      <c r="L1188" s="34">
        <v>262425</v>
      </c>
    </row>
    <row r="1189" hidden="1">
      <c r="B1189" s="64">
        <v>45607</v>
      </c>
      <c r="C1189" s="9" t="s">
        <v>803</v>
      </c>
      <c r="D1189" s="6" t="s">
        <v>3788</v>
      </c>
      <c r="E1189" s="6" t="s">
        <v>3766</v>
      </c>
      <c r="F1189" s="6" t="s">
        <v>2226</v>
      </c>
      <c r="G1189" s="6" t="s">
        <v>2227</v>
      </c>
      <c r="H1189" s="7">
        <v>1080</v>
      </c>
      <c r="I1189" s="8">
        <f>SUMIF(Cargas!$C$6:$C$1064,C1189,Cargas!$O$6:$O$1064)</f>
        <v>1080</v>
      </c>
      <c r="J1189" s="17">
        <f t="shared" si="22"/>
        <v>0</v>
      </c>
      <c r="K1189" s="34"/>
      <c r="L1189" s="34">
        <v>244034</v>
      </c>
    </row>
    <row r="1190" hidden="1">
      <c r="B1190" s="64">
        <v>45573</v>
      </c>
      <c r="C1190" s="9" t="s">
        <v>616</v>
      </c>
      <c r="D1190" s="6" t="s">
        <v>2694</v>
      </c>
      <c r="E1190" s="6" t="s">
        <v>2225</v>
      </c>
      <c r="F1190" s="6" t="s">
        <v>2226</v>
      </c>
      <c r="G1190" s="6" t="s">
        <v>2227</v>
      </c>
      <c r="H1190" s="7">
        <v>1680</v>
      </c>
      <c r="I1190" s="8">
        <f>SUMIF(Cargas!$C$6:$C$1064,C1190,Cargas!$O$6:$O$1064)</f>
        <v>1680</v>
      </c>
      <c r="J1190" s="17">
        <f t="shared" si="22"/>
        <v>0</v>
      </c>
      <c r="K1190" s="34">
        <v>1504711</v>
      </c>
      <c r="L1190" s="34">
        <v>211314</v>
      </c>
    </row>
    <row r="1191" hidden="1">
      <c r="B1191" s="64">
        <v>45580</v>
      </c>
      <c r="C1191" s="9" t="s">
        <v>638</v>
      </c>
      <c r="D1191" s="6" t="s">
        <v>3333</v>
      </c>
      <c r="E1191" s="6" t="s">
        <v>2225</v>
      </c>
      <c r="F1191" s="6" t="s">
        <v>2226</v>
      </c>
      <c r="G1191" s="6" t="s">
        <v>2227</v>
      </c>
      <c r="H1191" s="7">
        <v>1680</v>
      </c>
      <c r="I1191" s="8">
        <f>SUMIF(Cargas!$C$6:$C$1064,C1191,Cargas!$O$6:$O$1064)</f>
        <v>1680</v>
      </c>
      <c r="J1191" s="17">
        <f t="shared" si="22"/>
        <v>0</v>
      </c>
      <c r="K1191" s="34">
        <v>1506034</v>
      </c>
      <c r="L1191" s="34">
        <v>216740</v>
      </c>
    </row>
    <row r="1192" hidden="1">
      <c r="B1192" s="64">
        <v>45585</v>
      </c>
      <c r="C1192" s="9" t="s">
        <v>671</v>
      </c>
      <c r="D1192" s="6" t="s">
        <v>3361</v>
      </c>
      <c r="E1192" s="6" t="s">
        <v>2225</v>
      </c>
      <c r="F1192" s="6" t="s">
        <v>2226</v>
      </c>
      <c r="G1192" s="6" t="s">
        <v>2227</v>
      </c>
      <c r="H1192" s="7">
        <v>1680</v>
      </c>
      <c r="I1192" s="8">
        <f>SUMIF(Cargas!$C$6:$C$1064,C1192,Cargas!$O$6:$O$1064)</f>
        <v>1680</v>
      </c>
      <c r="J1192" s="17">
        <f t="shared" si="22"/>
        <v>0</v>
      </c>
      <c r="K1192" s="34">
        <v>1507092</v>
      </c>
      <c r="L1192" s="34">
        <v>224119</v>
      </c>
    </row>
    <row r="1193" hidden="1">
      <c r="B1193" s="64">
        <v>45592</v>
      </c>
      <c r="C1193" s="9" t="s">
        <v>702</v>
      </c>
      <c r="D1193" s="6" t="s">
        <v>2985</v>
      </c>
      <c r="E1193" s="6" t="s">
        <v>2225</v>
      </c>
      <c r="F1193" s="6" t="s">
        <v>2226</v>
      </c>
      <c r="G1193" s="6" t="s">
        <v>2227</v>
      </c>
      <c r="H1193" s="7">
        <v>1680</v>
      </c>
      <c r="I1193" s="8">
        <f>SUMIF(Cargas!$C$6:$C$1064,C1193,Cargas!$O$6:$O$1064)</f>
        <v>1680</v>
      </c>
      <c r="J1193" s="17">
        <f t="shared" si="22"/>
        <v>0</v>
      </c>
      <c r="K1193" s="34">
        <v>1507629</v>
      </c>
      <c r="L1193" s="34">
        <v>231990</v>
      </c>
    </row>
    <row r="1194" hidden="1">
      <c r="B1194" s="64">
        <v>45314</v>
      </c>
      <c r="C1194" s="9" t="s">
        <v>54</v>
      </c>
      <c r="D1194" s="6" t="s">
        <v>993</v>
      </c>
      <c r="E1194" s="6" t="s">
        <v>3789</v>
      </c>
      <c r="F1194" s="6" t="s">
        <v>2226</v>
      </c>
      <c r="G1194" s="6" t="s">
        <v>2227</v>
      </c>
      <c r="H1194" s="7">
        <v>2160</v>
      </c>
      <c r="I1194" s="8">
        <f>SUMIF(Cargas!$C$6:$C$1064,C1194,Cargas!$O$6:$O$1064)</f>
        <v>2160</v>
      </c>
      <c r="J1194" s="17">
        <f ref="J1194:J1257" t="shared" si="23">IF(ABS(H1194-I1194)&lt;20,0,H1194-I1194)</f>
        <v>0</v>
      </c>
      <c r="K1194" s="34">
        <v>1482155</v>
      </c>
      <c r="L1194" s="34">
        <v>25693</v>
      </c>
    </row>
    <row r="1195" hidden="1">
      <c r="B1195" s="64">
        <v>45321</v>
      </c>
      <c r="C1195" s="9" t="s">
        <v>66</v>
      </c>
      <c r="D1195" s="6" t="s">
        <v>2242</v>
      </c>
      <c r="E1195" s="6" t="s">
        <v>3789</v>
      </c>
      <c r="F1195" s="6" t="s">
        <v>2226</v>
      </c>
      <c r="G1195" s="6" t="s">
        <v>2227</v>
      </c>
      <c r="H1195" s="7">
        <v>2160</v>
      </c>
      <c r="I1195" s="8">
        <f>SUMIF(Cargas!$C$6:$C$1064,C1195,Cargas!$O$6:$O$1064)</f>
        <v>2160</v>
      </c>
      <c r="J1195" s="17">
        <f t="shared" si="23"/>
        <v>0</v>
      </c>
      <c r="K1195" s="34">
        <v>1483128</v>
      </c>
      <c r="L1195" s="34">
        <v>267749</v>
      </c>
    </row>
    <row r="1196" hidden="1">
      <c r="B1196" s="64">
        <v>44789</v>
      </c>
      <c r="C1196" s="9" t="s">
        <v>3790</v>
      </c>
      <c r="D1196" s="6" t="s">
        <v>2960</v>
      </c>
      <c r="E1196" s="6" t="s">
        <v>2220</v>
      </c>
      <c r="F1196" s="6" t="s">
        <v>2226</v>
      </c>
      <c r="G1196" s="6" t="s">
        <v>2258</v>
      </c>
      <c r="H1196" s="7">
        <v>5400</v>
      </c>
      <c r="I1196" s="8">
        <f>SUMIF(Cargas!$C$6:$C$1064,C1196,Cargas!$O$6:$O$1064)</f>
        <v>0</v>
      </c>
      <c r="J1196" s="17">
        <f t="shared" si="23"/>
        <v>5400</v>
      </c>
      <c r="K1196" s="34">
        <v>1436145</v>
      </c>
      <c r="L1196" s="34">
        <v>161046</v>
      </c>
    </row>
    <row r="1197" hidden="1">
      <c r="B1197" s="64">
        <v>44796</v>
      </c>
      <c r="C1197" s="9" t="s">
        <v>3791</v>
      </c>
      <c r="D1197" s="6" t="s">
        <v>2971</v>
      </c>
      <c r="E1197" s="6" t="s">
        <v>2220</v>
      </c>
      <c r="F1197" s="6" t="s">
        <v>2226</v>
      </c>
      <c r="G1197" s="6" t="s">
        <v>2258</v>
      </c>
      <c r="H1197" s="7">
        <v>3272</v>
      </c>
      <c r="I1197" s="8">
        <f>SUMIF(Cargas!$C$6:$C$1064,C1197,Cargas!$O$6:$O$1064)</f>
        <v>0</v>
      </c>
      <c r="J1197" s="17">
        <f t="shared" si="23"/>
        <v>3272</v>
      </c>
      <c r="K1197" s="34">
        <v>1436759</v>
      </c>
      <c r="L1197" s="34">
        <v>166646</v>
      </c>
    </row>
    <row r="1198" hidden="1">
      <c r="B1198" s="64">
        <v>44803</v>
      </c>
      <c r="C1198" s="9" t="s">
        <v>3792</v>
      </c>
      <c r="D1198" s="6" t="s">
        <v>2977</v>
      </c>
      <c r="E1198" s="6" t="s">
        <v>2220</v>
      </c>
      <c r="F1198" s="6" t="s">
        <v>2226</v>
      </c>
      <c r="G1198" s="6" t="s">
        <v>2258</v>
      </c>
      <c r="H1198" s="7">
        <v>6480</v>
      </c>
      <c r="I1198" s="8">
        <f>SUMIF(Cargas!$C$6:$C$1064,C1198,Cargas!$O$6:$O$1064)</f>
        <v>0</v>
      </c>
      <c r="J1198" s="17">
        <f t="shared" si="23"/>
        <v>6480</v>
      </c>
      <c r="K1198" s="34">
        <v>1437199</v>
      </c>
      <c r="L1198" s="34">
        <v>169820</v>
      </c>
    </row>
    <row r="1199" hidden="1">
      <c r="B1199" s="64">
        <v>44803</v>
      </c>
      <c r="C1199" s="9" t="s">
        <v>3793</v>
      </c>
      <c r="D1199" s="6" t="s">
        <v>2982</v>
      </c>
      <c r="E1199" s="6" t="s">
        <v>2220</v>
      </c>
      <c r="F1199" s="6" t="s">
        <v>2226</v>
      </c>
      <c r="G1199" s="6" t="s">
        <v>2258</v>
      </c>
      <c r="H1199" s="7">
        <v>1144</v>
      </c>
      <c r="I1199" s="8">
        <f>SUMIF(Cargas!$C$6:$C$1064,C1199,Cargas!$O$6:$O$1064)</f>
        <v>0</v>
      </c>
      <c r="J1199" s="17">
        <f t="shared" si="23"/>
        <v>1144</v>
      </c>
      <c r="K1199" s="34">
        <v>1437201</v>
      </c>
      <c r="L1199" s="34">
        <v>169787</v>
      </c>
    </row>
    <row r="1200" hidden="1">
      <c r="B1200" s="64">
        <v>45328</v>
      </c>
      <c r="C1200" s="9" t="s">
        <v>88</v>
      </c>
      <c r="D1200" s="6" t="s">
        <v>2250</v>
      </c>
      <c r="E1200" s="6" t="s">
        <v>3789</v>
      </c>
      <c r="F1200" s="6" t="s">
        <v>2226</v>
      </c>
      <c r="G1200" s="6" t="s">
        <v>2227</v>
      </c>
      <c r="H1200" s="7">
        <v>2160</v>
      </c>
      <c r="I1200" s="8">
        <f>SUMIF(Cargas!$C$6:$C$1064,C1200,Cargas!$O$6:$O$1064)</f>
        <v>2160</v>
      </c>
      <c r="J1200" s="17">
        <f t="shared" si="23"/>
        <v>0</v>
      </c>
      <c r="K1200" s="34">
        <v>1483708</v>
      </c>
      <c r="L1200" s="34">
        <v>35340</v>
      </c>
    </row>
    <row r="1201" hidden="1">
      <c r="B1201" s="64">
        <v>45333</v>
      </c>
      <c r="C1201" s="9" t="s">
        <v>100</v>
      </c>
      <c r="D1201" s="6" t="s">
        <v>2264</v>
      </c>
      <c r="E1201" s="6" t="s">
        <v>3789</v>
      </c>
      <c r="F1201" s="6" t="s">
        <v>2226</v>
      </c>
      <c r="G1201" s="6" t="s">
        <v>2227</v>
      </c>
      <c r="H1201" s="7">
        <v>3240</v>
      </c>
      <c r="I1201" s="8">
        <f>SUMIF(Cargas!$C$6:$C$1064,C1201,Cargas!$O$6:$O$1064)</f>
        <v>3240</v>
      </c>
      <c r="J1201" s="17">
        <f t="shared" si="23"/>
        <v>0</v>
      </c>
      <c r="K1201" s="34">
        <v>1484050</v>
      </c>
      <c r="L1201" s="34">
        <v>38253</v>
      </c>
    </row>
    <row r="1202" hidden="1">
      <c r="B1202" s="64">
        <v>45340</v>
      </c>
      <c r="C1202" s="9" t="s">
        <v>118</v>
      </c>
      <c r="D1202" s="6" t="s">
        <v>2270</v>
      </c>
      <c r="E1202" s="6" t="s">
        <v>3789</v>
      </c>
      <c r="F1202" s="6" t="s">
        <v>2226</v>
      </c>
      <c r="G1202" s="6" t="s">
        <v>2227</v>
      </c>
      <c r="H1202" s="7">
        <v>2160</v>
      </c>
      <c r="I1202" s="8">
        <f>SUMIF(Cargas!$C$6:$C$1064,C1202,Cargas!$O$6:$O$1064)</f>
        <v>2160</v>
      </c>
      <c r="J1202" s="17">
        <f t="shared" si="23"/>
        <v>0</v>
      </c>
      <c r="K1202" s="34">
        <v>1484514</v>
      </c>
      <c r="L1202" s="34">
        <v>43282</v>
      </c>
    </row>
    <row r="1203" hidden="1">
      <c r="B1203" s="64">
        <v>44810</v>
      </c>
      <c r="C1203" s="9" t="s">
        <v>3794</v>
      </c>
      <c r="D1203" s="6" t="s">
        <v>3727</v>
      </c>
      <c r="E1203" s="6" t="s">
        <v>2220</v>
      </c>
      <c r="F1203" s="6" t="s">
        <v>2226</v>
      </c>
      <c r="G1203" s="6" t="s">
        <v>2258</v>
      </c>
      <c r="H1203" s="7">
        <v>4320</v>
      </c>
      <c r="I1203" s="8">
        <f>SUMIF(Cargas!$C$6:$C$1064,C1203,Cargas!$O$6:$O$1064)</f>
        <v>0</v>
      </c>
      <c r="J1203" s="17">
        <f t="shared" si="23"/>
        <v>4320</v>
      </c>
      <c r="K1203" s="34">
        <v>1438292</v>
      </c>
      <c r="L1203" s="34">
        <v>178377</v>
      </c>
    </row>
    <row r="1204" hidden="1">
      <c r="B1204" s="64">
        <v>44810</v>
      </c>
      <c r="C1204" s="9" t="s">
        <v>3795</v>
      </c>
      <c r="D1204" s="6" t="s">
        <v>3204</v>
      </c>
      <c r="E1204" s="6" t="s">
        <v>2220</v>
      </c>
      <c r="F1204" s="6" t="s">
        <v>2226</v>
      </c>
      <c r="G1204" s="6" t="s">
        <v>2258</v>
      </c>
      <c r="H1204" s="7">
        <v>3254</v>
      </c>
      <c r="I1204" s="8">
        <f>SUMIF(Cargas!$C$6:$C$1064,C1204,Cargas!$O$6:$O$1064)</f>
        <v>0</v>
      </c>
      <c r="J1204" s="17">
        <f t="shared" si="23"/>
        <v>3254</v>
      </c>
      <c r="K1204" s="34">
        <v>1438347</v>
      </c>
      <c r="L1204" s="34">
        <v>177697</v>
      </c>
    </row>
    <row r="1205" hidden="1">
      <c r="B1205" s="64">
        <v>45347</v>
      </c>
      <c r="C1205" s="9" t="s">
        <v>150</v>
      </c>
      <c r="D1205" s="6" t="s">
        <v>2279</v>
      </c>
      <c r="E1205" s="6" t="s">
        <v>3789</v>
      </c>
      <c r="F1205" s="6" t="s">
        <v>2226</v>
      </c>
      <c r="G1205" s="6" t="s">
        <v>2227</v>
      </c>
      <c r="H1205" s="7">
        <v>2160</v>
      </c>
      <c r="I1205" s="8">
        <f>SUMIF(Cargas!$C$6:$C$1064,C1205,Cargas!$O$6:$O$1064)</f>
        <v>2160</v>
      </c>
      <c r="J1205" s="17">
        <f t="shared" si="23"/>
        <v>0</v>
      </c>
      <c r="K1205" s="34">
        <v>1484930</v>
      </c>
      <c r="L1205" s="34">
        <v>51245</v>
      </c>
    </row>
    <row r="1206" hidden="1">
      <c r="B1206" s="64">
        <v>45354</v>
      </c>
      <c r="C1206" s="9" t="s">
        <v>151</v>
      </c>
      <c r="D1206" s="6" t="s">
        <v>2289</v>
      </c>
      <c r="E1206" s="6" t="s">
        <v>3789</v>
      </c>
      <c r="F1206" s="6" t="s">
        <v>2226</v>
      </c>
      <c r="G1206" s="6" t="s">
        <v>2227</v>
      </c>
      <c r="H1206" s="7">
        <v>2160</v>
      </c>
      <c r="I1206" s="8">
        <f>SUMIF(Cargas!$C$6:$C$1064,C1206,Cargas!$O$6:$O$1064)</f>
        <v>2160</v>
      </c>
      <c r="J1206" s="17">
        <f t="shared" si="23"/>
        <v>0</v>
      </c>
      <c r="K1206" s="34">
        <v>1485552</v>
      </c>
      <c r="L1206" s="34">
        <v>53339</v>
      </c>
    </row>
    <row r="1207" hidden="1">
      <c r="B1207" s="64">
        <v>44810</v>
      </c>
      <c r="C1207" s="9" t="s">
        <v>3796</v>
      </c>
      <c r="D1207" s="6" t="s">
        <v>3201</v>
      </c>
      <c r="E1207" s="6" t="s">
        <v>2220</v>
      </c>
      <c r="F1207" s="6" t="s">
        <v>2226</v>
      </c>
      <c r="G1207" s="6" t="s">
        <v>2258</v>
      </c>
      <c r="H1207" s="7">
        <v>1112</v>
      </c>
      <c r="I1207" s="8">
        <f>SUMIF(Cargas!$C$6:$C$1064,C1207,Cargas!$O$6:$O$1064)</f>
        <v>0</v>
      </c>
      <c r="J1207" s="17">
        <f t="shared" si="23"/>
        <v>1112</v>
      </c>
      <c r="K1207" s="34">
        <v>1438348</v>
      </c>
      <c r="L1207" s="34">
        <v>176740</v>
      </c>
    </row>
    <row r="1208" hidden="1">
      <c r="B1208" s="64">
        <v>44821</v>
      </c>
      <c r="C1208" s="9" t="s">
        <v>3797</v>
      </c>
      <c r="D1208" s="6" t="s">
        <v>3391</v>
      </c>
      <c r="E1208" s="6" t="s">
        <v>2220</v>
      </c>
      <c r="F1208" s="6" t="s">
        <v>2226</v>
      </c>
      <c r="G1208" s="6" t="s">
        <v>2227</v>
      </c>
      <c r="H1208" s="7">
        <v>3240</v>
      </c>
      <c r="I1208" s="8">
        <f>SUMIF(Cargas!$C$6:$C$1064,C1208,Cargas!$O$6:$O$1064)</f>
        <v>0</v>
      </c>
      <c r="J1208" s="17">
        <f t="shared" si="23"/>
        <v>3240</v>
      </c>
      <c r="K1208" s="34">
        <v>1438430</v>
      </c>
      <c r="L1208" s="34">
        <v>180692</v>
      </c>
    </row>
    <row r="1209" hidden="1">
      <c r="B1209" s="64">
        <v>44818</v>
      </c>
      <c r="C1209" s="9" t="s">
        <v>3798</v>
      </c>
      <c r="D1209" s="6" t="s">
        <v>3393</v>
      </c>
      <c r="E1209" s="6" t="s">
        <v>2220</v>
      </c>
      <c r="F1209" s="6" t="s">
        <v>2226</v>
      </c>
      <c r="G1209" s="6" t="s">
        <v>2258</v>
      </c>
      <c r="H1209" s="7">
        <v>4320</v>
      </c>
      <c r="I1209" s="8">
        <f>SUMIF(Cargas!$C$6:$C$1064,C1209,Cargas!$O$6:$O$1064)</f>
        <v>0</v>
      </c>
      <c r="J1209" s="17">
        <f t="shared" si="23"/>
        <v>4320</v>
      </c>
      <c r="K1209" s="34">
        <v>1438937</v>
      </c>
      <c r="L1209" s="34">
        <v>181604</v>
      </c>
    </row>
    <row r="1210" hidden="1">
      <c r="B1210" s="64">
        <v>45363</v>
      </c>
      <c r="C1210" s="9" t="s">
        <v>165</v>
      </c>
      <c r="D1210" s="6" t="s">
        <v>2299</v>
      </c>
      <c r="E1210" s="6" t="s">
        <v>3789</v>
      </c>
      <c r="F1210" s="6" t="s">
        <v>2226</v>
      </c>
      <c r="G1210" s="6" t="s">
        <v>2227</v>
      </c>
      <c r="H1210" s="7">
        <v>3240</v>
      </c>
      <c r="I1210" s="8">
        <f>SUMIF(Cargas!$C$6:$C$1064,C1210,Cargas!$O$6:$O$1064)</f>
        <v>3240</v>
      </c>
      <c r="J1210" s="17">
        <f t="shared" si="23"/>
        <v>0</v>
      </c>
      <c r="K1210" s="34">
        <v>1486195</v>
      </c>
      <c r="L1210" s="34">
        <v>57775</v>
      </c>
      <c r="N1210" s="0">
        <v>1</v>
      </c>
    </row>
    <row r="1211" hidden="1">
      <c r="B1211" s="64">
        <v>45370</v>
      </c>
      <c r="C1211" s="9" t="s">
        <v>171</v>
      </c>
      <c r="D1211" s="6" t="s">
        <v>2313</v>
      </c>
      <c r="E1211" s="6" t="s">
        <v>3789</v>
      </c>
      <c r="F1211" s="6" t="s">
        <v>2226</v>
      </c>
      <c r="G1211" s="6" t="s">
        <v>2227</v>
      </c>
      <c r="H1211" s="7">
        <v>1080</v>
      </c>
      <c r="I1211" s="8">
        <f>SUMIF(Cargas!$C$6:$C$1064,C1211,Cargas!$O$6:$O$1064)</f>
        <v>1080</v>
      </c>
      <c r="J1211" s="17">
        <f t="shared" si="23"/>
        <v>0</v>
      </c>
      <c r="K1211" s="34">
        <v>1486672</v>
      </c>
      <c r="L1211" s="34">
        <v>61081</v>
      </c>
      <c r="N1211" s="0">
        <v>1</v>
      </c>
    </row>
    <row r="1212" hidden="1">
      <c r="B1212" s="64">
        <v>45370</v>
      </c>
      <c r="C1212" s="9" t="s">
        <v>175</v>
      </c>
      <c r="D1212" s="6" t="s">
        <v>2329</v>
      </c>
      <c r="E1212" s="6" t="s">
        <v>3789</v>
      </c>
      <c r="F1212" s="6" t="s">
        <v>2226</v>
      </c>
      <c r="G1212" s="6" t="s">
        <v>2227</v>
      </c>
      <c r="H1212" s="7">
        <v>3240</v>
      </c>
      <c r="I1212" s="8">
        <f>SUMIF(Cargas!$C$6:$C$1064,C1212,Cargas!$O$6:$O$1064)</f>
        <v>3240</v>
      </c>
      <c r="J1212" s="17">
        <f t="shared" si="23"/>
        <v>0</v>
      </c>
      <c r="K1212" s="34">
        <v>1486673</v>
      </c>
      <c r="L1212" s="34">
        <v>61679</v>
      </c>
      <c r="M1212" s="0">
        <v>1</v>
      </c>
      <c r="N1212" s="0">
        <v>1</v>
      </c>
    </row>
    <row r="1213" hidden="1">
      <c r="B1213" s="64">
        <v>45377</v>
      </c>
      <c r="C1213" s="9" t="s">
        <v>191</v>
      </c>
      <c r="D1213" s="6" t="s">
        <v>2333</v>
      </c>
      <c r="E1213" s="6" t="s">
        <v>3789</v>
      </c>
      <c r="F1213" s="6" t="s">
        <v>2226</v>
      </c>
      <c r="G1213" s="6" t="s">
        <v>2227</v>
      </c>
      <c r="H1213" s="7">
        <v>3240</v>
      </c>
      <c r="I1213" s="8">
        <f>SUMIF(Cargas!$C$6:$C$1064,C1213,Cargas!$O$6:$O$1064)</f>
        <v>3240</v>
      </c>
      <c r="J1213" s="17">
        <f t="shared" si="23"/>
        <v>0</v>
      </c>
      <c r="K1213" s="34">
        <v>1487353</v>
      </c>
      <c r="L1213" s="34">
        <v>67552</v>
      </c>
      <c r="M1213" s="0">
        <v>1</v>
      </c>
      <c r="N1213" s="0">
        <v>1</v>
      </c>
    </row>
    <row r="1214" hidden="1">
      <c r="B1214" s="64">
        <v>45377</v>
      </c>
      <c r="C1214" s="9" t="s">
        <v>183</v>
      </c>
      <c r="D1214" s="6" t="s">
        <v>2337</v>
      </c>
      <c r="E1214" s="6" t="s">
        <v>3789</v>
      </c>
      <c r="F1214" s="6" t="s">
        <v>2226</v>
      </c>
      <c r="G1214" s="6" t="s">
        <v>2227</v>
      </c>
      <c r="H1214" s="7">
        <v>3240</v>
      </c>
      <c r="I1214" s="8">
        <f>SUMIF(Cargas!$C$6:$C$1064,C1214,Cargas!$O$6:$O$1064)</f>
        <v>3240</v>
      </c>
      <c r="J1214" s="17">
        <f t="shared" si="23"/>
        <v>0</v>
      </c>
      <c r="K1214" s="34">
        <v>1487352</v>
      </c>
      <c r="L1214" s="34">
        <v>66816</v>
      </c>
      <c r="M1214" s="0">
        <v>1</v>
      </c>
      <c r="N1214" s="0">
        <v>1</v>
      </c>
    </row>
    <row r="1215" hidden="1">
      <c r="B1215" s="64">
        <v>45384</v>
      </c>
      <c r="C1215" s="9" t="s">
        <v>195</v>
      </c>
      <c r="D1215" s="6" t="s">
        <v>2351</v>
      </c>
      <c r="E1215" s="6" t="s">
        <v>3789</v>
      </c>
      <c r="F1215" s="6" t="s">
        <v>2226</v>
      </c>
      <c r="G1215" s="6" t="s">
        <v>2227</v>
      </c>
      <c r="H1215" s="7">
        <v>3240</v>
      </c>
      <c r="I1215" s="8">
        <f>SUMIF(Cargas!$C$6:$C$1064,C1215,Cargas!$O$6:$O$1064)</f>
        <v>3240</v>
      </c>
      <c r="J1215" s="17">
        <f t="shared" si="23"/>
        <v>0</v>
      </c>
      <c r="K1215" s="34">
        <v>1487863</v>
      </c>
      <c r="L1215" s="34">
        <v>72109</v>
      </c>
      <c r="M1215" s="0">
        <v>1</v>
      </c>
      <c r="N1215" s="0">
        <v>1</v>
      </c>
    </row>
    <row r="1216" hidden="1">
      <c r="B1216" s="64">
        <v>45384</v>
      </c>
      <c r="C1216" s="9" t="s">
        <v>197</v>
      </c>
      <c r="D1216" s="6" t="s">
        <v>2367</v>
      </c>
      <c r="E1216" s="6" t="s">
        <v>3789</v>
      </c>
      <c r="F1216" s="6" t="s">
        <v>2226</v>
      </c>
      <c r="G1216" s="6" t="s">
        <v>2227</v>
      </c>
      <c r="H1216" s="7">
        <v>3240</v>
      </c>
      <c r="I1216" s="8">
        <f>SUMIF(Cargas!$C$6:$C$1064,C1216,Cargas!$O$6:$O$1064)</f>
        <v>3240</v>
      </c>
      <c r="J1216" s="17">
        <f t="shared" si="23"/>
        <v>0</v>
      </c>
      <c r="K1216" s="34">
        <v>1487864</v>
      </c>
      <c r="L1216" s="34">
        <v>71767</v>
      </c>
      <c r="M1216" s="0">
        <v>1</v>
      </c>
      <c r="N1216" s="0">
        <v>1</v>
      </c>
    </row>
    <row r="1217" hidden="1">
      <c r="B1217" s="64">
        <v>45389</v>
      </c>
      <c r="C1217" s="9" t="s">
        <v>206</v>
      </c>
      <c r="D1217" s="6" t="s">
        <v>2369</v>
      </c>
      <c r="E1217" s="6" t="s">
        <v>3789</v>
      </c>
      <c r="F1217" s="6" t="s">
        <v>2226</v>
      </c>
      <c r="G1217" s="6" t="s">
        <v>2227</v>
      </c>
      <c r="H1217" s="7">
        <v>2160</v>
      </c>
      <c r="I1217" s="8">
        <f>SUMIF(Cargas!$C$6:$C$1064,C1217,Cargas!$O$6:$O$1064)</f>
        <v>2160</v>
      </c>
      <c r="J1217" s="17">
        <f t="shared" si="23"/>
        <v>0</v>
      </c>
      <c r="K1217" s="34">
        <v>1488112</v>
      </c>
      <c r="L1217" s="34">
        <v>76513</v>
      </c>
      <c r="M1217" s="0">
        <v>1</v>
      </c>
      <c r="N1217" s="0">
        <v>1</v>
      </c>
    </row>
    <row r="1218" hidden="1">
      <c r="B1218" s="64">
        <v>45389</v>
      </c>
      <c r="C1218" s="9" t="s">
        <v>209</v>
      </c>
      <c r="D1218" s="6" t="s">
        <v>2389</v>
      </c>
      <c r="E1218" s="6" t="s">
        <v>3789</v>
      </c>
      <c r="F1218" s="6" t="s">
        <v>2226</v>
      </c>
      <c r="G1218" s="6" t="s">
        <v>2227</v>
      </c>
      <c r="H1218" s="7">
        <v>2160</v>
      </c>
      <c r="I1218" s="8">
        <f>SUMIF(Cargas!$C$6:$C$1064,C1218,Cargas!$O$6:$O$1064)</f>
        <v>2160</v>
      </c>
      <c r="J1218" s="17">
        <f t="shared" si="23"/>
        <v>0</v>
      </c>
      <c r="K1218" s="34">
        <v>1488113</v>
      </c>
      <c r="L1218" s="34">
        <v>76952</v>
      </c>
      <c r="M1218" s="0">
        <v>1</v>
      </c>
      <c r="N1218" s="0">
        <v>1</v>
      </c>
    </row>
    <row r="1219" hidden="1">
      <c r="B1219" s="64">
        <v>45404</v>
      </c>
      <c r="C1219" s="9" t="s">
        <v>227</v>
      </c>
      <c r="D1219" s="6" t="s">
        <v>2406</v>
      </c>
      <c r="E1219" s="6" t="s">
        <v>3789</v>
      </c>
      <c r="F1219" s="6" t="s">
        <v>2226</v>
      </c>
      <c r="G1219" s="6" t="s">
        <v>2227</v>
      </c>
      <c r="H1219" s="7">
        <v>2160</v>
      </c>
      <c r="I1219" s="8">
        <f>SUMIF(Cargas!$C$6:$C$1064,C1219,Cargas!$O$6:$O$1064)</f>
        <v>2160</v>
      </c>
      <c r="J1219" s="17">
        <f t="shared" si="23"/>
        <v>0</v>
      </c>
      <c r="K1219" s="34">
        <v>1489495</v>
      </c>
      <c r="L1219" s="34">
        <v>86007</v>
      </c>
      <c r="M1219" s="0">
        <v>1</v>
      </c>
      <c r="N1219" s="0">
        <v>1</v>
      </c>
    </row>
    <row r="1220" hidden="1">
      <c r="B1220" s="64">
        <v>45404</v>
      </c>
      <c r="C1220" s="9" t="s">
        <v>223</v>
      </c>
      <c r="D1220" s="6" t="s">
        <v>2410</v>
      </c>
      <c r="E1220" s="6" t="s">
        <v>3789</v>
      </c>
      <c r="F1220" s="6" t="s">
        <v>2226</v>
      </c>
      <c r="G1220" s="6" t="s">
        <v>2227</v>
      </c>
      <c r="H1220" s="7">
        <v>2160</v>
      </c>
      <c r="I1220" s="8">
        <f>SUMIF(Cargas!$C$6:$C$1064,C1220,Cargas!$O$6:$O$1064)</f>
        <v>2160</v>
      </c>
      <c r="J1220" s="17">
        <f t="shared" si="23"/>
        <v>0</v>
      </c>
      <c r="K1220" s="34">
        <v>1499595</v>
      </c>
      <c r="L1220" s="34">
        <v>85298</v>
      </c>
      <c r="M1220" s="0">
        <v>1</v>
      </c>
      <c r="N1220" s="0">
        <v>1</v>
      </c>
    </row>
    <row r="1221" hidden="1">
      <c r="B1221" s="64">
        <v>45410</v>
      </c>
      <c r="C1221" s="9" t="s">
        <v>236</v>
      </c>
      <c r="D1221" s="6" t="s">
        <v>2416</v>
      </c>
      <c r="E1221" s="6" t="s">
        <v>3789</v>
      </c>
      <c r="F1221" s="6" t="s">
        <v>2226</v>
      </c>
      <c r="G1221" s="6" t="s">
        <v>2227</v>
      </c>
      <c r="H1221" s="7">
        <v>4320</v>
      </c>
      <c r="I1221" s="8">
        <f>SUMIF(Cargas!$C$6:$C$1064,C1221,Cargas!$O$6:$O$1064)</f>
        <v>4320</v>
      </c>
      <c r="J1221" s="17">
        <f t="shared" si="23"/>
        <v>0</v>
      </c>
      <c r="K1221" s="34">
        <v>1490093</v>
      </c>
      <c r="L1221" s="34">
        <v>918398</v>
      </c>
      <c r="M1221" s="0">
        <v>1</v>
      </c>
      <c r="N1221" s="0">
        <v>1</v>
      </c>
    </row>
    <row r="1222" hidden="1">
      <c r="B1222" s="64">
        <v>45417</v>
      </c>
      <c r="C1222" s="9" t="s">
        <v>247</v>
      </c>
      <c r="D1222" s="6" t="s">
        <v>2424</v>
      </c>
      <c r="E1222" s="6" t="s">
        <v>3789</v>
      </c>
      <c r="F1222" s="6" t="s">
        <v>2226</v>
      </c>
      <c r="G1222" s="6" t="s">
        <v>2227</v>
      </c>
      <c r="H1222" s="7">
        <v>4320</v>
      </c>
      <c r="I1222" s="8">
        <f>SUMIF(Cargas!$C$6:$C$1064,C1222,Cargas!$O$6:$O$1064)</f>
        <v>4320</v>
      </c>
      <c r="J1222" s="17">
        <f t="shared" si="23"/>
        <v>0</v>
      </c>
      <c r="K1222" s="34">
        <v>1490763</v>
      </c>
      <c r="L1222" s="34">
        <v>96263</v>
      </c>
      <c r="M1222" s="0">
        <v>1</v>
      </c>
    </row>
    <row r="1223" hidden="1">
      <c r="B1223" s="64">
        <v>45424</v>
      </c>
      <c r="C1223" s="9" t="s">
        <v>257</v>
      </c>
      <c r="D1223" s="6" t="s">
        <v>2432</v>
      </c>
      <c r="E1223" s="6" t="s">
        <v>3789</v>
      </c>
      <c r="F1223" s="6" t="s">
        <v>2226</v>
      </c>
      <c r="G1223" s="6" t="s">
        <v>2227</v>
      </c>
      <c r="H1223" s="7">
        <v>2160</v>
      </c>
      <c r="I1223" s="8">
        <f>SUMIF(Cargas!$C$6:$C$1064,C1223,Cargas!$O$6:$O$1064)</f>
        <v>2160</v>
      </c>
      <c r="J1223" s="17">
        <f t="shared" si="23"/>
        <v>0</v>
      </c>
      <c r="K1223" s="34">
        <v>1491326</v>
      </c>
      <c r="L1223" s="34">
        <v>10610</v>
      </c>
      <c r="M1223" s="0">
        <v>1</v>
      </c>
    </row>
    <row r="1224" hidden="1">
      <c r="B1224" s="64">
        <v>45431</v>
      </c>
      <c r="C1224" s="9" t="s">
        <v>280</v>
      </c>
      <c r="D1224" s="6" t="s">
        <v>2436</v>
      </c>
      <c r="E1224" s="6" t="s">
        <v>3789</v>
      </c>
      <c r="F1224" s="6" t="s">
        <v>2226</v>
      </c>
      <c r="G1224" s="6" t="s">
        <v>2227</v>
      </c>
      <c r="H1224" s="7">
        <v>2160</v>
      </c>
      <c r="I1224" s="8">
        <f>SUMIF(Cargas!$C$6:$C$1064,C1224,Cargas!$O$6:$O$1064)</f>
        <v>2160</v>
      </c>
      <c r="J1224" s="17">
        <f t="shared" si="23"/>
        <v>0</v>
      </c>
      <c r="K1224" s="34">
        <v>1491326</v>
      </c>
      <c r="L1224" s="34">
        <v>108649</v>
      </c>
      <c r="M1224" s="0">
        <v>1</v>
      </c>
      <c r="N1224" s="0">
        <v>1</v>
      </c>
    </row>
    <row r="1225" hidden="1">
      <c r="B1225" s="64">
        <v>45440</v>
      </c>
      <c r="C1225" s="9" t="s">
        <v>284</v>
      </c>
      <c r="D1225" s="6" t="s">
        <v>2848</v>
      </c>
      <c r="E1225" s="6" t="s">
        <v>3789</v>
      </c>
      <c r="F1225" s="6" t="s">
        <v>2226</v>
      </c>
      <c r="G1225" s="6" t="s">
        <v>2227</v>
      </c>
      <c r="H1225" s="7">
        <v>2160</v>
      </c>
      <c r="I1225" s="8">
        <f>SUMIF(Cargas!$C$6:$C$1064,C1225,Cargas!$O$6:$O$1064)</f>
        <v>2160</v>
      </c>
      <c r="J1225" s="17">
        <f t="shared" si="23"/>
        <v>0</v>
      </c>
      <c r="K1225" s="34">
        <v>1492888</v>
      </c>
      <c r="L1225" s="34">
        <v>113646</v>
      </c>
      <c r="M1225" s="0">
        <v>1</v>
      </c>
      <c r="N1225" s="0">
        <v>1</v>
      </c>
    </row>
    <row r="1226" hidden="1" ht="2.25" customHeight="1">
      <c r="B1226" s="64">
        <v>45440</v>
      </c>
      <c r="C1226" s="9" t="s">
        <v>286</v>
      </c>
      <c r="D1226" s="6" t="s">
        <v>2462</v>
      </c>
      <c r="E1226" s="6" t="s">
        <v>3789</v>
      </c>
      <c r="F1226" s="6" t="s">
        <v>2226</v>
      </c>
      <c r="G1226" s="6" t="s">
        <v>2227</v>
      </c>
      <c r="H1226" s="7">
        <v>2160</v>
      </c>
      <c r="I1226" s="8">
        <f>SUMIF(Cargas!$C$6:$C$1064,C1226,Cargas!$O$6:$O$1064)</f>
        <v>2160</v>
      </c>
      <c r="J1226" s="17">
        <f t="shared" si="23"/>
        <v>0</v>
      </c>
      <c r="K1226" s="34">
        <v>1492890</v>
      </c>
      <c r="L1226" s="34">
        <v>113995</v>
      </c>
      <c r="M1226" s="0">
        <v>1</v>
      </c>
      <c r="N1226" s="0">
        <v>1</v>
      </c>
    </row>
    <row r="1227" hidden="1">
      <c r="B1227" s="64">
        <v>45447</v>
      </c>
      <c r="C1227" s="9" t="s">
        <v>292</v>
      </c>
      <c r="D1227" s="6" t="s">
        <v>2473</v>
      </c>
      <c r="E1227" s="6" t="s">
        <v>3789</v>
      </c>
      <c r="F1227" s="6" t="s">
        <v>2226</v>
      </c>
      <c r="G1227" s="6" t="s">
        <v>2227</v>
      </c>
      <c r="H1227" s="7">
        <v>2160</v>
      </c>
      <c r="I1227" s="8">
        <f>SUMIF(Cargas!$C$6:$C$1064,C1227,Cargas!$O$6:$O$1064)</f>
        <v>2160</v>
      </c>
      <c r="J1227" s="17">
        <f t="shared" si="23"/>
        <v>0</v>
      </c>
      <c r="K1227" s="34">
        <v>1493361</v>
      </c>
      <c r="L1227" s="34">
        <v>118303</v>
      </c>
      <c r="M1227" s="0">
        <v>1</v>
      </c>
    </row>
    <row r="1228" hidden="1">
      <c r="B1228" s="64">
        <v>45447</v>
      </c>
      <c r="C1228" s="9" t="s">
        <v>295</v>
      </c>
      <c r="D1228" s="6" t="s">
        <v>2482</v>
      </c>
      <c r="E1228" s="6" t="s">
        <v>3789</v>
      </c>
      <c r="F1228" s="6" t="s">
        <v>2226</v>
      </c>
      <c r="G1228" s="6" t="s">
        <v>2227</v>
      </c>
      <c r="H1228" s="7">
        <v>2160</v>
      </c>
      <c r="I1228" s="8">
        <f>SUMIF(Cargas!$C$6:$C$1064,C1228,Cargas!$O$6:$O$1064)</f>
        <v>2160</v>
      </c>
      <c r="J1228" s="17">
        <f t="shared" si="23"/>
        <v>0</v>
      </c>
      <c r="K1228" s="34">
        <v>1493359</v>
      </c>
      <c r="L1228" s="34">
        <v>119310</v>
      </c>
      <c r="M1228" s="0">
        <v>1</v>
      </c>
    </row>
    <row r="1229" hidden="1">
      <c r="B1229" s="64">
        <v>45454</v>
      </c>
      <c r="C1229" s="9" t="s">
        <v>300</v>
      </c>
      <c r="D1229" s="6" t="s">
        <v>2488</v>
      </c>
      <c r="E1229" s="6" t="s">
        <v>3789</v>
      </c>
      <c r="F1229" s="6" t="s">
        <v>2226</v>
      </c>
      <c r="G1229" s="6" t="s">
        <v>2227</v>
      </c>
      <c r="H1229" s="7">
        <v>2160</v>
      </c>
      <c r="I1229" s="8">
        <f>SUMIF(Cargas!$C$6:$C$1064,C1229,Cargas!$O$6:$O$1064)</f>
        <v>2160</v>
      </c>
      <c r="J1229" s="17">
        <f t="shared" si="23"/>
        <v>0</v>
      </c>
      <c r="K1229" s="34">
        <v>1493867</v>
      </c>
      <c r="L1229" s="34">
        <v>128832</v>
      </c>
      <c r="M1229" s="0">
        <v>1</v>
      </c>
    </row>
    <row r="1230" hidden="1">
      <c r="B1230" s="64">
        <v>45454</v>
      </c>
      <c r="C1230" s="9" t="s">
        <v>306</v>
      </c>
      <c r="D1230" s="6" t="s">
        <v>2496</v>
      </c>
      <c r="E1230" s="6" t="s">
        <v>3789</v>
      </c>
      <c r="F1230" s="6" t="s">
        <v>2226</v>
      </c>
      <c r="G1230" s="6" t="s">
        <v>2227</v>
      </c>
      <c r="H1230" s="7">
        <v>2160</v>
      </c>
      <c r="I1230" s="8">
        <f>SUMIF(Cargas!$C$6:$C$1064,C1230,Cargas!$O$6:$O$1064)</f>
        <v>2160</v>
      </c>
      <c r="J1230" s="17">
        <f t="shared" si="23"/>
        <v>0</v>
      </c>
      <c r="K1230" s="34">
        <v>1493868</v>
      </c>
      <c r="L1230" s="34">
        <v>12582</v>
      </c>
      <c r="M1230" s="0">
        <v>1</v>
      </c>
    </row>
    <row r="1231" hidden="1">
      <c r="B1231" s="64">
        <v>45461</v>
      </c>
      <c r="C1231" s="9" t="s">
        <v>321</v>
      </c>
      <c r="D1231" s="6" t="s">
        <v>2506</v>
      </c>
      <c r="E1231" s="6" t="s">
        <v>3789</v>
      </c>
      <c r="F1231" s="6" t="s">
        <v>2226</v>
      </c>
      <c r="G1231" s="6" t="s">
        <v>2227</v>
      </c>
      <c r="H1231" s="7">
        <v>2160</v>
      </c>
      <c r="I1231" s="8">
        <f>SUMIF(Cargas!$C$6:$C$1064,C1231,Cargas!$O$6:$O$1064)</f>
        <v>2160</v>
      </c>
      <c r="J1231" s="17">
        <f t="shared" si="23"/>
        <v>0</v>
      </c>
      <c r="K1231" s="34">
        <v>1495355</v>
      </c>
      <c r="L1231" s="34">
        <v>132667</v>
      </c>
      <c r="M1231" s="0">
        <v>1</v>
      </c>
    </row>
    <row r="1232" hidden="1">
      <c r="B1232" s="64">
        <v>45461</v>
      </c>
      <c r="C1232" s="9" t="s">
        <v>322</v>
      </c>
      <c r="D1232" s="6" t="s">
        <v>2512</v>
      </c>
      <c r="E1232" s="6" t="s">
        <v>3789</v>
      </c>
      <c r="F1232" s="6" t="s">
        <v>2226</v>
      </c>
      <c r="G1232" s="6" t="s">
        <v>2227</v>
      </c>
      <c r="H1232" s="7">
        <v>2160</v>
      </c>
      <c r="I1232" s="8">
        <f>SUMIF(Cargas!$C$6:$C$1064,C1232,Cargas!$O$6:$O$1064)</f>
        <v>2160</v>
      </c>
      <c r="J1232" s="17">
        <f t="shared" si="23"/>
        <v>0</v>
      </c>
      <c r="K1232" s="34">
        <v>1495354</v>
      </c>
      <c r="L1232" s="34">
        <v>132543</v>
      </c>
      <c r="M1232" s="0">
        <v>1</v>
      </c>
    </row>
    <row r="1233" hidden="1">
      <c r="B1233" s="64">
        <v>45466</v>
      </c>
      <c r="C1233" s="9" t="s">
        <v>350</v>
      </c>
      <c r="D1233" s="6" t="s">
        <v>3799</v>
      </c>
      <c r="E1233" s="6" t="s">
        <v>3789</v>
      </c>
      <c r="F1233" s="6" t="s">
        <v>2226</v>
      </c>
      <c r="G1233" s="6" t="s">
        <v>2227</v>
      </c>
      <c r="H1233" s="7">
        <v>1080</v>
      </c>
      <c r="I1233" s="8">
        <f>SUMIF(Cargas!$C$6:$C$1064,C1233,Cargas!$O$6:$O$1064)</f>
        <v>1080</v>
      </c>
      <c r="J1233" s="17">
        <f t="shared" si="23"/>
        <v>0</v>
      </c>
      <c r="K1233" s="34">
        <v>1494992</v>
      </c>
      <c r="L1233" s="34">
        <v>135886</v>
      </c>
      <c r="M1233" s="0">
        <v>1</v>
      </c>
      <c r="N1233" s="0">
        <v>1</v>
      </c>
    </row>
    <row r="1234" hidden="1">
      <c r="B1234" s="64">
        <v>45471</v>
      </c>
      <c r="C1234" s="9" t="s">
        <v>362</v>
      </c>
      <c r="D1234" s="6" t="s">
        <v>3800</v>
      </c>
      <c r="E1234" s="6" t="s">
        <v>3789</v>
      </c>
      <c r="F1234" s="6" t="s">
        <v>2226</v>
      </c>
      <c r="G1234" s="6" t="s">
        <v>2227</v>
      </c>
      <c r="H1234" s="7">
        <v>1080</v>
      </c>
      <c r="I1234" s="8">
        <f>SUMIF(Cargas!$C$6:$C$1064,C1234,Cargas!$O$6:$O$1064)</f>
        <v>1080</v>
      </c>
      <c r="J1234" s="17">
        <f t="shared" si="23"/>
        <v>0</v>
      </c>
      <c r="K1234" s="34">
        <v>1495484</v>
      </c>
      <c r="L1234" s="34">
        <v>140354</v>
      </c>
      <c r="M1234" s="0">
        <v>1</v>
      </c>
      <c r="N1234" s="0">
        <v>1</v>
      </c>
    </row>
    <row r="1235" hidden="1">
      <c r="B1235" s="64">
        <v>45466</v>
      </c>
      <c r="C1235" s="9" t="s">
        <v>348</v>
      </c>
      <c r="D1235" s="6" t="s">
        <v>2534</v>
      </c>
      <c r="E1235" s="6" t="s">
        <v>3789</v>
      </c>
      <c r="F1235" s="6" t="s">
        <v>2226</v>
      </c>
      <c r="G1235" s="6" t="s">
        <v>2227</v>
      </c>
      <c r="H1235" s="7">
        <v>2160</v>
      </c>
      <c r="I1235" s="8">
        <f>SUMIF(Cargas!$C$6:$C$1064,C1235,Cargas!$O$6:$O$1064)</f>
        <v>2160</v>
      </c>
      <c r="J1235" s="17">
        <f t="shared" si="23"/>
        <v>0</v>
      </c>
      <c r="K1235" s="34">
        <v>1494994</v>
      </c>
      <c r="L1235" s="34">
        <v>135965</v>
      </c>
      <c r="M1235" s="0">
        <v>1</v>
      </c>
      <c r="N1235" s="0">
        <v>1</v>
      </c>
    </row>
    <row r="1236" hidden="1">
      <c r="B1236" s="64">
        <v>45471</v>
      </c>
      <c r="C1236" s="9" t="s">
        <v>375</v>
      </c>
      <c r="D1236" s="6" t="s">
        <v>2548</v>
      </c>
      <c r="E1236" s="6" t="s">
        <v>3789</v>
      </c>
      <c r="F1236" s="6" t="s">
        <v>2226</v>
      </c>
      <c r="G1236" s="6" t="s">
        <v>2227</v>
      </c>
      <c r="H1236" s="7">
        <v>2160</v>
      </c>
      <c r="I1236" s="8">
        <f>SUMIF(Cargas!$C$6:$C$1064,C1236,Cargas!$O$6:$O$1064)</f>
        <v>2160</v>
      </c>
      <c r="J1236" s="17">
        <f t="shared" si="23"/>
        <v>0</v>
      </c>
      <c r="K1236" s="34">
        <v>1495484</v>
      </c>
      <c r="L1236" s="34">
        <v>142316</v>
      </c>
      <c r="M1236" s="0">
        <v>1</v>
      </c>
      <c r="N1236" s="0">
        <v>1</v>
      </c>
    </row>
    <row r="1237" hidden="1">
      <c r="B1237" s="64">
        <v>45471</v>
      </c>
      <c r="C1237" s="9" t="s">
        <v>378</v>
      </c>
      <c r="D1237" s="6" t="s">
        <v>2556</v>
      </c>
      <c r="E1237" s="6" t="s">
        <v>3789</v>
      </c>
      <c r="F1237" s="6" t="s">
        <v>2226</v>
      </c>
      <c r="G1237" s="6" t="s">
        <v>2227</v>
      </c>
      <c r="H1237" s="7">
        <v>2160</v>
      </c>
      <c r="I1237" s="8">
        <f>SUMIF(Cargas!$C$6:$C$1064,C1237,Cargas!$O$6:$O$1064)</f>
        <v>2160</v>
      </c>
      <c r="J1237" s="17">
        <f t="shared" si="23"/>
        <v>0</v>
      </c>
      <c r="K1237" s="34">
        <v>1495483</v>
      </c>
      <c r="L1237" s="34">
        <v>142355</v>
      </c>
      <c r="M1237" s="0">
        <v>1</v>
      </c>
      <c r="N1237" s="0">
        <v>1</v>
      </c>
    </row>
    <row r="1238" hidden="1">
      <c r="B1238" s="64">
        <v>45480</v>
      </c>
      <c r="C1238" s="9" t="s">
        <v>415</v>
      </c>
      <c r="D1238" s="6" t="s">
        <v>2564</v>
      </c>
      <c r="E1238" s="6" t="s">
        <v>3789</v>
      </c>
      <c r="F1238" s="6" t="s">
        <v>2226</v>
      </c>
      <c r="G1238" s="6" t="s">
        <v>2227</v>
      </c>
      <c r="H1238" s="7">
        <v>3240</v>
      </c>
      <c r="I1238" s="8">
        <f>SUMIF(Cargas!$C$6:$C$1064,C1238,Cargas!$O$6:$O$1064)</f>
        <v>3240</v>
      </c>
      <c r="J1238" s="17">
        <f t="shared" si="23"/>
        <v>0</v>
      </c>
      <c r="K1238" s="34">
        <v>1496154</v>
      </c>
      <c r="L1238" s="34">
        <v>146058</v>
      </c>
      <c r="N1238" s="0">
        <v>1</v>
      </c>
    </row>
    <row r="1239" hidden="1">
      <c r="B1239" s="64">
        <v>45491</v>
      </c>
      <c r="C1239" s="9" t="s">
        <v>424</v>
      </c>
      <c r="D1239" s="6" t="s">
        <v>2579</v>
      </c>
      <c r="E1239" s="6" t="s">
        <v>3789</v>
      </c>
      <c r="F1239" s="6" t="s">
        <v>2226</v>
      </c>
      <c r="G1239" s="6" t="s">
        <v>2227</v>
      </c>
      <c r="H1239" s="7">
        <v>3240</v>
      </c>
      <c r="I1239" s="8">
        <f>SUMIF(Cargas!$C$6:$C$1064,C1239,Cargas!$O$6:$O$1064)</f>
        <v>3240</v>
      </c>
      <c r="J1239" s="17">
        <f t="shared" si="23"/>
        <v>0</v>
      </c>
      <c r="K1239" s="34">
        <v>1496761</v>
      </c>
      <c r="L1239" s="34">
        <v>149099</v>
      </c>
      <c r="N1239" s="0">
        <v>1</v>
      </c>
    </row>
    <row r="1240" hidden="1">
      <c r="B1240" s="64">
        <v>45494</v>
      </c>
      <c r="C1240" s="9" t="s">
        <v>438</v>
      </c>
      <c r="D1240" s="6" t="s">
        <v>2592</v>
      </c>
      <c r="E1240" s="6" t="s">
        <v>3789</v>
      </c>
      <c r="F1240" s="6" t="s">
        <v>2226</v>
      </c>
      <c r="G1240" s="6" t="s">
        <v>2227</v>
      </c>
      <c r="H1240" s="7">
        <v>3240</v>
      </c>
      <c r="I1240" s="8">
        <f>SUMIF(Cargas!$C$6:$C$1064,C1240,Cargas!$O$6:$O$1064)</f>
        <v>3240</v>
      </c>
      <c r="J1240" s="17">
        <f t="shared" si="23"/>
        <v>0</v>
      </c>
      <c r="K1240" s="34">
        <v>1497292</v>
      </c>
      <c r="L1240" s="34">
        <v>156578</v>
      </c>
      <c r="N1240" s="0">
        <v>1</v>
      </c>
    </row>
    <row r="1241" hidden="1">
      <c r="B1241" s="64">
        <v>45501</v>
      </c>
      <c r="C1241" s="9" t="s">
        <v>449</v>
      </c>
      <c r="D1241" s="6" t="s">
        <v>2604</v>
      </c>
      <c r="E1241" s="6" t="s">
        <v>3789</v>
      </c>
      <c r="F1241" s="6" t="s">
        <v>2226</v>
      </c>
      <c r="G1241" s="6" t="s">
        <v>2227</v>
      </c>
      <c r="H1241" s="7">
        <v>2160</v>
      </c>
      <c r="I1241" s="8">
        <f>SUMIF(Cargas!$C$6:$C$1064,C1241,Cargas!$O$6:$O$1064)</f>
        <v>2160</v>
      </c>
      <c r="J1241" s="17">
        <f t="shared" si="23"/>
        <v>0</v>
      </c>
      <c r="K1241" s="34">
        <v>1498187</v>
      </c>
      <c r="L1241" s="34">
        <v>159799</v>
      </c>
      <c r="N1241" s="0">
        <v>1</v>
      </c>
    </row>
    <row r="1242" hidden="1">
      <c r="B1242" s="64">
        <v>45508</v>
      </c>
      <c r="C1242" s="9" t="s">
        <v>481</v>
      </c>
      <c r="D1242" s="6" t="s">
        <v>2612</v>
      </c>
      <c r="E1242" s="6" t="s">
        <v>3789</v>
      </c>
      <c r="F1242" s="6" t="s">
        <v>2226</v>
      </c>
      <c r="G1242" s="6" t="s">
        <v>2227</v>
      </c>
      <c r="H1242" s="7">
        <v>2160</v>
      </c>
      <c r="I1242" s="8">
        <f>SUMIF(Cargas!$C$6:$C$1064,C1242,Cargas!$O$6:$O$1064)</f>
        <v>2160</v>
      </c>
      <c r="J1242" s="17">
        <f t="shared" si="23"/>
        <v>0</v>
      </c>
      <c r="K1242" s="34">
        <v>1498785</v>
      </c>
      <c r="L1242" s="34">
        <v>166717</v>
      </c>
    </row>
    <row r="1243" hidden="1">
      <c r="B1243" s="64">
        <v>45508</v>
      </c>
      <c r="C1243" s="9" t="s">
        <v>489</v>
      </c>
      <c r="D1243" s="6" t="s">
        <v>2622</v>
      </c>
      <c r="E1243" s="6" t="s">
        <v>3789</v>
      </c>
      <c r="F1243" s="6" t="s">
        <v>2226</v>
      </c>
      <c r="G1243" s="6" t="s">
        <v>2227</v>
      </c>
      <c r="H1243" s="7">
        <v>2160</v>
      </c>
      <c r="I1243" s="8">
        <f>SUMIF(Cargas!$C$6:$C$1064,C1243,Cargas!$O$6:$O$1064)</f>
        <v>2160</v>
      </c>
      <c r="J1243" s="17">
        <f t="shared" si="23"/>
        <v>0</v>
      </c>
      <c r="K1243" s="34">
        <v>1498962</v>
      </c>
      <c r="L1243" s="34">
        <v>167582</v>
      </c>
    </row>
    <row r="1244" hidden="1">
      <c r="B1244" s="64">
        <v>45524</v>
      </c>
      <c r="C1244" s="9" t="s">
        <v>509</v>
      </c>
      <c r="D1244" s="6" t="s">
        <v>2630</v>
      </c>
      <c r="E1244" s="6" t="s">
        <v>3789</v>
      </c>
      <c r="F1244" s="6" t="s">
        <v>2226</v>
      </c>
      <c r="G1244" s="6" t="s">
        <v>2227</v>
      </c>
      <c r="H1244" s="7">
        <v>3240</v>
      </c>
      <c r="I1244" s="8">
        <f>SUMIF(Cargas!$C$6:$C$1064,C1244,Cargas!$O$6:$O$1064)</f>
        <v>3240</v>
      </c>
      <c r="J1244" s="17">
        <f t="shared" si="23"/>
        <v>0</v>
      </c>
      <c r="K1244" s="34">
        <v>1499845</v>
      </c>
      <c r="L1244" s="34">
        <v>174355</v>
      </c>
    </row>
    <row r="1245" hidden="1">
      <c r="B1245" s="64">
        <v>45529</v>
      </c>
      <c r="C1245" s="9" t="s">
        <v>531</v>
      </c>
      <c r="D1245" s="6" t="s">
        <v>2632</v>
      </c>
      <c r="E1245" s="6" t="s">
        <v>3789</v>
      </c>
      <c r="F1245" s="6" t="s">
        <v>2226</v>
      </c>
      <c r="G1245" s="6" t="s">
        <v>2227</v>
      </c>
      <c r="H1245" s="7">
        <v>2160</v>
      </c>
      <c r="I1245" s="8">
        <f>SUMIF(Cargas!$C$6:$C$1064,C1245,Cargas!$O$6:$O$1064)</f>
        <v>2160</v>
      </c>
      <c r="J1245" s="17">
        <f t="shared" si="23"/>
        <v>0</v>
      </c>
      <c r="K1245" s="34">
        <v>1500769</v>
      </c>
      <c r="L1245" s="34">
        <v>178796</v>
      </c>
    </row>
    <row r="1246" hidden="1">
      <c r="B1246" s="64">
        <v>45529</v>
      </c>
      <c r="C1246" s="9" t="s">
        <v>524</v>
      </c>
      <c r="D1246" s="6" t="s">
        <v>2647</v>
      </c>
      <c r="E1246" s="6" t="s">
        <v>3789</v>
      </c>
      <c r="F1246" s="6" t="s">
        <v>2226</v>
      </c>
      <c r="G1246" s="6" t="s">
        <v>2227</v>
      </c>
      <c r="H1246" s="7">
        <v>1080</v>
      </c>
      <c r="I1246" s="8">
        <f>SUMIF(Cargas!$C$6:$C$1064,C1246,Cargas!$O$6:$O$1064)</f>
        <v>1080</v>
      </c>
      <c r="J1246" s="17">
        <f t="shared" si="23"/>
        <v>0</v>
      </c>
      <c r="K1246" s="34">
        <v>1500771</v>
      </c>
      <c r="L1246" s="34">
        <v>177577</v>
      </c>
    </row>
    <row r="1247" hidden="1">
      <c r="B1247" s="64">
        <v>45536</v>
      </c>
      <c r="C1247" s="9" t="s">
        <v>547</v>
      </c>
      <c r="D1247" s="6" t="s">
        <v>2657</v>
      </c>
      <c r="E1247" s="6" t="s">
        <v>3789</v>
      </c>
      <c r="F1247" s="6" t="s">
        <v>2226</v>
      </c>
      <c r="G1247" s="6" t="s">
        <v>2227</v>
      </c>
      <c r="H1247" s="7">
        <v>2160</v>
      </c>
      <c r="I1247" s="8">
        <f>SUMIF(Cargas!$C$6:$C$1064,C1247,Cargas!$O$6:$O$1064)</f>
        <v>2160</v>
      </c>
      <c r="J1247" s="17">
        <f t="shared" si="23"/>
        <v>0</v>
      </c>
      <c r="K1247" s="34">
        <v>1501998</v>
      </c>
      <c r="L1247" s="34" t="s">
        <v>29</v>
      </c>
    </row>
    <row r="1248" hidden="1">
      <c r="B1248" s="64">
        <v>45536</v>
      </c>
      <c r="C1248" s="9" t="s">
        <v>548</v>
      </c>
      <c r="D1248" s="6" t="s">
        <v>2665</v>
      </c>
      <c r="E1248" s="6" t="s">
        <v>3789</v>
      </c>
      <c r="F1248" s="6" t="s">
        <v>2226</v>
      </c>
      <c r="G1248" s="6" t="s">
        <v>2227</v>
      </c>
      <c r="H1248" s="7">
        <v>1080</v>
      </c>
      <c r="I1248" s="8">
        <f>SUMIF(Cargas!$C$6:$C$1064,C1248,Cargas!$O$6:$O$1064)</f>
        <v>1080</v>
      </c>
      <c r="J1248" s="17">
        <f t="shared" si="23"/>
        <v>0</v>
      </c>
      <c r="K1248" s="34">
        <v>1501999</v>
      </c>
      <c r="L1248" s="34" t="s">
        <v>29</v>
      </c>
    </row>
    <row r="1249" hidden="1">
      <c r="B1249" s="64">
        <v>45543</v>
      </c>
      <c r="C1249" s="9" t="s">
        <v>562</v>
      </c>
      <c r="D1249" s="6" t="s">
        <v>2678</v>
      </c>
      <c r="E1249" s="6" t="s">
        <v>3789</v>
      </c>
      <c r="F1249" s="6" t="s">
        <v>2226</v>
      </c>
      <c r="G1249" s="6" t="s">
        <v>2227</v>
      </c>
      <c r="H1249" s="7">
        <v>2160</v>
      </c>
      <c r="I1249" s="8">
        <f>SUMIF(Cargas!$C$6:$C$1064,C1249,Cargas!$O$6:$O$1064)</f>
        <v>2160</v>
      </c>
      <c r="J1249" s="17">
        <f t="shared" si="23"/>
        <v>0</v>
      </c>
      <c r="K1249" s="34">
        <v>1502033</v>
      </c>
      <c r="L1249" s="34">
        <v>192246</v>
      </c>
    </row>
    <row r="1250" hidden="1">
      <c r="B1250" s="64">
        <v>45543</v>
      </c>
      <c r="C1250" s="9" t="s">
        <v>553</v>
      </c>
      <c r="D1250" s="6" t="s">
        <v>2688</v>
      </c>
      <c r="E1250" s="6" t="s">
        <v>3789</v>
      </c>
      <c r="F1250" s="6" t="s">
        <v>2226</v>
      </c>
      <c r="G1250" s="6" t="s">
        <v>2227</v>
      </c>
      <c r="H1250" s="7">
        <v>1080</v>
      </c>
      <c r="I1250" s="8">
        <f>SUMIF(Cargas!$C$6:$C$1064,C1250,Cargas!$O$6:$O$1064)</f>
        <v>1080</v>
      </c>
      <c r="J1250" s="17">
        <f t="shared" si="23"/>
        <v>0</v>
      </c>
      <c r="K1250" s="34">
        <v>1502034</v>
      </c>
      <c r="L1250" s="34">
        <v>191159</v>
      </c>
    </row>
    <row r="1251" hidden="1">
      <c r="B1251" s="64">
        <v>45550</v>
      </c>
      <c r="C1251" s="9" t="s">
        <v>565</v>
      </c>
      <c r="D1251" s="6" t="s">
        <v>2696</v>
      </c>
      <c r="E1251" s="6" t="s">
        <v>3789</v>
      </c>
      <c r="F1251" s="6" t="s">
        <v>2226</v>
      </c>
      <c r="G1251" s="6" t="s">
        <v>2227</v>
      </c>
      <c r="H1251" s="7">
        <v>2160</v>
      </c>
      <c r="I1251" s="8">
        <f>SUMIF(Cargas!$C$6:$C$1064,C1251,Cargas!$O$6:$O$1064)</f>
        <v>2160</v>
      </c>
      <c r="J1251" s="17">
        <f t="shared" si="23"/>
        <v>0</v>
      </c>
      <c r="K1251" s="34">
        <v>1502925</v>
      </c>
      <c r="L1251" s="34">
        <v>196037</v>
      </c>
    </row>
    <row r="1252" hidden="1">
      <c r="B1252" s="64">
        <v>45550</v>
      </c>
      <c r="C1252" s="9" t="s">
        <v>568</v>
      </c>
      <c r="D1252" s="6" t="s">
        <v>3801</v>
      </c>
      <c r="E1252" s="6" t="s">
        <v>3789</v>
      </c>
      <c r="F1252" s="6" t="s">
        <v>2226</v>
      </c>
      <c r="G1252" s="6" t="s">
        <v>2227</v>
      </c>
      <c r="H1252" s="7">
        <v>1080</v>
      </c>
      <c r="I1252" s="8">
        <f>SUMIF(Cargas!$C$6:$C$1064,C1252,Cargas!$O$6:$O$1064)</f>
        <v>1080</v>
      </c>
      <c r="J1252" s="17">
        <f t="shared" si="23"/>
        <v>0</v>
      </c>
      <c r="K1252" s="34">
        <v>1502926</v>
      </c>
      <c r="L1252" s="34">
        <v>196104</v>
      </c>
    </row>
    <row r="1253" hidden="1">
      <c r="B1253" s="64">
        <v>45557</v>
      </c>
      <c r="C1253" s="9" t="s">
        <v>607</v>
      </c>
      <c r="D1253" s="6" t="s">
        <v>3802</v>
      </c>
      <c r="E1253" s="6" t="s">
        <v>3789</v>
      </c>
      <c r="F1253" s="6" t="s">
        <v>2226</v>
      </c>
      <c r="G1253" s="6" t="s">
        <v>2227</v>
      </c>
      <c r="H1253" s="7">
        <v>2160</v>
      </c>
      <c r="I1253" s="8">
        <f>SUMIF(Cargas!$C$6:$C$1064,C1253,Cargas!$O$6:$O$1064)</f>
        <v>2160</v>
      </c>
      <c r="J1253" s="17">
        <f t="shared" si="23"/>
        <v>0</v>
      </c>
      <c r="K1253" s="34">
        <v>1503354</v>
      </c>
      <c r="L1253" s="34">
        <v>206756</v>
      </c>
    </row>
    <row r="1254" hidden="1">
      <c r="B1254" s="64">
        <v>45557</v>
      </c>
      <c r="C1254" s="9" t="s">
        <v>588</v>
      </c>
      <c r="D1254" s="6" t="s">
        <v>3803</v>
      </c>
      <c r="E1254" s="6" t="s">
        <v>3789</v>
      </c>
      <c r="F1254" s="6" t="s">
        <v>2226</v>
      </c>
      <c r="G1254" s="6" t="s">
        <v>2227</v>
      </c>
      <c r="H1254" s="7">
        <v>1080</v>
      </c>
      <c r="I1254" s="8">
        <f>SUMIF(Cargas!$C$6:$C$1064,C1254,Cargas!$O$6:$O$1064)</f>
        <v>1080</v>
      </c>
      <c r="J1254" s="17">
        <f t="shared" si="23"/>
        <v>0</v>
      </c>
      <c r="K1254" s="34">
        <v>1503355</v>
      </c>
      <c r="L1254" s="34">
        <v>202398</v>
      </c>
      <c r="N1254" s="0">
        <v>1</v>
      </c>
    </row>
    <row r="1255" hidden="1">
      <c r="B1255" s="64">
        <v>45614</v>
      </c>
      <c r="C1255" s="9" t="s">
        <v>838</v>
      </c>
      <c r="D1255" s="6" t="s">
        <v>3804</v>
      </c>
      <c r="E1255" s="6" t="s">
        <v>3766</v>
      </c>
      <c r="F1255" s="6" t="s">
        <v>2226</v>
      </c>
      <c r="G1255" s="6" t="s">
        <v>2227</v>
      </c>
      <c r="H1255" s="7">
        <v>4320</v>
      </c>
      <c r="I1255" s="8">
        <f>SUMIF(Cargas!$C$6:$C$1064,C1255,Cargas!$O$6:$O$1064)</f>
        <v>4320</v>
      </c>
      <c r="J1255" s="17">
        <f t="shared" si="23"/>
        <v>0</v>
      </c>
      <c r="K1255" s="34"/>
      <c r="L1255" s="34">
        <v>251005</v>
      </c>
    </row>
    <row r="1256" hidden="1">
      <c r="B1256" s="64">
        <v>45621</v>
      </c>
      <c r="C1256" s="9" t="s">
        <v>876</v>
      </c>
      <c r="D1256" s="6" t="s">
        <v>3805</v>
      </c>
      <c r="E1256" s="6" t="s">
        <v>3766</v>
      </c>
      <c r="F1256" s="6" t="s">
        <v>2226</v>
      </c>
      <c r="G1256" s="6" t="s">
        <v>2227</v>
      </c>
      <c r="H1256" s="7">
        <v>2160</v>
      </c>
      <c r="I1256" s="8">
        <f>SUMIF(Cargas!$C$6:$C$1064,C1256,Cargas!$O$6:$O$1064)</f>
        <v>2160</v>
      </c>
      <c r="J1256" s="17">
        <f t="shared" si="23"/>
        <v>0</v>
      </c>
      <c r="K1256" s="34"/>
      <c r="L1256" s="34">
        <v>257941</v>
      </c>
    </row>
    <row r="1257" hidden="1">
      <c r="B1257" s="64">
        <v>45652</v>
      </c>
      <c r="C1257" s="9" t="s">
        <v>903</v>
      </c>
      <c r="D1257" s="6" t="s">
        <v>3806</v>
      </c>
      <c r="E1257" s="6" t="s">
        <v>2559</v>
      </c>
      <c r="F1257" s="6" t="s">
        <v>978</v>
      </c>
      <c r="G1257" s="6" t="s">
        <v>2559</v>
      </c>
      <c r="H1257" s="7">
        <v>2208</v>
      </c>
      <c r="I1257" s="8">
        <f>SUMIF(Cargas!$C$6:$C$1064,C1257,Cargas!$O$6:$O$1064)</f>
        <v>2208</v>
      </c>
      <c r="J1257" s="17">
        <f t="shared" si="23"/>
        <v>0</v>
      </c>
      <c r="K1257" s="34"/>
      <c r="L1257" s="34">
        <v>265176</v>
      </c>
    </row>
    <row r="1258" hidden="1">
      <c r="B1258" s="64">
        <v>45649</v>
      </c>
      <c r="C1258" s="9" t="s">
        <v>914</v>
      </c>
      <c r="D1258" s="6" t="s">
        <v>3807</v>
      </c>
      <c r="E1258" s="6" t="s">
        <v>3498</v>
      </c>
      <c r="F1258" s="6" t="s">
        <v>978</v>
      </c>
      <c r="G1258" s="6" t="s">
        <v>3500</v>
      </c>
      <c r="H1258" s="7">
        <v>1000</v>
      </c>
      <c r="I1258" s="8">
        <f>SUMIF(Cargas!$C$6:$C$1064,C1258,Cargas!$O$6:$O$1064)</f>
        <v>1000</v>
      </c>
      <c r="J1258" s="17">
        <f ref="J1258:J1321" t="shared" si="24">IF(ABS(H1258-I1258)&lt;20,0,H1258-I1258)</f>
        <v>0</v>
      </c>
      <c r="K1258" s="34"/>
      <c r="L1258" s="34">
        <v>265324</v>
      </c>
    </row>
    <row r="1259" hidden="1">
      <c r="B1259" s="64">
        <v>45652</v>
      </c>
      <c r="C1259" s="9" t="s">
        <v>930</v>
      </c>
      <c r="D1259" s="6" t="s">
        <v>3808</v>
      </c>
      <c r="E1259" s="6" t="s">
        <v>2559</v>
      </c>
      <c r="F1259" s="6" t="s">
        <v>978</v>
      </c>
      <c r="G1259" s="6" t="s">
        <v>3809</v>
      </c>
      <c r="H1259" s="7">
        <v>1104</v>
      </c>
      <c r="I1259" s="8">
        <f>SUMIF(Cargas!$C$6:$C$1064,C1259,Cargas!$O$6:$O$1064)</f>
        <v>1104</v>
      </c>
      <c r="J1259" s="17">
        <f t="shared" si="24"/>
        <v>0</v>
      </c>
      <c r="K1259" s="34"/>
      <c r="L1259" s="34">
        <v>1281</v>
      </c>
    </row>
    <row r="1260" hidden="1">
      <c r="B1260" s="64">
        <v>45693</v>
      </c>
      <c r="C1260" s="9" t="s">
        <v>1049</v>
      </c>
      <c r="D1260" s="6" t="s">
        <v>2396</v>
      </c>
      <c r="E1260" s="6" t="s">
        <v>2559</v>
      </c>
      <c r="F1260" s="6" t="s">
        <v>978</v>
      </c>
      <c r="G1260" s="6" t="s">
        <v>2560</v>
      </c>
      <c r="H1260" s="7">
        <v>1104</v>
      </c>
      <c r="I1260" s="8">
        <f>SUMIF(Cargas!$C$6:$C$1064,C1260,Cargas!$O$6:$O$1064)</f>
        <v>1100</v>
      </c>
      <c r="J1260" s="17">
        <f t="shared" si="24"/>
        <v>0</v>
      </c>
      <c r="K1260" s="34"/>
      <c r="L1260" s="34">
        <v>32135</v>
      </c>
    </row>
    <row r="1261" hidden="1">
      <c r="B1261" s="64">
        <v>45696</v>
      </c>
      <c r="C1261" s="9" t="s">
        <v>1064</v>
      </c>
      <c r="D1261" s="6" t="s">
        <v>2583</v>
      </c>
      <c r="E1261" s="6" t="s">
        <v>3499</v>
      </c>
      <c r="F1261" s="6" t="s">
        <v>978</v>
      </c>
      <c r="G1261" s="6" t="s">
        <v>3500</v>
      </c>
      <c r="H1261" s="7">
        <v>2200</v>
      </c>
      <c r="I1261" s="8">
        <f>SUMIF(Cargas!$C$6:$C$1064,C1261,Cargas!$O$6:$O$1064)</f>
        <v>2200</v>
      </c>
      <c r="J1261" s="17">
        <f t="shared" si="24"/>
        <v>0</v>
      </c>
      <c r="K1261" s="34"/>
      <c r="L1261" s="34">
        <v>36277</v>
      </c>
    </row>
    <row r="1262" hidden="1">
      <c r="B1262" s="64">
        <v>45706</v>
      </c>
      <c r="C1262" s="9" t="s">
        <v>1080</v>
      </c>
      <c r="D1262" s="6" t="s">
        <v>2588</v>
      </c>
      <c r="E1262" s="6" t="s">
        <v>3499</v>
      </c>
      <c r="F1262" s="6" t="s">
        <v>978</v>
      </c>
      <c r="G1262" s="6" t="s">
        <v>3500</v>
      </c>
      <c r="H1262" s="7">
        <v>1100</v>
      </c>
      <c r="I1262" s="8">
        <f>SUMIF(Cargas!$C$6:$C$1064,C1262,Cargas!$O$6:$O$1064)</f>
        <v>1100</v>
      </c>
      <c r="J1262" s="17">
        <f t="shared" si="24"/>
        <v>0</v>
      </c>
      <c r="K1262" s="34"/>
      <c r="L1262" s="34">
        <v>39747</v>
      </c>
    </row>
    <row r="1263" hidden="1">
      <c r="B1263" s="64">
        <v>45707</v>
      </c>
      <c r="C1263" s="9" t="s">
        <v>1077</v>
      </c>
      <c r="D1263" s="6" t="s">
        <v>2594</v>
      </c>
      <c r="E1263" s="6" t="s">
        <v>2559</v>
      </c>
      <c r="F1263" s="6" t="s">
        <v>978</v>
      </c>
      <c r="G1263" s="6" t="s">
        <v>2560</v>
      </c>
      <c r="H1263" s="7">
        <v>2208</v>
      </c>
      <c r="I1263" s="8">
        <f>SUMIF(Cargas!$C$6:$C$1064,C1263,Cargas!$O$6:$O$1064)</f>
        <v>2208</v>
      </c>
      <c r="J1263" s="17">
        <f t="shared" si="24"/>
        <v>0</v>
      </c>
      <c r="K1263" s="34"/>
      <c r="L1263" s="34">
        <v>39710</v>
      </c>
    </row>
    <row r="1264" hidden="1">
      <c r="B1264" s="64">
        <v>45723</v>
      </c>
      <c r="C1264" s="9" t="s">
        <v>1118</v>
      </c>
      <c r="D1264" s="6" t="s">
        <v>2682</v>
      </c>
      <c r="E1264" s="6" t="s">
        <v>3499</v>
      </c>
      <c r="F1264" s="6" t="s">
        <v>978</v>
      </c>
      <c r="G1264" s="6" t="s">
        <v>3500</v>
      </c>
      <c r="H1264" s="7">
        <v>1100</v>
      </c>
      <c r="I1264" s="8">
        <f>SUMIF(Cargas!$C$6:$C$1064,C1264,Cargas!$O$6:$O$1064)</f>
        <v>1104</v>
      </c>
      <c r="J1264" s="17">
        <f t="shared" si="24"/>
        <v>0</v>
      </c>
      <c r="K1264" s="34"/>
      <c r="L1264" s="34">
        <v>50739</v>
      </c>
    </row>
    <row r="1265" hidden="1" ht="15.75">
      <c r="B1265" s="64">
        <v>45659</v>
      </c>
      <c r="C1265" s="9" t="s">
        <v>946</v>
      </c>
      <c r="D1265" s="6" t="s">
        <v>3294</v>
      </c>
      <c r="E1265" s="6" t="s">
        <v>3261</v>
      </c>
      <c r="F1265" s="6" t="s">
        <v>2226</v>
      </c>
      <c r="G1265" s="6" t="s">
        <v>2258</v>
      </c>
      <c r="H1265" s="7">
        <v>7920</v>
      </c>
      <c r="I1265" s="8">
        <f>SUMIF(Cargas!$C$6:$C$1064,C1265,Cargas!$O$6:$O$1064)</f>
        <v>7920</v>
      </c>
      <c r="J1265" s="17">
        <f t="shared" si="24"/>
        <v>0</v>
      </c>
      <c r="K1265" s="34"/>
      <c r="L1265" s="119">
        <v>2269</v>
      </c>
    </row>
    <row r="1266" hidden="1" ht="15.75">
      <c r="B1266" s="64">
        <v>45659</v>
      </c>
      <c r="C1266" s="9" t="s">
        <v>973</v>
      </c>
      <c r="D1266" s="6" t="s">
        <v>3297</v>
      </c>
      <c r="E1266" s="6" t="s">
        <v>3261</v>
      </c>
      <c r="F1266" s="6" t="s">
        <v>2226</v>
      </c>
      <c r="G1266" s="6" t="s">
        <v>2258</v>
      </c>
      <c r="H1266" s="7">
        <v>7920</v>
      </c>
      <c r="I1266" s="8">
        <f>SUMIF(Cargas!$C$6:$C$1064,C1266,Cargas!$O$6:$O$1064)</f>
        <v>7920</v>
      </c>
      <c r="J1266" s="17">
        <f t="shared" si="24"/>
        <v>0</v>
      </c>
      <c r="K1266" s="34"/>
      <c r="L1266" s="119" t="s">
        <v>29</v>
      </c>
    </row>
    <row r="1267" hidden="1" ht="15.75">
      <c r="B1267" s="64">
        <v>45701</v>
      </c>
      <c r="C1267" s="9" t="s">
        <v>1051</v>
      </c>
      <c r="D1267" s="6" t="s">
        <v>3298</v>
      </c>
      <c r="E1267" s="6" t="s">
        <v>3261</v>
      </c>
      <c r="F1267" s="6" t="s">
        <v>2226</v>
      </c>
      <c r="G1267" s="6" t="s">
        <v>3493</v>
      </c>
      <c r="H1267" s="7">
        <v>7920</v>
      </c>
      <c r="I1267" s="8">
        <f>SUMIF(Cargas!$C$6:$C$1064,C1267,Cargas!$O$6:$O$1064)</f>
        <v>7920</v>
      </c>
      <c r="J1267" s="17">
        <f t="shared" si="24"/>
        <v>0</v>
      </c>
      <c r="K1267" s="34"/>
      <c r="L1267" s="119">
        <v>33399</v>
      </c>
    </row>
    <row r="1268" hidden="1" ht="15.75">
      <c r="B1268" s="64">
        <v>45734</v>
      </c>
      <c r="C1268" s="9" t="s">
        <v>1142</v>
      </c>
      <c r="D1268" s="6" t="s">
        <v>2373</v>
      </c>
      <c r="E1268" s="6" t="s">
        <v>3261</v>
      </c>
      <c r="F1268" s="6" t="s">
        <v>2226</v>
      </c>
      <c r="G1268" s="6" t="s">
        <v>3493</v>
      </c>
      <c r="H1268" s="7">
        <v>2288</v>
      </c>
      <c r="I1268" s="8">
        <f>SUMIF(Cargas!$C$6:$C$1064,C1268,Cargas!$O$6:$O$1064)</f>
        <v>2288</v>
      </c>
      <c r="J1268" s="17">
        <f t="shared" si="24"/>
        <v>0</v>
      </c>
      <c r="K1268" s="34"/>
      <c r="L1268" s="119">
        <v>58447</v>
      </c>
    </row>
    <row r="1269" hidden="1" ht="15.75">
      <c r="B1269" s="64">
        <v>45756</v>
      </c>
      <c r="C1269" s="9" t="s">
        <v>1198</v>
      </c>
      <c r="D1269" s="6" t="s">
        <v>2376</v>
      </c>
      <c r="E1269" s="6" t="s">
        <v>3418</v>
      </c>
      <c r="F1269" s="6" t="s">
        <v>2226</v>
      </c>
      <c r="G1269" s="6" t="s">
        <v>2258</v>
      </c>
      <c r="H1269" s="7">
        <v>2304</v>
      </c>
      <c r="I1269" s="8">
        <f>SUMIF(Cargas!$C$6:$C$1064,C1269,Cargas!$O$6:$O$1064)</f>
        <v>2304</v>
      </c>
      <c r="J1269" s="17">
        <f t="shared" si="24"/>
        <v>0</v>
      </c>
      <c r="K1269" s="34"/>
      <c r="L1269" s="119">
        <v>71145</v>
      </c>
    </row>
    <row r="1270" hidden="1">
      <c r="B1270" s="64">
        <v>45632</v>
      </c>
      <c r="C1270" s="9" t="s">
        <v>841</v>
      </c>
      <c r="D1270" s="6" t="s">
        <v>3810</v>
      </c>
      <c r="E1270" s="6" t="s">
        <v>3516</v>
      </c>
      <c r="F1270" s="6" t="s">
        <v>2226</v>
      </c>
      <c r="G1270" s="6" t="s">
        <v>3493</v>
      </c>
      <c r="H1270" s="7">
        <f>1280+1472</f>
        <v>2752</v>
      </c>
      <c r="I1270" s="8">
        <f>SUMIF(Cargas!$C$6:$C$1064,C1270,Cargas!$O$6:$O$1064)</f>
        <v>2752</v>
      </c>
      <c r="J1270" s="17">
        <f t="shared" si="24"/>
        <v>0</v>
      </c>
      <c r="K1270" s="34"/>
      <c r="L1270" s="34">
        <v>250826</v>
      </c>
    </row>
    <row r="1271" hidden="1" ht="15.75">
      <c r="B1271" s="64">
        <v>45663</v>
      </c>
      <c r="C1271" s="9" t="s">
        <v>945</v>
      </c>
      <c r="D1271" s="6" t="s">
        <v>2256</v>
      </c>
      <c r="E1271" s="6" t="s">
        <v>2712</v>
      </c>
      <c r="F1271" s="6" t="s">
        <v>2226</v>
      </c>
      <c r="G1271" s="6" t="s">
        <v>401</v>
      </c>
      <c r="H1271" s="7">
        <v>2112</v>
      </c>
      <c r="I1271" s="8">
        <f>SUMIF(Cargas!$C$6:$C$1064,C1271,Cargas!$O$6:$O$1064)</f>
        <v>2112</v>
      </c>
      <c r="J1271" s="17">
        <f t="shared" si="24"/>
        <v>0</v>
      </c>
      <c r="K1271" s="34"/>
      <c r="L1271" s="119">
        <v>2346</v>
      </c>
    </row>
    <row r="1272" hidden="1" ht="15.75">
      <c r="B1272" s="64">
        <v>45652</v>
      </c>
      <c r="C1272" s="9" t="s">
        <v>948</v>
      </c>
      <c r="D1272" s="6" t="s">
        <v>2281</v>
      </c>
      <c r="E1272" s="6" t="s">
        <v>2712</v>
      </c>
      <c r="F1272" s="6" t="s">
        <v>2226</v>
      </c>
      <c r="G1272" s="6" t="s">
        <v>2282</v>
      </c>
      <c r="H1272" s="7">
        <v>2112</v>
      </c>
      <c r="I1272" s="8">
        <f>SUMIF(Cargas!$C$6:$C$1064,C1272,Cargas!$O$6:$O$1064)</f>
        <v>2112</v>
      </c>
      <c r="J1272" s="17">
        <f t="shared" si="24"/>
        <v>0</v>
      </c>
      <c r="K1272" s="34"/>
      <c r="L1272" s="119">
        <v>5481</v>
      </c>
    </row>
    <row r="1273" hidden="1" ht="15.75">
      <c r="B1273" s="64">
        <v>45671</v>
      </c>
      <c r="C1273" s="9" t="s">
        <v>960</v>
      </c>
      <c r="D1273" s="6" t="s">
        <v>2301</v>
      </c>
      <c r="E1273" s="6" t="s">
        <v>2712</v>
      </c>
      <c r="F1273" s="6" t="s">
        <v>2226</v>
      </c>
      <c r="G1273" s="6" t="s">
        <v>2258</v>
      </c>
      <c r="H1273" s="7">
        <v>2112</v>
      </c>
      <c r="I1273" s="8">
        <f>SUMIF(Cargas!$C$6:$C$1064,C1273,Cargas!$O$6:$O$1064)</f>
        <v>2112</v>
      </c>
      <c r="J1273" s="17">
        <f t="shared" si="24"/>
        <v>0</v>
      </c>
      <c r="K1273" s="34"/>
      <c r="L1273" s="119">
        <v>10677</v>
      </c>
    </row>
    <row r="1274" hidden="1" ht="15.75">
      <c r="B1274" s="64">
        <v>45674</v>
      </c>
      <c r="C1274" s="9" t="s">
        <v>961</v>
      </c>
      <c r="D1274" s="6" t="s">
        <v>962</v>
      </c>
      <c r="E1274" s="6" t="s">
        <v>2871</v>
      </c>
      <c r="F1274" s="6" t="s">
        <v>2226</v>
      </c>
      <c r="G1274" s="6" t="s">
        <v>3493</v>
      </c>
      <c r="H1274" s="7">
        <v>1936</v>
      </c>
      <c r="I1274" s="8">
        <v>1936</v>
      </c>
      <c r="J1274" s="17">
        <f t="shared" si="24"/>
        <v>0</v>
      </c>
      <c r="K1274" s="34"/>
      <c r="L1274" s="119">
        <v>11567</v>
      </c>
    </row>
    <row r="1275" hidden="1">
      <c r="B1275" s="64">
        <v>45679</v>
      </c>
      <c r="C1275" s="9" t="s">
        <v>972</v>
      </c>
      <c r="D1275" s="6" t="s">
        <v>2412</v>
      </c>
      <c r="E1275" s="6" t="s">
        <v>2712</v>
      </c>
      <c r="F1275" s="6" t="s">
        <v>2226</v>
      </c>
      <c r="G1275" s="6" t="s">
        <v>2282</v>
      </c>
      <c r="H1275" s="7">
        <v>2112</v>
      </c>
      <c r="I1275" s="8">
        <f>SUMIF(Cargas!$C$6:$C$1064,C1275,Cargas!$O$6:$O$1064)</f>
        <v>2112</v>
      </c>
      <c r="J1275" s="17">
        <f t="shared" si="24"/>
        <v>0</v>
      </c>
      <c r="K1275" s="34"/>
      <c r="L1275" s="34" t="s">
        <v>29</v>
      </c>
    </row>
    <row r="1276" hidden="1">
      <c r="B1276" s="64">
        <v>45682</v>
      </c>
      <c r="C1276" s="9" t="s">
        <v>987</v>
      </c>
      <c r="D1276" s="6" t="s">
        <v>2544</v>
      </c>
      <c r="E1276" s="6" t="s">
        <v>2871</v>
      </c>
      <c r="F1276" s="6" t="s">
        <v>2226</v>
      </c>
      <c r="G1276" s="6" t="s">
        <v>2258</v>
      </c>
      <c r="H1276" s="7">
        <v>1936</v>
      </c>
      <c r="I1276" s="8">
        <f>SUMIF(Cargas!$C$6:$C$1064,C1276,Cargas!$O$6:$O$1064)</f>
        <v>1936</v>
      </c>
      <c r="J1276" s="17">
        <f t="shared" si="24"/>
        <v>0</v>
      </c>
      <c r="K1276" s="34">
        <v>1515604</v>
      </c>
      <c r="L1276" s="34" t="s">
        <v>29</v>
      </c>
    </row>
    <row r="1277" hidden="1">
      <c r="B1277" s="64">
        <v>45691</v>
      </c>
      <c r="C1277" s="9" t="s">
        <v>1014</v>
      </c>
      <c r="D1277" s="6" t="s">
        <v>2620</v>
      </c>
      <c r="E1277" s="6" t="s">
        <v>2712</v>
      </c>
      <c r="F1277" s="6" t="s">
        <v>2226</v>
      </c>
      <c r="G1277" s="6" t="s">
        <v>2282</v>
      </c>
      <c r="H1277" s="7">
        <v>2112</v>
      </c>
      <c r="I1277" s="8">
        <f>SUMIF(Cargas!$C$6:$C$1064,C1277,Cargas!$O$6:$O$1064)</f>
        <v>2112</v>
      </c>
      <c r="J1277" s="17">
        <f t="shared" si="24"/>
        <v>0</v>
      </c>
      <c r="K1277" s="34">
        <v>1516384</v>
      </c>
      <c r="L1277" s="34">
        <v>24834</v>
      </c>
    </row>
    <row r="1278" hidden="1">
      <c r="B1278" s="64">
        <v>45692</v>
      </c>
      <c r="C1278" s="9" t="s">
        <v>1012</v>
      </c>
      <c r="D1278" s="6" t="s">
        <v>2669</v>
      </c>
      <c r="E1278" s="6" t="s">
        <v>2871</v>
      </c>
      <c r="F1278" s="6" t="s">
        <v>2226</v>
      </c>
      <c r="G1278" s="6" t="s">
        <v>3493</v>
      </c>
      <c r="H1278" s="7">
        <v>1936</v>
      </c>
      <c r="I1278" s="8">
        <f>SUMIF(Cargas!$C$6:$C$1064,C1278,Cargas!$O$6:$O$1064)</f>
        <v>1936</v>
      </c>
      <c r="J1278" s="17">
        <f t="shared" si="24"/>
        <v>0</v>
      </c>
      <c r="K1278" s="138"/>
      <c r="L1278" s="34">
        <v>25883</v>
      </c>
    </row>
    <row r="1279" hidden="1">
      <c r="B1279" s="64">
        <v>45701</v>
      </c>
      <c r="C1279" s="9" t="s">
        <v>1055</v>
      </c>
      <c r="D1279" s="6" t="s">
        <v>2930</v>
      </c>
      <c r="E1279" s="6" t="s">
        <v>2712</v>
      </c>
      <c r="F1279" s="6" t="s">
        <v>2226</v>
      </c>
      <c r="G1279" s="6" t="s">
        <v>3493</v>
      </c>
      <c r="H1279" s="7">
        <v>2112</v>
      </c>
      <c r="I1279" s="8">
        <f>SUMIF(Cargas!$C$6:$C$1064,C1279,Cargas!$O$6:$O$1064)</f>
        <v>2112</v>
      </c>
      <c r="J1279" s="17">
        <f t="shared" si="24"/>
        <v>0</v>
      </c>
      <c r="K1279" s="34"/>
      <c r="L1279" s="34">
        <v>34150</v>
      </c>
    </row>
    <row r="1280" hidden="1">
      <c r="B1280" s="64">
        <v>45606</v>
      </c>
      <c r="C1280" s="9" t="s">
        <v>784</v>
      </c>
      <c r="D1280" s="6" t="s">
        <v>3030</v>
      </c>
      <c r="E1280" s="6" t="s">
        <v>2225</v>
      </c>
      <c r="F1280" s="6" t="s">
        <v>2226</v>
      </c>
      <c r="G1280" s="6" t="s">
        <v>2227</v>
      </c>
      <c r="H1280" s="7">
        <v>1680</v>
      </c>
      <c r="I1280" s="8">
        <f>SUMIF(Cargas!$C$6:$C$1064,C1280,Cargas!$O$6:$O$1064)</f>
        <v>1680</v>
      </c>
      <c r="J1280" s="17">
        <f t="shared" si="24"/>
        <v>0</v>
      </c>
      <c r="K1280" s="34">
        <v>1508539</v>
      </c>
      <c r="L1280" s="34">
        <v>240333</v>
      </c>
    </row>
    <row r="1281" hidden="1">
      <c r="B1281" s="64">
        <v>45613</v>
      </c>
      <c r="C1281" s="9" t="s">
        <v>797</v>
      </c>
      <c r="D1281" s="6" t="s">
        <v>3365</v>
      </c>
      <c r="E1281" s="6" t="s">
        <v>2225</v>
      </c>
      <c r="F1281" s="6" t="s">
        <v>2226</v>
      </c>
      <c r="G1281" s="6" t="s">
        <v>2227</v>
      </c>
      <c r="H1281" s="7">
        <v>1680</v>
      </c>
      <c r="I1281" s="8">
        <f>SUMIF(Cargas!$C$6:$C$1064,C1281,Cargas!$O$6:$O$1064)</f>
        <v>1680</v>
      </c>
      <c r="J1281" s="17">
        <f t="shared" si="24"/>
        <v>0</v>
      </c>
      <c r="K1281" s="34">
        <v>1509709</v>
      </c>
      <c r="L1281" s="34">
        <v>243739</v>
      </c>
    </row>
    <row r="1282" hidden="1">
      <c r="B1282" s="64">
        <v>45573</v>
      </c>
      <c r="C1282" s="9" t="s">
        <v>617</v>
      </c>
      <c r="D1282" s="6" t="s">
        <v>3811</v>
      </c>
      <c r="E1282" s="6" t="s">
        <v>3789</v>
      </c>
      <c r="F1282" s="6" t="s">
        <v>2226</v>
      </c>
      <c r="G1282" s="6" t="s">
        <v>2227</v>
      </c>
      <c r="H1282" s="7">
        <v>2160</v>
      </c>
      <c r="I1282" s="8">
        <f>SUMIF(Cargas!$C$6:$C$1064,C1282,Cargas!$O$6:$O$1064)</f>
        <v>2160</v>
      </c>
      <c r="J1282" s="17">
        <f t="shared" si="24"/>
        <v>0</v>
      </c>
      <c r="K1282" s="34">
        <v>1504509</v>
      </c>
      <c r="L1282" s="34">
        <v>212052</v>
      </c>
    </row>
    <row r="1283" hidden="1">
      <c r="B1283" s="64">
        <v>45573</v>
      </c>
      <c r="C1283" s="9" t="s">
        <v>635</v>
      </c>
      <c r="D1283" s="6" t="s">
        <v>3812</v>
      </c>
      <c r="E1283" s="6" t="s">
        <v>3789</v>
      </c>
      <c r="F1283" s="6" t="s">
        <v>2226</v>
      </c>
      <c r="G1283" s="6" t="s">
        <v>2227</v>
      </c>
      <c r="H1283" s="7">
        <v>2160</v>
      </c>
      <c r="I1283" s="8">
        <f>SUMIF(Cargas!$C$6:$C$1064,C1283,Cargas!$O$6:$O$1064)</f>
        <v>2160</v>
      </c>
      <c r="J1283" s="17">
        <f t="shared" si="24"/>
        <v>0</v>
      </c>
      <c r="K1283" s="34">
        <v>1504507</v>
      </c>
      <c r="L1283" s="34">
        <v>213990</v>
      </c>
    </row>
    <row r="1284" hidden="1">
      <c r="B1284" s="64">
        <v>45573</v>
      </c>
      <c r="C1284" s="9" t="s">
        <v>633</v>
      </c>
      <c r="D1284" s="6" t="s">
        <v>3813</v>
      </c>
      <c r="E1284" s="6" t="s">
        <v>3789</v>
      </c>
      <c r="F1284" s="6" t="s">
        <v>2226</v>
      </c>
      <c r="G1284" s="6" t="s">
        <v>2227</v>
      </c>
      <c r="H1284" s="7">
        <v>2160</v>
      </c>
      <c r="I1284" s="8">
        <f>SUMIF(Cargas!$C$6:$C$1064,C1284,Cargas!$O$6:$O$1064)</f>
        <v>2160</v>
      </c>
      <c r="J1284" s="17">
        <f t="shared" si="24"/>
        <v>0</v>
      </c>
      <c r="K1284" s="34">
        <v>1505055</v>
      </c>
      <c r="L1284" s="34">
        <v>214017</v>
      </c>
      <c r="N1284" s="0">
        <v>1</v>
      </c>
    </row>
    <row r="1285" hidden="1">
      <c r="B1285" s="64">
        <v>45578</v>
      </c>
      <c r="C1285" s="9" t="s">
        <v>647</v>
      </c>
      <c r="D1285" s="6" t="s">
        <v>3814</v>
      </c>
      <c r="E1285" s="6" t="s">
        <v>3789</v>
      </c>
      <c r="F1285" s="6" t="s">
        <v>2226</v>
      </c>
      <c r="G1285" s="6" t="s">
        <v>2227</v>
      </c>
      <c r="H1285" s="7">
        <v>2160</v>
      </c>
      <c r="I1285" s="8">
        <f>SUMIF(Cargas!$C$6:$C$1064,C1285,Cargas!$O$6:$O$1064)</f>
        <v>2160</v>
      </c>
      <c r="J1285" s="17">
        <f t="shared" si="24"/>
        <v>0</v>
      </c>
      <c r="K1285" s="34"/>
      <c r="L1285" s="34">
        <v>217600</v>
      </c>
      <c r="N1285" s="0">
        <v>1</v>
      </c>
    </row>
    <row r="1286" hidden="1">
      <c r="B1286" s="64">
        <v>45578</v>
      </c>
      <c r="C1286" s="9" t="s">
        <v>642</v>
      </c>
      <c r="D1286" s="6" t="s">
        <v>3815</v>
      </c>
      <c r="E1286" s="6" t="s">
        <v>3789</v>
      </c>
      <c r="F1286" s="6" t="s">
        <v>2226</v>
      </c>
      <c r="G1286" s="6" t="s">
        <v>2227</v>
      </c>
      <c r="H1286" s="7">
        <v>1080</v>
      </c>
      <c r="I1286" s="8">
        <f>SUMIF(Cargas!$C$6:$C$1064,C1286,Cargas!$O$6:$O$1064)</f>
        <v>1080</v>
      </c>
      <c r="J1286" s="17">
        <f t="shared" si="24"/>
        <v>0</v>
      </c>
      <c r="K1286" s="34"/>
      <c r="L1286" s="34">
        <v>217587</v>
      </c>
      <c r="N1286" s="0">
        <v>1</v>
      </c>
    </row>
    <row r="1287" hidden="1">
      <c r="B1287" s="64">
        <v>45585</v>
      </c>
      <c r="C1287" s="9" t="s">
        <v>676</v>
      </c>
      <c r="D1287" s="6" t="s">
        <v>3816</v>
      </c>
      <c r="E1287" s="6" t="s">
        <v>3789</v>
      </c>
      <c r="F1287" s="6" t="s">
        <v>2226</v>
      </c>
      <c r="G1287" s="6" t="s">
        <v>2227</v>
      </c>
      <c r="H1287" s="7">
        <v>2160</v>
      </c>
      <c r="I1287" s="8">
        <f>SUMIF(Cargas!$C$6:$C$1064,C1287,Cargas!$O$6:$O$1064)</f>
        <v>2160</v>
      </c>
      <c r="J1287" s="17">
        <f t="shared" si="24"/>
        <v>0</v>
      </c>
      <c r="K1287" s="34">
        <v>1507037</v>
      </c>
      <c r="L1287" s="34">
        <v>224200</v>
      </c>
      <c r="N1287" s="0">
        <v>1</v>
      </c>
    </row>
    <row r="1288" hidden="1">
      <c r="B1288" s="64">
        <v>45585</v>
      </c>
      <c r="C1288" s="9" t="s">
        <v>661</v>
      </c>
      <c r="D1288" s="6" t="s">
        <v>3817</v>
      </c>
      <c r="E1288" s="6" t="s">
        <v>3789</v>
      </c>
      <c r="F1288" s="6" t="s">
        <v>2226</v>
      </c>
      <c r="G1288" s="6" t="s">
        <v>2227</v>
      </c>
      <c r="H1288" s="7">
        <v>1080</v>
      </c>
      <c r="I1288" s="8">
        <f>SUMIF(Cargas!$C$6:$C$1064,C1288,Cargas!$O$6:$O$1064)</f>
        <v>1080</v>
      </c>
      <c r="J1288" s="17">
        <f t="shared" si="24"/>
        <v>0</v>
      </c>
      <c r="K1288" s="34"/>
      <c r="L1288" s="34">
        <v>223327</v>
      </c>
      <c r="N1288" s="0">
        <v>1</v>
      </c>
    </row>
    <row r="1289" hidden="1">
      <c r="B1289" s="64">
        <v>45592</v>
      </c>
      <c r="C1289" s="9" t="s">
        <v>714</v>
      </c>
      <c r="D1289" s="6" t="s">
        <v>3818</v>
      </c>
      <c r="E1289" s="6" t="s">
        <v>3789</v>
      </c>
      <c r="F1289" s="6" t="s">
        <v>2226</v>
      </c>
      <c r="G1289" s="6" t="s">
        <v>2227</v>
      </c>
      <c r="H1289" s="7">
        <v>2160</v>
      </c>
      <c r="I1289" s="8">
        <f>SUMIF(Cargas!$C$6:$C$1064,C1289,Cargas!$O$6:$O$1064)</f>
        <v>2160</v>
      </c>
      <c r="J1289" s="17">
        <f t="shared" si="24"/>
        <v>0</v>
      </c>
      <c r="K1289" s="34">
        <v>1507672</v>
      </c>
      <c r="L1289" s="34">
        <v>234450</v>
      </c>
      <c r="N1289" s="0">
        <v>1</v>
      </c>
    </row>
    <row r="1290" hidden="1">
      <c r="B1290" s="64">
        <v>45592</v>
      </c>
      <c r="C1290" s="9" t="s">
        <v>682</v>
      </c>
      <c r="D1290" s="6" t="s">
        <v>3819</v>
      </c>
      <c r="E1290" s="6" t="s">
        <v>3789</v>
      </c>
      <c r="F1290" s="6" t="s">
        <v>2226</v>
      </c>
      <c r="G1290" s="6" t="s">
        <v>2227</v>
      </c>
      <c r="H1290" s="7">
        <v>1080</v>
      </c>
      <c r="I1290" s="8">
        <f>SUMIF(Cargas!$C$6:$C$1064,C1290,Cargas!$O$6:$O$1064)</f>
        <v>1080</v>
      </c>
      <c r="J1290" s="17">
        <f t="shared" si="24"/>
        <v>0</v>
      </c>
      <c r="K1290" s="34">
        <v>1507673</v>
      </c>
      <c r="L1290" s="34">
        <v>228809</v>
      </c>
      <c r="N1290" s="0">
        <v>1</v>
      </c>
    </row>
    <row r="1291" hidden="1">
      <c r="B1291" s="64">
        <v>45300</v>
      </c>
      <c r="C1291" s="9" t="s">
        <v>44</v>
      </c>
      <c r="D1291" s="6" t="s">
        <v>2219</v>
      </c>
      <c r="E1291" s="6" t="s">
        <v>2220</v>
      </c>
      <c r="F1291" s="6" t="s">
        <v>2226</v>
      </c>
      <c r="G1291" s="6" t="s">
        <v>2227</v>
      </c>
      <c r="H1291" s="7">
        <v>2192</v>
      </c>
      <c r="I1291" s="8">
        <f>SUMIF(Cargas!$C$6:$C$1064,C1291,Cargas!$O$6:$O$1064)</f>
        <v>2192</v>
      </c>
      <c r="J1291" s="17">
        <f t="shared" si="24"/>
        <v>0</v>
      </c>
      <c r="K1291" s="34" t="s">
        <v>3820</v>
      </c>
      <c r="L1291" s="34" t="s">
        <v>29</v>
      </c>
      <c r="N1291" s="0">
        <v>1</v>
      </c>
    </row>
    <row r="1292" hidden="1">
      <c r="B1292" s="64">
        <v>45307</v>
      </c>
      <c r="C1292" s="9" t="s">
        <v>49</v>
      </c>
      <c r="D1292" s="6" t="s">
        <v>2236</v>
      </c>
      <c r="E1292" s="6" t="s">
        <v>2220</v>
      </c>
      <c r="F1292" s="6" t="s">
        <v>2226</v>
      </c>
      <c r="G1292" s="6" t="s">
        <v>2227</v>
      </c>
      <c r="H1292" s="7">
        <v>3239</v>
      </c>
      <c r="I1292" s="8">
        <f>SUMIF(Cargas!$C$6:$C$1064,C1292,Cargas!$O$6:$O$1064)</f>
        <v>3239</v>
      </c>
      <c r="J1292" s="17">
        <f t="shared" si="24"/>
        <v>0</v>
      </c>
      <c r="K1292" s="34" t="s">
        <v>3820</v>
      </c>
      <c r="L1292" s="34" t="s">
        <v>29</v>
      </c>
      <c r="N1292" s="0">
        <v>1</v>
      </c>
    </row>
    <row r="1293" hidden="1">
      <c r="B1293" s="64">
        <v>45307</v>
      </c>
      <c r="C1293" s="9" t="s">
        <v>51</v>
      </c>
      <c r="D1293" s="6" t="s">
        <v>2238</v>
      </c>
      <c r="E1293" s="6" t="s">
        <v>2220</v>
      </c>
      <c r="F1293" s="6" t="s">
        <v>2226</v>
      </c>
      <c r="G1293" s="6" t="s">
        <v>2227</v>
      </c>
      <c r="H1293" s="7">
        <v>1128</v>
      </c>
      <c r="I1293" s="8">
        <f>SUMIF(Cargas!$C$6:$C$1064,C1293,Cargas!$O$6:$O$1064)</f>
        <v>1112</v>
      </c>
      <c r="J1293" s="17">
        <f t="shared" si="24"/>
        <v>0</v>
      </c>
      <c r="K1293" s="34" t="s">
        <v>3820</v>
      </c>
      <c r="L1293" s="34" t="s">
        <v>29</v>
      </c>
      <c r="N1293" s="0">
        <v>1</v>
      </c>
    </row>
    <row r="1294" hidden="1">
      <c r="B1294" s="64">
        <v>45314</v>
      </c>
      <c r="C1294" s="9" t="s">
        <v>59</v>
      </c>
      <c r="D1294" s="6" t="s">
        <v>2244</v>
      </c>
      <c r="E1294" s="6" t="s">
        <v>2220</v>
      </c>
      <c r="F1294" s="6" t="s">
        <v>2226</v>
      </c>
      <c r="G1294" s="6" t="s">
        <v>2227</v>
      </c>
      <c r="H1294" s="7">
        <v>5400</v>
      </c>
      <c r="I1294" s="8">
        <f>SUMIF(Cargas!$C$6:$C$1064,C1294,Cargas!$O$6:$O$1064)</f>
        <v>5400</v>
      </c>
      <c r="J1294" s="17">
        <f t="shared" si="24"/>
        <v>0</v>
      </c>
      <c r="K1294" s="34">
        <v>1482615</v>
      </c>
      <c r="L1294" s="34">
        <v>26746</v>
      </c>
      <c r="N1294" s="0">
        <v>1</v>
      </c>
    </row>
    <row r="1295" hidden="1">
      <c r="B1295" s="64">
        <v>45314</v>
      </c>
      <c r="C1295" s="9" t="s">
        <v>63</v>
      </c>
      <c r="D1295" s="6" t="s">
        <v>2254</v>
      </c>
      <c r="E1295" s="6" t="s">
        <v>2220</v>
      </c>
      <c r="F1295" s="6" t="s">
        <v>2226</v>
      </c>
      <c r="G1295" s="6" t="s">
        <v>2227</v>
      </c>
      <c r="H1295" s="7">
        <v>1112</v>
      </c>
      <c r="I1295" s="8">
        <f>SUMIF(Cargas!$C$6:$C$1064,C1295,Cargas!$O$6:$O$1064)</f>
        <v>1112</v>
      </c>
      <c r="J1295" s="17">
        <f t="shared" si="24"/>
        <v>0</v>
      </c>
      <c r="K1295" s="34">
        <v>1482616</v>
      </c>
      <c r="L1295" s="34">
        <v>26648</v>
      </c>
      <c r="N1295" s="0">
        <v>1</v>
      </c>
    </row>
    <row r="1296" hidden="1">
      <c r="B1296" s="64">
        <v>45321</v>
      </c>
      <c r="C1296" s="9" t="s">
        <v>69</v>
      </c>
      <c r="D1296" s="6" t="s">
        <v>2266</v>
      </c>
      <c r="E1296" s="6" t="s">
        <v>2220</v>
      </c>
      <c r="F1296" s="6" t="s">
        <v>2226</v>
      </c>
      <c r="G1296" s="6" t="s">
        <v>2227</v>
      </c>
      <c r="H1296" s="7">
        <v>3240</v>
      </c>
      <c r="I1296" s="8">
        <f>SUMIF(Cargas!$C$6:$C$1064,C1296,Cargas!$O$6:$O$1064)</f>
        <v>3240</v>
      </c>
      <c r="J1296" s="17">
        <f t="shared" si="24"/>
        <v>0</v>
      </c>
      <c r="K1296" s="34">
        <v>1483125</v>
      </c>
      <c r="L1296" s="34">
        <v>27957</v>
      </c>
    </row>
    <row r="1297" hidden="1">
      <c r="B1297" s="64">
        <v>45321</v>
      </c>
      <c r="C1297" s="9" t="s">
        <v>72</v>
      </c>
      <c r="D1297" s="6" t="s">
        <v>2272</v>
      </c>
      <c r="E1297" s="6" t="s">
        <v>2220</v>
      </c>
      <c r="F1297" s="6" t="s">
        <v>2226</v>
      </c>
      <c r="G1297" s="6" t="s">
        <v>2227</v>
      </c>
      <c r="H1297" s="7">
        <v>1144</v>
      </c>
      <c r="I1297" s="8">
        <f>SUMIF(Cargas!$C$6:$C$1064,C1297,Cargas!$O$6:$O$1064)</f>
        <v>1144</v>
      </c>
      <c r="J1297" s="17">
        <f t="shared" si="24"/>
        <v>0</v>
      </c>
      <c r="K1297" s="34">
        <v>1483127</v>
      </c>
      <c r="L1297" s="34">
        <v>27844</v>
      </c>
    </row>
    <row r="1298" hidden="1">
      <c r="B1298" s="64">
        <v>45328</v>
      </c>
      <c r="C1298" s="9" t="s">
        <v>82</v>
      </c>
      <c r="D1298" s="6" t="s">
        <v>2285</v>
      </c>
      <c r="E1298" s="6" t="s">
        <v>2220</v>
      </c>
      <c r="F1298" s="6" t="s">
        <v>2226</v>
      </c>
      <c r="G1298" s="6" t="s">
        <v>2227</v>
      </c>
      <c r="H1298" s="7">
        <v>3240</v>
      </c>
      <c r="I1298" s="8">
        <f>SUMIF(Cargas!$C$6:$C$1064,C1298,Cargas!$O$6:$O$1064)</f>
        <v>3240</v>
      </c>
      <c r="J1298" s="17">
        <f t="shared" si="24"/>
        <v>0</v>
      </c>
      <c r="K1298" s="34">
        <v>1483563</v>
      </c>
      <c r="L1298" s="34">
        <v>32212</v>
      </c>
    </row>
    <row r="1299" hidden="1">
      <c r="B1299" s="64">
        <v>45328</v>
      </c>
      <c r="C1299" s="9" t="s">
        <v>85</v>
      </c>
      <c r="D1299" s="6" t="s">
        <v>2291</v>
      </c>
      <c r="E1299" s="6" t="s">
        <v>2220</v>
      </c>
      <c r="F1299" s="6" t="s">
        <v>2226</v>
      </c>
      <c r="G1299" s="6" t="s">
        <v>2227</v>
      </c>
      <c r="H1299" s="7">
        <v>2160</v>
      </c>
      <c r="I1299" s="8">
        <f>SUMIF(Cargas!$C$6:$C$1064,C1299,Cargas!$O$6:$O$1064)</f>
        <v>2160</v>
      </c>
      <c r="J1299" s="17">
        <f t="shared" si="24"/>
        <v>0</v>
      </c>
      <c r="K1299" s="34">
        <v>1483858</v>
      </c>
      <c r="L1299" s="34">
        <v>32106</v>
      </c>
    </row>
    <row r="1300" hidden="1">
      <c r="B1300" s="64">
        <v>45333</v>
      </c>
      <c r="C1300" s="9" t="s">
        <v>103</v>
      </c>
      <c r="D1300" s="6" t="s">
        <v>2295</v>
      </c>
      <c r="E1300" s="6" t="s">
        <v>2220</v>
      </c>
      <c r="F1300" s="6" t="s">
        <v>2226</v>
      </c>
      <c r="G1300" s="6" t="s">
        <v>2227</v>
      </c>
      <c r="H1300" s="7">
        <v>3240</v>
      </c>
      <c r="I1300" s="8">
        <f>SUMIF(Cargas!$C$6:$C$1064,C1300,Cargas!$O$6:$O$1064)</f>
        <v>3240</v>
      </c>
      <c r="J1300" s="17">
        <f t="shared" si="24"/>
        <v>0</v>
      </c>
      <c r="K1300" s="34">
        <v>1484015</v>
      </c>
      <c r="L1300" s="34">
        <v>38316</v>
      </c>
    </row>
    <row r="1301" hidden="1">
      <c r="B1301" s="64">
        <v>45333</v>
      </c>
      <c r="C1301" s="9" t="s">
        <v>108</v>
      </c>
      <c r="D1301" s="6" t="s">
        <v>2307</v>
      </c>
      <c r="E1301" s="6" t="s">
        <v>2220</v>
      </c>
      <c r="F1301" s="6" t="s">
        <v>2226</v>
      </c>
      <c r="G1301" s="6" t="s">
        <v>2227</v>
      </c>
      <c r="H1301" s="7">
        <v>1144</v>
      </c>
      <c r="I1301" s="8">
        <f>SUMIF(Cargas!$C$6:$C$1064,C1301,Cargas!$O$6:$O$1064)</f>
        <v>1144</v>
      </c>
      <c r="J1301" s="17">
        <f t="shared" si="24"/>
        <v>0</v>
      </c>
      <c r="K1301" s="34">
        <v>1484016</v>
      </c>
      <c r="L1301" s="34">
        <v>38214</v>
      </c>
      <c r="N1301" s="0">
        <v>1</v>
      </c>
    </row>
    <row r="1302" hidden="1">
      <c r="B1302" s="64">
        <v>45340</v>
      </c>
      <c r="C1302" s="9" t="s">
        <v>120</v>
      </c>
      <c r="D1302" s="6" t="s">
        <v>2309</v>
      </c>
      <c r="E1302" s="6" t="s">
        <v>2220</v>
      </c>
      <c r="F1302" s="6" t="s">
        <v>2226</v>
      </c>
      <c r="G1302" s="6" t="s">
        <v>2227</v>
      </c>
      <c r="H1302" s="7">
        <v>5400</v>
      </c>
      <c r="I1302" s="8">
        <f>SUMIF(Cargas!$C$6:$C$1064,C1302,Cargas!$O$6:$O$1064)</f>
        <v>5400</v>
      </c>
      <c r="J1302" s="17">
        <f t="shared" si="24"/>
        <v>0</v>
      </c>
      <c r="K1302" s="34">
        <v>1484515</v>
      </c>
      <c r="L1302" s="34">
        <v>43240</v>
      </c>
      <c r="N1302" s="0">
        <v>1</v>
      </c>
    </row>
    <row r="1303" hidden="1">
      <c r="B1303" s="64">
        <v>45347</v>
      </c>
      <c r="C1303" s="9" t="s">
        <v>128</v>
      </c>
      <c r="D1303" s="6" t="s">
        <v>2319</v>
      </c>
      <c r="E1303" s="6" t="s">
        <v>2220</v>
      </c>
      <c r="F1303" s="6" t="s">
        <v>2226</v>
      </c>
      <c r="G1303" s="6" t="s">
        <v>2227</v>
      </c>
      <c r="H1303" s="7">
        <v>4320</v>
      </c>
      <c r="I1303" s="8">
        <f>SUMIF(Cargas!$C$6:$C$1064,C1303,Cargas!$O$6:$O$1064)</f>
        <v>4320</v>
      </c>
      <c r="J1303" s="17">
        <f t="shared" si="24"/>
        <v>0</v>
      </c>
      <c r="K1303" s="34">
        <v>1484937</v>
      </c>
      <c r="L1303" s="34">
        <v>47036</v>
      </c>
      <c r="N1303" s="0">
        <v>1</v>
      </c>
    </row>
    <row r="1304" hidden="1">
      <c r="B1304" s="64">
        <v>45347</v>
      </c>
      <c r="C1304" s="9" t="s">
        <v>135</v>
      </c>
      <c r="D1304" s="6" t="s">
        <v>2325</v>
      </c>
      <c r="E1304" s="6" t="s">
        <v>2220</v>
      </c>
      <c r="F1304" s="6" t="s">
        <v>2226</v>
      </c>
      <c r="G1304" s="6" t="s">
        <v>2227</v>
      </c>
      <c r="H1304" s="7">
        <v>1144</v>
      </c>
      <c r="I1304" s="8">
        <f>SUMIF(Cargas!$C$6:$C$1064,C1304,Cargas!$O$6:$O$1064)</f>
        <v>1144</v>
      </c>
      <c r="J1304" s="17">
        <f t="shared" si="24"/>
        <v>0</v>
      </c>
      <c r="K1304" s="34">
        <v>1484938</v>
      </c>
      <c r="L1304" s="34">
        <v>46977</v>
      </c>
      <c r="N1304" s="0">
        <v>1</v>
      </c>
    </row>
    <row r="1305" hidden="1">
      <c r="B1305" s="64">
        <v>45354</v>
      </c>
      <c r="C1305" s="9" t="s">
        <v>154</v>
      </c>
      <c r="D1305" s="6" t="s">
        <v>2331</v>
      </c>
      <c r="E1305" s="6" t="s">
        <v>2220</v>
      </c>
      <c r="F1305" s="6" t="s">
        <v>2226</v>
      </c>
      <c r="G1305" s="6" t="s">
        <v>2227</v>
      </c>
      <c r="H1305" s="7">
        <v>4320</v>
      </c>
      <c r="I1305" s="8">
        <f>SUMIF(Cargas!$C$6:$C$1064,C1305,Cargas!$O$6:$O$1064)</f>
        <v>4320</v>
      </c>
      <c r="J1305" s="17">
        <f t="shared" si="24"/>
        <v>0</v>
      </c>
      <c r="K1305" s="34">
        <v>1485551</v>
      </c>
      <c r="L1305" s="34">
        <v>53667</v>
      </c>
      <c r="N1305" s="0">
        <v>1</v>
      </c>
    </row>
    <row r="1306" hidden="1">
      <c r="B1306" s="64">
        <v>45363</v>
      </c>
      <c r="C1306" s="9" t="s">
        <v>169</v>
      </c>
      <c r="D1306" s="6" t="s">
        <v>2335</v>
      </c>
      <c r="E1306" s="6" t="s">
        <v>2220</v>
      </c>
      <c r="F1306" s="6" t="s">
        <v>2226</v>
      </c>
      <c r="G1306" s="6" t="s">
        <v>2227</v>
      </c>
      <c r="H1306" s="7">
        <f>2052+140</f>
        <v>2192</v>
      </c>
      <c r="I1306" s="8">
        <f>SUMIF(Cargas!$C$6:$C$1064,C1306,Cargas!$O$6:$O$1064)</f>
        <v>2192</v>
      </c>
      <c r="J1306" s="17">
        <f t="shared" si="24"/>
        <v>0</v>
      </c>
      <c r="K1306" s="34">
        <v>1486195</v>
      </c>
      <c r="L1306" s="34">
        <v>57688</v>
      </c>
      <c r="M1306" s="0">
        <v>2</v>
      </c>
      <c r="N1306" s="0">
        <v>1</v>
      </c>
    </row>
    <row r="1307" hidden="1">
      <c r="B1307" s="64">
        <v>45370</v>
      </c>
      <c r="C1307" s="9" t="s">
        <v>173</v>
      </c>
      <c r="D1307" s="6" t="s">
        <v>2346</v>
      </c>
      <c r="E1307" s="6" t="s">
        <v>2220</v>
      </c>
      <c r="F1307" s="6" t="s">
        <v>2226</v>
      </c>
      <c r="G1307" s="6" t="s">
        <v>2227</v>
      </c>
      <c r="H1307" s="7">
        <v>2160</v>
      </c>
      <c r="I1307" s="8">
        <f>SUMIF(Cargas!$C$6:$C$1064,C1307,Cargas!$O$6:$O$1064)</f>
        <v>2160</v>
      </c>
      <c r="J1307" s="17">
        <f t="shared" si="24"/>
        <v>0</v>
      </c>
      <c r="K1307" s="34">
        <v>1486674</v>
      </c>
      <c r="L1307" s="34">
        <v>61569</v>
      </c>
      <c r="M1307" s="0">
        <v>1</v>
      </c>
      <c r="N1307" s="0">
        <v>1</v>
      </c>
    </row>
    <row r="1308" hidden="1">
      <c r="B1308" s="64">
        <v>45377</v>
      </c>
      <c r="C1308" s="9" t="s">
        <v>181</v>
      </c>
      <c r="D1308" s="6" t="s">
        <v>2361</v>
      </c>
      <c r="E1308" s="6" t="s">
        <v>2220</v>
      </c>
      <c r="F1308" s="6" t="s">
        <v>2226</v>
      </c>
      <c r="G1308" s="6" t="s">
        <v>2227</v>
      </c>
      <c r="H1308" s="7">
        <v>3240</v>
      </c>
      <c r="I1308" s="8">
        <f>SUMIF(Cargas!$C$6:$C$1064,C1308,Cargas!$O$6:$O$1064)</f>
        <v>3240</v>
      </c>
      <c r="J1308" s="17">
        <f t="shared" si="24"/>
        <v>0</v>
      </c>
      <c r="K1308" s="34">
        <v>1487354</v>
      </c>
      <c r="L1308" s="34">
        <v>66731</v>
      </c>
      <c r="M1308" s="0">
        <v>2</v>
      </c>
      <c r="N1308" s="0">
        <v>1</v>
      </c>
    </row>
    <row r="1309" hidden="1">
      <c r="B1309" s="64">
        <v>45377</v>
      </c>
      <c r="C1309" s="9" t="s">
        <v>186</v>
      </c>
      <c r="D1309" s="6" t="s">
        <v>2371</v>
      </c>
      <c r="E1309" s="6" t="s">
        <v>2220</v>
      </c>
      <c r="F1309" s="6" t="s">
        <v>2226</v>
      </c>
      <c r="G1309" s="6" t="s">
        <v>2227</v>
      </c>
      <c r="H1309" s="7">
        <v>1128</v>
      </c>
      <c r="I1309" s="8">
        <f>SUMIF(Cargas!$C$6:$C$1064,C1309,Cargas!$O$6:$O$1064)</f>
        <v>1112</v>
      </c>
      <c r="J1309" s="17">
        <f t="shared" si="24"/>
        <v>0</v>
      </c>
      <c r="K1309" s="34">
        <v>1487355</v>
      </c>
      <c r="L1309" s="34">
        <v>66754</v>
      </c>
      <c r="M1309" s="0">
        <v>2</v>
      </c>
      <c r="N1309" s="0">
        <v>1</v>
      </c>
    </row>
    <row r="1310" hidden="1">
      <c r="B1310" s="64">
        <v>45384</v>
      </c>
      <c r="C1310" s="9" t="s">
        <v>199</v>
      </c>
      <c r="D1310" s="6" t="s">
        <v>2391</v>
      </c>
      <c r="E1310" s="6" t="s">
        <v>2220</v>
      </c>
      <c r="F1310" s="6" t="s">
        <v>2226</v>
      </c>
      <c r="G1310" s="6" t="s">
        <v>2227</v>
      </c>
      <c r="H1310" s="7">
        <v>2160</v>
      </c>
      <c r="I1310" s="8">
        <f>SUMIF(Cargas!$C$6:$C$1064,C1310,Cargas!$O$6:$O$1064)</f>
        <v>2160</v>
      </c>
      <c r="J1310" s="17">
        <f t="shared" si="24"/>
        <v>0</v>
      </c>
      <c r="K1310" s="34">
        <v>1487865</v>
      </c>
      <c r="L1310" s="34">
        <v>72078</v>
      </c>
      <c r="M1310" s="0">
        <v>2</v>
      </c>
      <c r="N1310" s="0">
        <v>1</v>
      </c>
    </row>
    <row r="1311" hidden="1">
      <c r="B1311" s="64">
        <v>45389</v>
      </c>
      <c r="C1311" s="9" t="s">
        <v>211</v>
      </c>
      <c r="D1311" s="6" t="s">
        <v>2400</v>
      </c>
      <c r="E1311" s="6" t="s">
        <v>2220</v>
      </c>
      <c r="F1311" s="6" t="s">
        <v>2226</v>
      </c>
      <c r="G1311" s="6" t="s">
        <v>2227</v>
      </c>
      <c r="H1311" s="7">
        <v>2208</v>
      </c>
      <c r="I1311" s="8">
        <f>SUMIF(Cargas!$C$6:$C$1064,C1311,Cargas!$O$6:$O$1064)</f>
        <v>2208</v>
      </c>
      <c r="J1311" s="17">
        <f t="shared" si="24"/>
        <v>0</v>
      </c>
      <c r="K1311" s="34">
        <v>1488115</v>
      </c>
      <c r="L1311" s="34">
        <v>76446</v>
      </c>
      <c r="M1311" s="0">
        <v>2</v>
      </c>
      <c r="N1311" s="0">
        <v>1</v>
      </c>
    </row>
    <row r="1312" hidden="1">
      <c r="B1312" s="64">
        <v>45404</v>
      </c>
      <c r="C1312" s="9" t="s">
        <v>224</v>
      </c>
      <c r="D1312" s="6" t="s">
        <v>2408</v>
      </c>
      <c r="E1312" s="6" t="s">
        <v>2220</v>
      </c>
      <c r="F1312" s="6" t="s">
        <v>2226</v>
      </c>
      <c r="G1312" s="6" t="s">
        <v>2227</v>
      </c>
      <c r="H1312" s="7">
        <v>2208</v>
      </c>
      <c r="I1312" s="8">
        <f>SUMIF(Cargas!$C$6:$C$1064,C1312,Cargas!$O$6:$O$1064)</f>
        <v>2208</v>
      </c>
      <c r="J1312" s="17">
        <f t="shared" si="24"/>
        <v>0</v>
      </c>
      <c r="K1312" s="34">
        <v>1489497</v>
      </c>
      <c r="L1312" s="34">
        <v>86600</v>
      </c>
      <c r="M1312" s="0">
        <v>2</v>
      </c>
      <c r="N1312" s="0">
        <v>1</v>
      </c>
    </row>
    <row r="1313" hidden="1">
      <c r="B1313" s="64">
        <v>45410</v>
      </c>
      <c r="C1313" s="9" t="s">
        <v>235</v>
      </c>
      <c r="D1313" s="6" t="s">
        <v>2414</v>
      </c>
      <c r="E1313" s="6" t="s">
        <v>2220</v>
      </c>
      <c r="F1313" s="6" t="s">
        <v>2226</v>
      </c>
      <c r="G1313" s="6" t="s">
        <v>2227</v>
      </c>
      <c r="H1313" s="7">
        <v>2208</v>
      </c>
      <c r="I1313" s="8">
        <f>SUMIF(Cargas!$C$6:$C$1064,C1313,Cargas!$O$6:$O$1064)</f>
        <v>2208</v>
      </c>
      <c r="J1313" s="17">
        <f t="shared" si="24"/>
        <v>0</v>
      </c>
      <c r="K1313" s="34">
        <v>1490094</v>
      </c>
      <c r="L1313" s="34">
        <v>91785</v>
      </c>
      <c r="M1313" s="0">
        <v>2</v>
      </c>
      <c r="N1313" s="0">
        <v>1</v>
      </c>
    </row>
    <row r="1314" hidden="1">
      <c r="B1314" s="64">
        <v>45417</v>
      </c>
      <c r="C1314" s="9" t="s">
        <v>254</v>
      </c>
      <c r="D1314" s="6" t="s">
        <v>2420</v>
      </c>
      <c r="E1314" s="6" t="s">
        <v>2220</v>
      </c>
      <c r="F1314" s="6" t="s">
        <v>2226</v>
      </c>
      <c r="G1314" s="6" t="s">
        <v>2227</v>
      </c>
      <c r="H1314" s="7">
        <v>2208</v>
      </c>
      <c r="I1314" s="8">
        <f>SUMIF(Cargas!$C$6:$C$1064,C1314,Cargas!$O$6:$O$1064)</f>
        <v>2208</v>
      </c>
      <c r="J1314" s="17">
        <f t="shared" si="24"/>
        <v>0</v>
      </c>
      <c r="K1314" s="34">
        <v>1490949</v>
      </c>
      <c r="L1314" s="34">
        <v>101517</v>
      </c>
      <c r="M1314" s="0">
        <v>2</v>
      </c>
      <c r="N1314" s="0">
        <v>1</v>
      </c>
    </row>
    <row r="1315" hidden="1">
      <c r="B1315" s="64">
        <v>45424</v>
      </c>
      <c r="C1315" s="9" t="s">
        <v>260</v>
      </c>
      <c r="D1315" s="6" t="s">
        <v>2428</v>
      </c>
      <c r="E1315" s="6" t="s">
        <v>2220</v>
      </c>
      <c r="F1315" s="6" t="s">
        <v>2226</v>
      </c>
      <c r="G1315" s="6" t="s">
        <v>2227</v>
      </c>
      <c r="H1315" s="7">
        <v>2160</v>
      </c>
      <c r="I1315" s="8">
        <f>SUMIF(Cargas!$C$6:$C$1064,C1315,Cargas!$O$6:$O$1064)</f>
        <v>2160</v>
      </c>
      <c r="J1315" s="17">
        <f t="shared" si="24"/>
        <v>0</v>
      </c>
      <c r="K1315" s="34">
        <v>1491325</v>
      </c>
      <c r="L1315" s="34">
        <v>101586</v>
      </c>
      <c r="M1315" s="0">
        <v>2</v>
      </c>
    </row>
    <row r="1316" hidden="1">
      <c r="B1316" s="64">
        <v>45454</v>
      </c>
      <c r="C1316" s="9" t="s">
        <v>304</v>
      </c>
      <c r="D1316" s="6" t="s">
        <v>2840</v>
      </c>
      <c r="E1316" s="6" t="s">
        <v>2220</v>
      </c>
      <c r="F1316" s="6" t="s">
        <v>2226</v>
      </c>
      <c r="G1316" s="6" t="s">
        <v>2227</v>
      </c>
      <c r="H1316" s="7">
        <v>1128</v>
      </c>
      <c r="I1316" s="8">
        <f>SUMIF(Cargas!$C$6:$C$1064,C1316,Cargas!$O$6:$O$1064)</f>
        <v>1128</v>
      </c>
      <c r="J1316" s="17">
        <f t="shared" si="24"/>
        <v>0</v>
      </c>
      <c r="K1316" s="34">
        <v>1493869</v>
      </c>
      <c r="L1316" s="34">
        <v>125944</v>
      </c>
      <c r="M1316" s="0">
        <v>2</v>
      </c>
    </row>
    <row r="1317" hidden="1">
      <c r="B1317" s="64">
        <v>45461</v>
      </c>
      <c r="C1317" s="9" t="s">
        <v>313</v>
      </c>
      <c r="D1317" s="6" t="s">
        <v>2440</v>
      </c>
      <c r="E1317" s="6" t="s">
        <v>2220</v>
      </c>
      <c r="F1317" s="6" t="s">
        <v>2226</v>
      </c>
      <c r="G1317" s="6" t="s">
        <v>2227</v>
      </c>
      <c r="H1317" s="7">
        <v>2160</v>
      </c>
      <c r="I1317" s="8">
        <f>SUMIF(Cargas!$C$6:$C$1064,C1317,Cargas!$O$6:$O$1064)</f>
        <v>2160</v>
      </c>
      <c r="J1317" s="17">
        <f t="shared" si="24"/>
        <v>0</v>
      </c>
      <c r="K1317" s="34">
        <v>1494356</v>
      </c>
      <c r="L1317" s="34">
        <v>129829</v>
      </c>
      <c r="M1317" s="0">
        <v>2</v>
      </c>
    </row>
    <row r="1318" hidden="1">
      <c r="B1318" s="64">
        <v>45461</v>
      </c>
      <c r="C1318" s="9" t="s">
        <v>316</v>
      </c>
      <c r="D1318" s="6" t="s">
        <v>2444</v>
      </c>
      <c r="E1318" s="6" t="s">
        <v>2220</v>
      </c>
      <c r="F1318" s="6" t="s">
        <v>2226</v>
      </c>
      <c r="G1318" s="6" t="s">
        <v>2227</v>
      </c>
      <c r="H1318" s="7">
        <v>1128</v>
      </c>
      <c r="I1318" s="8">
        <f>SUMIF(Cargas!$C$6:$C$1064,C1318,Cargas!$O$6:$O$1064)</f>
        <v>1128</v>
      </c>
      <c r="J1318" s="17">
        <f t="shared" si="24"/>
        <v>0</v>
      </c>
      <c r="K1318" s="34">
        <v>1494353</v>
      </c>
      <c r="L1318" s="34">
        <v>129704</v>
      </c>
      <c r="M1318" s="0">
        <v>2</v>
      </c>
    </row>
    <row r="1319" hidden="1">
      <c r="B1319" s="64">
        <v>45466</v>
      </c>
      <c r="C1319" s="9" t="s">
        <v>345</v>
      </c>
      <c r="D1319" s="6" t="s">
        <v>2446</v>
      </c>
      <c r="E1319" s="6" t="s">
        <v>2220</v>
      </c>
      <c r="F1319" s="6" t="s">
        <v>2226</v>
      </c>
      <c r="G1319" s="6" t="s">
        <v>2227</v>
      </c>
      <c r="H1319" s="7">
        <v>2208</v>
      </c>
      <c r="I1319" s="8">
        <f>SUMIF(Cargas!$C$6:$C$1064,C1319,Cargas!$O$6:$O$1064)</f>
        <v>2208</v>
      </c>
      <c r="J1319" s="17">
        <f t="shared" si="24"/>
        <v>0</v>
      </c>
      <c r="K1319" s="34">
        <v>1494993</v>
      </c>
      <c r="L1319" s="34">
        <v>135671</v>
      </c>
      <c r="M1319" s="0">
        <v>2</v>
      </c>
    </row>
    <row r="1320" hidden="1">
      <c r="B1320" s="64">
        <v>44818</v>
      </c>
      <c r="C1320" s="9" t="s">
        <v>3821</v>
      </c>
      <c r="D1320" s="6" t="s">
        <v>3395</v>
      </c>
      <c r="E1320" s="6" t="s">
        <v>2220</v>
      </c>
      <c r="F1320" s="6" t="s">
        <v>2226</v>
      </c>
      <c r="G1320" s="6" t="s">
        <v>2258</v>
      </c>
      <c r="H1320" s="7">
        <v>2160</v>
      </c>
      <c r="I1320" s="8">
        <f>SUMIF(Cargas!$C$6:$C$1064,C1320,Cargas!$O$6:$O$1064)</f>
        <v>0</v>
      </c>
      <c r="J1320" s="17">
        <f t="shared" si="24"/>
        <v>2160</v>
      </c>
      <c r="K1320" s="34">
        <v>1438945</v>
      </c>
      <c r="L1320" s="34">
        <v>181730</v>
      </c>
    </row>
    <row r="1321" hidden="1">
      <c r="B1321" s="64">
        <v>44818</v>
      </c>
      <c r="C1321" s="9" t="s">
        <v>3822</v>
      </c>
      <c r="D1321" s="6" t="s">
        <v>2991</v>
      </c>
      <c r="E1321" s="6" t="s">
        <v>2220</v>
      </c>
      <c r="F1321" s="6" t="s">
        <v>2226</v>
      </c>
      <c r="G1321" s="6" t="s">
        <v>2282</v>
      </c>
      <c r="H1321" s="7">
        <v>1080</v>
      </c>
      <c r="I1321" s="8">
        <f>SUMIF(Cargas!$C$6:$C$1064,C1321,Cargas!$O$6:$O$1064)</f>
        <v>0</v>
      </c>
      <c r="J1321" s="17">
        <f t="shared" si="24"/>
        <v>1080</v>
      </c>
      <c r="K1321" s="34">
        <v>1438946</v>
      </c>
      <c r="L1321" s="34">
        <v>181775</v>
      </c>
    </row>
    <row r="1322" hidden="1">
      <c r="B1322" s="64">
        <v>44824</v>
      </c>
      <c r="C1322" s="9" t="s">
        <v>3823</v>
      </c>
      <c r="D1322" s="6" t="s">
        <v>3408</v>
      </c>
      <c r="E1322" s="6" t="s">
        <v>2220</v>
      </c>
      <c r="F1322" s="6" t="s">
        <v>2226</v>
      </c>
      <c r="G1322" s="6" t="s">
        <v>2258</v>
      </c>
      <c r="H1322" s="7">
        <v>4320</v>
      </c>
      <c r="I1322" s="8">
        <f>SUMIF(Cargas!$C$6:$C$1064,C1322,Cargas!$O$6:$O$1064)</f>
        <v>0</v>
      </c>
      <c r="J1322" s="17">
        <f ref="J1322:J1385" t="shared" si="25">IF(ABS(H1322-I1322)&lt;20,0,H1322-I1322)</f>
        <v>4320</v>
      </c>
      <c r="K1322" s="34">
        <v>1439637</v>
      </c>
      <c r="L1322" s="34">
        <v>186133</v>
      </c>
    </row>
    <row r="1323" hidden="1">
      <c r="B1323" s="64">
        <v>44824</v>
      </c>
      <c r="C1323" s="9" t="s">
        <v>3824</v>
      </c>
      <c r="D1323" s="6" t="s">
        <v>3397</v>
      </c>
      <c r="E1323" s="6" t="s">
        <v>2220</v>
      </c>
      <c r="F1323" s="6" t="s">
        <v>2226</v>
      </c>
      <c r="G1323" s="6" t="s">
        <v>2258</v>
      </c>
      <c r="H1323" s="7">
        <v>4320</v>
      </c>
      <c r="I1323" s="8">
        <f>SUMIF(Cargas!$C$6:$C$1064,C1323,Cargas!$O$6:$O$1064)</f>
        <v>0</v>
      </c>
      <c r="J1323" s="17">
        <f t="shared" si="25"/>
        <v>4320</v>
      </c>
      <c r="K1323" s="34">
        <v>1439638</v>
      </c>
      <c r="L1323" s="34">
        <v>186202</v>
      </c>
    </row>
    <row r="1324" hidden="1">
      <c r="B1324" s="64">
        <v>45471</v>
      </c>
      <c r="C1324" s="9" t="s">
        <v>365</v>
      </c>
      <c r="D1324" s="6" t="s">
        <v>2454</v>
      </c>
      <c r="E1324" s="6" t="s">
        <v>2220</v>
      </c>
      <c r="F1324" s="6" t="s">
        <v>2226</v>
      </c>
      <c r="G1324" s="6" t="s">
        <v>2227</v>
      </c>
      <c r="H1324" s="7">
        <v>3240</v>
      </c>
      <c r="I1324" s="8">
        <f>SUMIF(Cargas!$C$6:$C$1064,C1324,Cargas!$O$6:$O$1064)</f>
        <v>3240</v>
      </c>
      <c r="J1324" s="17">
        <f t="shared" si="25"/>
        <v>0</v>
      </c>
      <c r="K1324" s="34">
        <v>1495489</v>
      </c>
      <c r="L1324" s="34" t="s">
        <v>29</v>
      </c>
      <c r="M1324" s="0">
        <v>2</v>
      </c>
    </row>
    <row r="1325" hidden="1">
      <c r="B1325" s="64">
        <v>45471</v>
      </c>
      <c r="C1325" s="9" t="s">
        <v>371</v>
      </c>
      <c r="D1325" s="6" t="s">
        <v>2456</v>
      </c>
      <c r="E1325" s="6" t="s">
        <v>2220</v>
      </c>
      <c r="F1325" s="6" t="s">
        <v>2226</v>
      </c>
      <c r="G1325" s="6" t="s">
        <v>2227</v>
      </c>
      <c r="H1325" s="7">
        <v>1128</v>
      </c>
      <c r="I1325" s="8">
        <f>SUMIF(Cargas!$C$6:$C$1064,C1325,Cargas!$O$6:$O$1064)</f>
        <v>1128</v>
      </c>
      <c r="J1325" s="17">
        <f t="shared" si="25"/>
        <v>0</v>
      </c>
      <c r="K1325" s="90">
        <v>1495485</v>
      </c>
      <c r="L1325" s="34" t="s">
        <v>29</v>
      </c>
      <c r="M1325" s="0">
        <v>2</v>
      </c>
    </row>
    <row r="1326" hidden="1">
      <c r="B1326" s="64">
        <v>44824</v>
      </c>
      <c r="C1326" s="9" t="s">
        <v>3825</v>
      </c>
      <c r="D1326" s="6" t="s">
        <v>3410</v>
      </c>
      <c r="E1326" s="6" t="s">
        <v>2220</v>
      </c>
      <c r="F1326" s="6" t="s">
        <v>2226</v>
      </c>
      <c r="G1326" s="6" t="s">
        <v>2258</v>
      </c>
      <c r="H1326" s="7">
        <v>2176</v>
      </c>
      <c r="I1326" s="8">
        <f>SUMIF(Cargas!$C$6:$C$1064,C1326,Cargas!$O$6:$O$1064)</f>
        <v>0</v>
      </c>
      <c r="J1326" s="17">
        <f t="shared" si="25"/>
        <v>2176</v>
      </c>
      <c r="K1326" s="34">
        <v>1439639</v>
      </c>
      <c r="L1326" s="34">
        <v>186072</v>
      </c>
    </row>
    <row r="1327" hidden="1">
      <c r="B1327" s="64">
        <v>44824</v>
      </c>
      <c r="C1327" s="9" t="s">
        <v>3826</v>
      </c>
      <c r="D1327" s="6" t="s">
        <v>3738</v>
      </c>
      <c r="E1327" s="6" t="s">
        <v>2220</v>
      </c>
      <c r="F1327" s="6" t="s">
        <v>2226</v>
      </c>
      <c r="G1327" s="6" t="s">
        <v>2227</v>
      </c>
      <c r="H1327" s="7">
        <v>3240</v>
      </c>
      <c r="I1327" s="8">
        <f>SUMIF(Cargas!$C$6:$C$1064,C1327,Cargas!$O$6:$O$1064)</f>
        <v>0</v>
      </c>
      <c r="J1327" s="17">
        <f t="shared" si="25"/>
        <v>3240</v>
      </c>
      <c r="K1327" s="34">
        <v>1439640</v>
      </c>
      <c r="L1327" s="34">
        <v>187588</v>
      </c>
    </row>
    <row r="1328" hidden="1">
      <c r="B1328" s="64">
        <v>45480</v>
      </c>
      <c r="C1328" s="9" t="s">
        <v>416</v>
      </c>
      <c r="D1328" s="6" t="s">
        <v>2458</v>
      </c>
      <c r="E1328" s="6" t="s">
        <v>2220</v>
      </c>
      <c r="F1328" s="6" t="s">
        <v>2226</v>
      </c>
      <c r="G1328" s="6" t="s">
        <v>2227</v>
      </c>
      <c r="H1328" s="7">
        <v>3240</v>
      </c>
      <c r="I1328" s="8">
        <f>SUMIF(Cargas!$C$6:$C$1064,C1328,Cargas!$O$6:$O$1064)</f>
        <v>3240</v>
      </c>
      <c r="J1328" s="17">
        <f t="shared" si="25"/>
        <v>0</v>
      </c>
      <c r="K1328" s="34">
        <v>1496155</v>
      </c>
      <c r="L1328" s="34">
        <v>145855</v>
      </c>
    </row>
    <row r="1329" hidden="1">
      <c r="B1329" s="64">
        <v>45480</v>
      </c>
      <c r="C1329" s="9" t="s">
        <v>420</v>
      </c>
      <c r="D1329" s="6" t="s">
        <v>2460</v>
      </c>
      <c r="E1329" s="6" t="s">
        <v>2220</v>
      </c>
      <c r="F1329" s="6" t="s">
        <v>2226</v>
      </c>
      <c r="G1329" s="6" t="s">
        <v>2227</v>
      </c>
      <c r="H1329" s="7">
        <v>1128</v>
      </c>
      <c r="I1329" s="8">
        <f>SUMIF(Cargas!$C$6:$C$1064,C1329,Cargas!$O$6:$O$1064)</f>
        <v>1128</v>
      </c>
      <c r="J1329" s="17">
        <f t="shared" si="25"/>
        <v>0</v>
      </c>
      <c r="K1329" s="34">
        <v>1496456</v>
      </c>
      <c r="L1329" s="34" t="s">
        <v>29</v>
      </c>
      <c r="N1329" s="0">
        <v>1</v>
      </c>
    </row>
    <row r="1330" hidden="1">
      <c r="B1330" s="64">
        <v>45491</v>
      </c>
      <c r="C1330" s="9" t="s">
        <v>429</v>
      </c>
      <c r="D1330" s="6" t="s">
        <v>2475</v>
      </c>
      <c r="E1330" s="6" t="s">
        <v>2220</v>
      </c>
      <c r="F1330" s="6" t="s">
        <v>2226</v>
      </c>
      <c r="G1330" s="6" t="s">
        <v>2227</v>
      </c>
      <c r="H1330" s="7">
        <v>2160</v>
      </c>
      <c r="I1330" s="8">
        <f>SUMIF(Cargas!$C$6:$C$1064,C1330,Cargas!$O$6:$O$1064)</f>
        <v>2160</v>
      </c>
      <c r="J1330" s="17">
        <f t="shared" si="25"/>
        <v>0</v>
      </c>
      <c r="K1330" s="34">
        <v>1496768</v>
      </c>
      <c r="L1330" s="34">
        <v>149163</v>
      </c>
      <c r="N1330" s="0">
        <v>1</v>
      </c>
    </row>
    <row r="1331" hidden="1">
      <c r="B1331" s="64">
        <v>45494</v>
      </c>
      <c r="C1331" s="9" t="s">
        <v>435</v>
      </c>
      <c r="D1331" s="6" t="s">
        <v>2486</v>
      </c>
      <c r="E1331" s="6" t="s">
        <v>2220</v>
      </c>
      <c r="F1331" s="6" t="s">
        <v>2226</v>
      </c>
      <c r="G1331" s="6" t="s">
        <v>2227</v>
      </c>
      <c r="H1331" s="7">
        <v>3240</v>
      </c>
      <c r="I1331" s="8">
        <f>SUMIF(Cargas!$C$6:$C$1064,C1331,Cargas!$O$6:$O$1064)</f>
        <v>3240</v>
      </c>
      <c r="J1331" s="17">
        <f t="shared" si="25"/>
        <v>0</v>
      </c>
      <c r="K1331" s="34">
        <v>1497293</v>
      </c>
      <c r="L1331" s="34">
        <v>156624</v>
      </c>
      <c r="N1331" s="0">
        <v>1</v>
      </c>
    </row>
    <row r="1332" hidden="1">
      <c r="B1332" s="64">
        <v>45494</v>
      </c>
      <c r="C1332" s="9" t="s">
        <v>444</v>
      </c>
      <c r="D1332" s="6" t="s">
        <v>2492</v>
      </c>
      <c r="E1332" s="6" t="s">
        <v>2220</v>
      </c>
      <c r="F1332" s="6" t="s">
        <v>2226</v>
      </c>
      <c r="G1332" s="6" t="s">
        <v>2227</v>
      </c>
      <c r="H1332" s="7">
        <v>1128</v>
      </c>
      <c r="I1332" s="8">
        <f>SUMIF(Cargas!$C$6:$C$1064,C1332,Cargas!$O$6:$O$1064)</f>
        <v>1128</v>
      </c>
      <c r="J1332" s="17">
        <f t="shared" si="25"/>
        <v>0</v>
      </c>
      <c r="K1332" s="34">
        <v>1497294</v>
      </c>
      <c r="L1332" s="34">
        <v>156675</v>
      </c>
      <c r="N1332" s="0">
        <v>1</v>
      </c>
    </row>
    <row r="1333" hidden="1">
      <c r="B1333" s="64">
        <v>45501</v>
      </c>
      <c r="C1333" s="9" t="s">
        <v>452</v>
      </c>
      <c r="D1333" s="6" t="s">
        <v>2500</v>
      </c>
      <c r="E1333" s="6" t="s">
        <v>2220</v>
      </c>
      <c r="F1333" s="6" t="s">
        <v>2226</v>
      </c>
      <c r="G1333" s="6" t="s">
        <v>2227</v>
      </c>
      <c r="H1333" s="7">
        <v>1080</v>
      </c>
      <c r="I1333" s="8">
        <f>SUMIF(Cargas!$C$6:$C$1064,C1333,Cargas!$O$6:$O$1064)</f>
        <v>1080</v>
      </c>
      <c r="J1333" s="17">
        <f t="shared" si="25"/>
        <v>0</v>
      </c>
      <c r="K1333" s="34">
        <v>1498190</v>
      </c>
      <c r="L1333" s="34">
        <v>159826</v>
      </c>
    </row>
    <row r="1334" hidden="1">
      <c r="B1334" s="64">
        <v>45501</v>
      </c>
      <c r="C1334" s="9" t="s">
        <v>473</v>
      </c>
      <c r="D1334" s="6" t="s">
        <v>3827</v>
      </c>
      <c r="E1334" s="6" t="s">
        <v>2220</v>
      </c>
      <c r="F1334" s="6" t="s">
        <v>2226</v>
      </c>
      <c r="G1334" s="6" t="s">
        <v>2227</v>
      </c>
      <c r="H1334" s="7">
        <v>1080</v>
      </c>
      <c r="I1334" s="8">
        <f>SUMIF(Cargas!$C$6:$C$1064,C1334,Cargas!$O$6:$O$1064)</f>
        <v>1080</v>
      </c>
      <c r="J1334" s="17">
        <f t="shared" si="25"/>
        <v>0</v>
      </c>
      <c r="K1334" s="34">
        <v>1498191</v>
      </c>
      <c r="L1334" s="34">
        <v>165466</v>
      </c>
      <c r="N1334" s="0">
        <v>1</v>
      </c>
    </row>
    <row r="1335" hidden="1">
      <c r="B1335" s="64">
        <v>45501</v>
      </c>
      <c r="C1335" s="9" t="s">
        <v>475</v>
      </c>
      <c r="D1335" s="6" t="s">
        <v>3828</v>
      </c>
      <c r="E1335" s="6" t="s">
        <v>2220</v>
      </c>
      <c r="F1335" s="6" t="s">
        <v>2226</v>
      </c>
      <c r="G1335" s="6" t="s">
        <v>2227</v>
      </c>
      <c r="H1335" s="7">
        <v>1112</v>
      </c>
      <c r="I1335" s="8">
        <f>SUMIF(Cargas!$C$6:$C$1064,C1335,Cargas!$O$6:$O$1064)</f>
        <v>1122</v>
      </c>
      <c r="J1335" s="17">
        <f t="shared" si="25"/>
        <v>0</v>
      </c>
      <c r="K1335" s="34">
        <v>1498191</v>
      </c>
      <c r="L1335" s="34">
        <v>165427</v>
      </c>
      <c r="N1335" s="0">
        <v>1</v>
      </c>
    </row>
    <row r="1336" hidden="1">
      <c r="B1336" s="64">
        <v>45508</v>
      </c>
      <c r="C1336" s="9" t="s">
        <v>493</v>
      </c>
      <c r="D1336" s="6" t="s">
        <v>2508</v>
      </c>
      <c r="E1336" s="6" t="s">
        <v>2220</v>
      </c>
      <c r="F1336" s="6" t="s">
        <v>2226</v>
      </c>
      <c r="G1336" s="6" t="s">
        <v>2227</v>
      </c>
      <c r="H1336" s="7">
        <v>2160</v>
      </c>
      <c r="I1336" s="8">
        <f>SUMIF(Cargas!$C$6:$C$1064,C1336,Cargas!$O$6:$O$1064)</f>
        <v>2160</v>
      </c>
      <c r="J1336" s="17">
        <f t="shared" si="25"/>
        <v>0</v>
      </c>
      <c r="K1336" s="34">
        <v>1498788</v>
      </c>
      <c r="L1336" s="34">
        <v>167564</v>
      </c>
      <c r="N1336" s="0">
        <v>1</v>
      </c>
    </row>
    <row r="1337" hidden="1">
      <c r="B1337" s="64">
        <v>45508</v>
      </c>
      <c r="C1337" s="9" t="s">
        <v>478</v>
      </c>
      <c r="D1337" s="6" t="s">
        <v>2514</v>
      </c>
      <c r="E1337" s="6" t="s">
        <v>2220</v>
      </c>
      <c r="F1337" s="6" t="s">
        <v>2226</v>
      </c>
      <c r="G1337" s="6" t="s">
        <v>2227</v>
      </c>
      <c r="H1337" s="7">
        <v>1096</v>
      </c>
      <c r="I1337" s="8">
        <f>SUMIF(Cargas!$C$6:$C$1064,C1337,Cargas!$O$6:$O$1064)</f>
        <v>1096</v>
      </c>
      <c r="J1337" s="17">
        <f t="shared" si="25"/>
        <v>0</v>
      </c>
      <c r="K1337" s="34">
        <v>1498787</v>
      </c>
      <c r="L1337" s="34">
        <v>166613</v>
      </c>
      <c r="N1337" s="0">
        <v>1</v>
      </c>
    </row>
    <row r="1338" hidden="1">
      <c r="B1338" s="64">
        <v>45515</v>
      </c>
      <c r="C1338" s="9" t="s">
        <v>505</v>
      </c>
      <c r="D1338" s="6" t="s">
        <v>2520</v>
      </c>
      <c r="E1338" s="6" t="s">
        <v>2220</v>
      </c>
      <c r="F1338" s="6" t="s">
        <v>2226</v>
      </c>
      <c r="G1338" s="6" t="s">
        <v>2227</v>
      </c>
      <c r="H1338" s="7">
        <v>3240</v>
      </c>
      <c r="I1338" s="8">
        <f>SUMIF(Cargas!$C$6:$C$1064,C1338,Cargas!$O$6:$O$1064)</f>
        <v>3240</v>
      </c>
      <c r="J1338" s="17">
        <f t="shared" si="25"/>
        <v>0</v>
      </c>
      <c r="K1338" s="34">
        <v>1499591</v>
      </c>
      <c r="L1338" s="34">
        <v>173321</v>
      </c>
    </row>
    <row r="1339" hidden="1">
      <c r="B1339" s="64">
        <v>45524</v>
      </c>
      <c r="C1339" s="9" t="s">
        <v>512</v>
      </c>
      <c r="D1339" s="6" t="s">
        <v>2524</v>
      </c>
      <c r="E1339" s="6" t="s">
        <v>2220</v>
      </c>
      <c r="F1339" s="6" t="s">
        <v>2226</v>
      </c>
      <c r="G1339" s="6" t="s">
        <v>2227</v>
      </c>
      <c r="H1339" s="7">
        <v>2160</v>
      </c>
      <c r="I1339" s="8">
        <f>SUMIF(Cargas!$C$6:$C$1064,C1339,Cargas!$O$6:$O$1064)</f>
        <v>2160</v>
      </c>
      <c r="J1339" s="17">
        <f t="shared" si="25"/>
        <v>0</v>
      </c>
      <c r="K1339" s="34">
        <v>1499988</v>
      </c>
      <c r="L1339" s="34">
        <v>175337</v>
      </c>
    </row>
    <row r="1340" hidden="1">
      <c r="B1340" s="64">
        <v>45524</v>
      </c>
      <c r="C1340" s="9" t="s">
        <v>515</v>
      </c>
      <c r="D1340" s="6" t="s">
        <v>2530</v>
      </c>
      <c r="E1340" s="6" t="s">
        <v>2220</v>
      </c>
      <c r="F1340" s="6" t="s">
        <v>2226</v>
      </c>
      <c r="G1340" s="6" t="s">
        <v>2227</v>
      </c>
      <c r="H1340" s="7">
        <v>1128</v>
      </c>
      <c r="I1340" s="8">
        <f>SUMIF(Cargas!$C$6:$C$1064,C1340,Cargas!$O$6:$O$1064)</f>
        <v>1128</v>
      </c>
      <c r="J1340" s="17">
        <f t="shared" si="25"/>
        <v>0</v>
      </c>
      <c r="K1340" s="34">
        <v>1499989</v>
      </c>
      <c r="L1340" s="34">
        <v>174541</v>
      </c>
    </row>
    <row r="1341" hidden="1">
      <c r="B1341" s="64">
        <v>45529</v>
      </c>
      <c r="C1341" s="9" t="s">
        <v>527</v>
      </c>
      <c r="D1341" s="6" t="s">
        <v>2532</v>
      </c>
      <c r="E1341" s="6" t="s">
        <v>2220</v>
      </c>
      <c r="F1341" s="6" t="s">
        <v>2226</v>
      </c>
      <c r="G1341" s="6" t="s">
        <v>2227</v>
      </c>
      <c r="H1341" s="7">
        <v>2160</v>
      </c>
      <c r="I1341" s="8">
        <f>SUMIF(Cargas!$C$6:$C$1064,C1341,Cargas!$O$6:$O$1064)</f>
        <v>2160</v>
      </c>
      <c r="J1341" s="17">
        <f t="shared" si="25"/>
        <v>0</v>
      </c>
      <c r="K1341" s="34">
        <v>1500764</v>
      </c>
      <c r="L1341" s="34">
        <v>177616</v>
      </c>
    </row>
    <row r="1342" hidden="1">
      <c r="B1342" s="64">
        <v>45529</v>
      </c>
      <c r="C1342" s="9" t="s">
        <v>530</v>
      </c>
      <c r="D1342" s="6" t="s">
        <v>2528</v>
      </c>
      <c r="E1342" s="6" t="s">
        <v>2220</v>
      </c>
      <c r="F1342" s="6" t="s">
        <v>2226</v>
      </c>
      <c r="G1342" s="6" t="s">
        <v>2227</v>
      </c>
      <c r="H1342" s="7">
        <v>1080</v>
      </c>
      <c r="I1342" s="8">
        <f>SUMIF(Cargas!$C$6:$C$1064,C1342,Cargas!$O$6:$O$1064)</f>
        <v>1080</v>
      </c>
      <c r="J1342" s="17">
        <f t="shared" si="25"/>
        <v>0</v>
      </c>
      <c r="K1342" s="34">
        <v>1500765</v>
      </c>
      <c r="L1342" s="34">
        <v>177586</v>
      </c>
    </row>
    <row r="1343" hidden="1">
      <c r="B1343" s="64">
        <v>45622</v>
      </c>
      <c r="C1343" s="9" t="s">
        <v>857</v>
      </c>
      <c r="D1343" s="6" t="s">
        <v>3829</v>
      </c>
      <c r="E1343" s="6" t="s">
        <v>2225</v>
      </c>
      <c r="F1343" s="6" t="s">
        <v>2226</v>
      </c>
      <c r="G1343" s="6" t="s">
        <v>2227</v>
      </c>
      <c r="H1343" s="7">
        <v>1680</v>
      </c>
      <c r="I1343" s="8">
        <f>SUMIF(Cargas!$C$6:$C$1064,C1343,Cargas!$O$6:$O$1064)</f>
        <v>1680</v>
      </c>
      <c r="J1343" s="17">
        <f t="shared" si="25"/>
        <v>0</v>
      </c>
      <c r="K1343" s="34">
        <v>1510496</v>
      </c>
      <c r="L1343" s="34">
        <v>252948</v>
      </c>
    </row>
    <row r="1344" hidden="1">
      <c r="B1344" s="64">
        <v>45705</v>
      </c>
      <c r="C1344" s="9" t="s">
        <v>1070</v>
      </c>
      <c r="D1344" s="6" t="s">
        <v>2968</v>
      </c>
      <c r="E1344" s="6" t="s">
        <v>2712</v>
      </c>
      <c r="F1344" s="6" t="s">
        <v>2226</v>
      </c>
      <c r="G1344" s="6" t="s">
        <v>2258</v>
      </c>
      <c r="H1344" s="7">
        <v>2112</v>
      </c>
      <c r="I1344" s="8">
        <f>SUMIF(Cargas!$C$6:$C$1064,C1344,Cargas!$O$6:$O$1064)</f>
        <v>2112</v>
      </c>
      <c r="J1344" s="17">
        <f t="shared" si="25"/>
        <v>0</v>
      </c>
      <c r="K1344" s="34"/>
      <c r="L1344" s="34">
        <v>36304</v>
      </c>
    </row>
    <row r="1345" hidden="1">
      <c r="B1345" s="64">
        <v>45713</v>
      </c>
      <c r="C1345" s="9" t="s">
        <v>1082</v>
      </c>
      <c r="D1345" s="6" t="s">
        <v>3251</v>
      </c>
      <c r="E1345" s="6" t="s">
        <v>2712</v>
      </c>
      <c r="F1345" s="6" t="s">
        <v>2226</v>
      </c>
      <c r="G1345" s="6" t="s">
        <v>2258</v>
      </c>
      <c r="H1345" s="7">
        <v>2112</v>
      </c>
      <c r="I1345" s="8">
        <f>SUMIF(Cargas!$C$6:$C$1064,C1345,Cargas!$O$6:$O$1064)</f>
        <v>2112</v>
      </c>
      <c r="J1345" s="17">
        <f t="shared" si="25"/>
        <v>0</v>
      </c>
      <c r="K1345" s="34"/>
      <c r="L1345" s="34">
        <v>40969</v>
      </c>
    </row>
    <row r="1346" hidden="1" ht="15.75">
      <c r="B1346" s="64">
        <v>45764</v>
      </c>
      <c r="C1346" s="9" t="s">
        <v>1222</v>
      </c>
      <c r="D1346" s="6" t="s">
        <v>2398</v>
      </c>
      <c r="E1346" s="6" t="s">
        <v>3026</v>
      </c>
      <c r="F1346" s="6" t="s">
        <v>2226</v>
      </c>
      <c r="G1346" s="6" t="s">
        <v>2258</v>
      </c>
      <c r="H1346" s="7">
        <v>2288</v>
      </c>
      <c r="I1346" s="8">
        <f>SUMIF(Cargas!$C$6:$C$1064,C1346,Cargas!$O$6:$O$1064)</f>
        <v>2288</v>
      </c>
      <c r="J1346" s="17">
        <f t="shared" si="25"/>
        <v>0</v>
      </c>
      <c r="K1346" s="34"/>
      <c r="L1346" s="119">
        <v>75714</v>
      </c>
    </row>
    <row r="1347" hidden="1">
      <c r="B1347" s="64">
        <v>45723</v>
      </c>
      <c r="C1347" s="9" t="s">
        <v>1120</v>
      </c>
      <c r="D1347" s="6" t="s">
        <v>3253</v>
      </c>
      <c r="E1347" s="6" t="s">
        <v>2712</v>
      </c>
      <c r="F1347" s="6" t="s">
        <v>2226</v>
      </c>
      <c r="G1347" s="6" t="s">
        <v>2258</v>
      </c>
      <c r="H1347" s="7">
        <v>2112</v>
      </c>
      <c r="I1347" s="8">
        <f>SUMIF(Cargas!$C$6:$C$1064,C1347,Cargas!$O$6:$O$1064)</f>
        <v>2112</v>
      </c>
      <c r="J1347" s="17">
        <f t="shared" si="25"/>
        <v>0</v>
      </c>
      <c r="K1347" s="34"/>
      <c r="L1347" s="34">
        <v>49006</v>
      </c>
    </row>
    <row r="1348" hidden="1">
      <c r="B1348" s="64">
        <v>45730</v>
      </c>
      <c r="C1348" s="9" t="s">
        <v>1124</v>
      </c>
      <c r="D1348" s="6" t="s">
        <v>3256</v>
      </c>
      <c r="E1348" s="6" t="s">
        <v>2712</v>
      </c>
      <c r="F1348" s="6" t="s">
        <v>2226</v>
      </c>
      <c r="G1348" s="6" t="s">
        <v>3493</v>
      </c>
      <c r="H1348" s="7">
        <v>1936</v>
      </c>
      <c r="I1348" s="8">
        <f>SUMIF(Cargas!$C$6:$C$1064,C1348,Cargas!$O$6:$O$1064)</f>
        <v>1936</v>
      </c>
      <c r="J1348" s="17">
        <f t="shared" si="25"/>
        <v>0</v>
      </c>
      <c r="K1348" s="34"/>
      <c r="L1348" s="34">
        <v>51869</v>
      </c>
    </row>
    <row r="1349" hidden="1">
      <c r="B1349" s="64">
        <v>45663</v>
      </c>
      <c r="C1349" s="9" t="s">
        <v>996</v>
      </c>
      <c r="D1349" s="6" t="s">
        <v>3764</v>
      </c>
      <c r="E1349" s="6" t="s">
        <v>3766</v>
      </c>
      <c r="F1349" s="6" t="s">
        <v>2226</v>
      </c>
      <c r="G1349" s="6" t="s">
        <v>2227</v>
      </c>
      <c r="H1349" s="7">
        <v>2160</v>
      </c>
      <c r="I1349" s="8">
        <f>SUMIF(Cargas!$C$6:$C$1064,C1349,Cargas!$O$6:$O$1064)</f>
        <v>2160</v>
      </c>
      <c r="J1349" s="17">
        <f t="shared" si="25"/>
        <v>0</v>
      </c>
      <c r="K1349" s="34"/>
      <c r="L1349" s="34">
        <v>23225</v>
      </c>
    </row>
    <row r="1350" hidden="1" ht="15.75">
      <c r="B1350" s="64">
        <v>45629</v>
      </c>
      <c r="C1350" s="9" t="s">
        <v>822</v>
      </c>
      <c r="D1350" s="6" t="s">
        <v>3278</v>
      </c>
      <c r="E1350" s="6" t="s">
        <v>2871</v>
      </c>
      <c r="F1350" s="6" t="s">
        <v>2226</v>
      </c>
      <c r="G1350" s="6" t="s">
        <v>2282</v>
      </c>
      <c r="H1350" s="7">
        <v>1936</v>
      </c>
      <c r="I1350" s="8">
        <f>SUMIF(Cargas!$C$6:$C$1064,C1350,Cargas!$O$6:$O$1064)</f>
        <v>1936</v>
      </c>
      <c r="J1350" s="17">
        <f t="shared" si="25"/>
        <v>0</v>
      </c>
      <c r="K1350" s="34"/>
      <c r="L1350" s="119">
        <v>247387</v>
      </c>
    </row>
    <row r="1351" hidden="1">
      <c r="B1351" s="64">
        <v>45599</v>
      </c>
      <c r="C1351" s="9" t="s">
        <v>760</v>
      </c>
      <c r="D1351" s="6" t="s">
        <v>3830</v>
      </c>
      <c r="E1351" s="6" t="s">
        <v>3789</v>
      </c>
      <c r="F1351" s="6" t="s">
        <v>2226</v>
      </c>
      <c r="G1351" s="6" t="s">
        <v>2227</v>
      </c>
      <c r="H1351" s="7">
        <v>2160</v>
      </c>
      <c r="I1351" s="8">
        <f>SUMIF(Cargas!$C$6:$C$1064,C1351,Cargas!$O$6:$O$1064)</f>
        <v>2160</v>
      </c>
      <c r="J1351" s="17">
        <f t="shared" si="25"/>
        <v>0</v>
      </c>
      <c r="K1351" s="34">
        <v>1508560</v>
      </c>
      <c r="L1351" s="34">
        <v>235508</v>
      </c>
      <c r="N1351" s="0">
        <v>1</v>
      </c>
    </row>
    <row r="1352" hidden="1">
      <c r="B1352" s="64">
        <v>45599</v>
      </c>
      <c r="C1352" s="9" t="s">
        <v>735</v>
      </c>
      <c r="D1352" s="6" t="s">
        <v>3831</v>
      </c>
      <c r="E1352" s="6" t="s">
        <v>3789</v>
      </c>
      <c r="F1352" s="6" t="s">
        <v>2226</v>
      </c>
      <c r="G1352" s="6" t="s">
        <v>2227</v>
      </c>
      <c r="H1352" s="7">
        <v>1080</v>
      </c>
      <c r="I1352" s="8">
        <f>SUMIF(Cargas!$C$6:$C$1064,C1352,Cargas!$O$6:$O$1064)</f>
        <v>1080</v>
      </c>
      <c r="J1352" s="17">
        <f t="shared" si="25"/>
        <v>0</v>
      </c>
      <c r="K1352" s="34">
        <v>1508559</v>
      </c>
      <c r="L1352" s="34">
        <v>234432</v>
      </c>
      <c r="N1352" s="0">
        <v>1</v>
      </c>
    </row>
    <row r="1353" hidden="1">
      <c r="B1353" s="64">
        <v>45536</v>
      </c>
      <c r="C1353" s="9" t="s">
        <v>543</v>
      </c>
      <c r="D1353" s="6" t="s">
        <v>2542</v>
      </c>
      <c r="E1353" s="6" t="s">
        <v>2220</v>
      </c>
      <c r="F1353" s="6" t="s">
        <v>2226</v>
      </c>
      <c r="G1353" s="6" t="s">
        <v>2227</v>
      </c>
      <c r="H1353" s="7">
        <v>2160</v>
      </c>
      <c r="I1353" s="8">
        <f>SUMIF(Cargas!$C$6:$C$1064,C1353,Cargas!$O$6:$O$1064)</f>
        <v>2160</v>
      </c>
      <c r="J1353" s="17">
        <f t="shared" si="25"/>
        <v>0</v>
      </c>
      <c r="K1353" s="34">
        <v>1501395</v>
      </c>
      <c r="L1353" s="34">
        <v>183451</v>
      </c>
    </row>
    <row r="1354" hidden="1">
      <c r="B1354" s="64">
        <v>44831</v>
      </c>
      <c r="C1354" s="9" t="s">
        <v>3832</v>
      </c>
      <c r="D1354" s="6" t="s">
        <v>3078</v>
      </c>
      <c r="E1354" s="6" t="s">
        <v>2220</v>
      </c>
      <c r="F1354" s="6" t="s">
        <v>2226</v>
      </c>
      <c r="G1354" s="6" t="s">
        <v>2258</v>
      </c>
      <c r="H1354" s="7">
        <v>4320</v>
      </c>
      <c r="I1354" s="8">
        <f>SUMIF(Cargas!$C$6:$C$1064,C1354,Cargas!$O$6:$O$1064)</f>
        <v>0</v>
      </c>
      <c r="J1354" s="17">
        <f t="shared" si="25"/>
        <v>4320</v>
      </c>
      <c r="K1354" s="34">
        <v>1440529</v>
      </c>
      <c r="L1354" s="34">
        <v>192988</v>
      </c>
    </row>
    <row r="1355" hidden="1">
      <c r="B1355" s="64">
        <v>44831</v>
      </c>
      <c r="C1355" s="9" t="s">
        <v>3833</v>
      </c>
      <c r="D1355" s="6" t="s">
        <v>3399</v>
      </c>
      <c r="E1355" s="6" t="s">
        <v>2220</v>
      </c>
      <c r="F1355" s="6" t="s">
        <v>2226</v>
      </c>
      <c r="G1355" s="6" t="s">
        <v>2258</v>
      </c>
      <c r="H1355" s="7">
        <v>3240</v>
      </c>
      <c r="I1355" s="8">
        <f>SUMIF(Cargas!$C$6:$C$1064,C1355,Cargas!$O$6:$O$1064)</f>
        <v>0</v>
      </c>
      <c r="J1355" s="17">
        <f t="shared" si="25"/>
        <v>3240</v>
      </c>
      <c r="K1355" s="34">
        <v>1440532</v>
      </c>
      <c r="L1355" s="34">
        <v>192968</v>
      </c>
    </row>
    <row r="1356" hidden="1">
      <c r="B1356" s="64">
        <v>44831</v>
      </c>
      <c r="C1356" s="9" t="s">
        <v>3834</v>
      </c>
      <c r="D1356" s="6" t="s">
        <v>3385</v>
      </c>
      <c r="E1356" s="6" t="s">
        <v>2220</v>
      </c>
      <c r="F1356" s="6" t="s">
        <v>2226</v>
      </c>
      <c r="G1356" s="6" t="s">
        <v>2258</v>
      </c>
      <c r="H1356" s="7">
        <v>1144</v>
      </c>
      <c r="I1356" s="8">
        <f>SUMIF(Cargas!$C$6:$C$1064,C1356,Cargas!$O$6:$O$1064)</f>
        <v>0</v>
      </c>
      <c r="J1356" s="17">
        <f t="shared" si="25"/>
        <v>1144</v>
      </c>
      <c r="K1356" s="34">
        <v>1440533</v>
      </c>
      <c r="L1356" s="34">
        <v>192898</v>
      </c>
    </row>
    <row r="1357" hidden="1">
      <c r="B1357" s="64">
        <v>44839</v>
      </c>
      <c r="C1357" s="9" t="s">
        <v>3835</v>
      </c>
      <c r="D1357" s="6" t="s">
        <v>3404</v>
      </c>
      <c r="E1357" s="6" t="s">
        <v>2220</v>
      </c>
      <c r="F1357" s="6" t="s">
        <v>2226</v>
      </c>
      <c r="G1357" s="6" t="s">
        <v>2258</v>
      </c>
      <c r="H1357" s="7">
        <v>5400</v>
      </c>
      <c r="I1357" s="8">
        <f>SUMIF(Cargas!$C$6:$C$1064,C1357,Cargas!$O$6:$O$1064)</f>
        <v>0</v>
      </c>
      <c r="J1357" s="17">
        <f t="shared" si="25"/>
        <v>5400</v>
      </c>
      <c r="K1357" s="34">
        <v>1441139</v>
      </c>
      <c r="L1357" s="34">
        <v>198221</v>
      </c>
    </row>
    <row r="1358" hidden="1">
      <c r="B1358" s="64">
        <v>44839</v>
      </c>
      <c r="C1358" s="9" t="s">
        <v>3836</v>
      </c>
      <c r="D1358" s="6" t="s">
        <v>3005</v>
      </c>
      <c r="E1358" s="6" t="s">
        <v>2220</v>
      </c>
      <c r="F1358" s="6" t="s">
        <v>2226</v>
      </c>
      <c r="G1358" s="6" t="s">
        <v>2258</v>
      </c>
      <c r="H1358" s="7">
        <v>4320</v>
      </c>
      <c r="I1358" s="8">
        <f>SUMIF(Cargas!$C$6:$C$1064,C1358,Cargas!$O$6:$O$1064)</f>
        <v>0</v>
      </c>
      <c r="J1358" s="17">
        <f t="shared" si="25"/>
        <v>4320</v>
      </c>
      <c r="K1358" s="34">
        <v>1441140</v>
      </c>
      <c r="L1358" s="34">
        <v>197164</v>
      </c>
    </row>
    <row r="1359" hidden="1">
      <c r="B1359" s="64">
        <v>44839</v>
      </c>
      <c r="C1359" s="9" t="s">
        <v>3837</v>
      </c>
      <c r="D1359" s="6" t="s">
        <v>2998</v>
      </c>
      <c r="E1359" s="6" t="s">
        <v>2220</v>
      </c>
      <c r="F1359" s="6" t="s">
        <v>2226</v>
      </c>
      <c r="G1359" s="6" t="s">
        <v>2258</v>
      </c>
      <c r="H1359" s="7">
        <v>1112</v>
      </c>
      <c r="I1359" s="8">
        <f>SUMIF(Cargas!$C$6:$C$1064,C1359,Cargas!$O$6:$O$1064)</f>
        <v>0</v>
      </c>
      <c r="J1359" s="17">
        <f t="shared" si="25"/>
        <v>1112</v>
      </c>
      <c r="K1359" s="34">
        <v>1441141</v>
      </c>
      <c r="L1359" s="34">
        <v>197077</v>
      </c>
    </row>
    <row r="1360" hidden="1">
      <c r="B1360" s="64">
        <v>44839</v>
      </c>
      <c r="C1360" s="9" t="s">
        <v>3838</v>
      </c>
      <c r="D1360" s="6" t="s">
        <v>3000</v>
      </c>
      <c r="E1360" s="6" t="s">
        <v>2220</v>
      </c>
      <c r="F1360" s="6" t="s">
        <v>2226</v>
      </c>
      <c r="G1360" s="6" t="s">
        <v>2258</v>
      </c>
      <c r="H1360" s="7">
        <v>3240</v>
      </c>
      <c r="I1360" s="8">
        <f>SUMIF(Cargas!$C$6:$C$1064,C1360,Cargas!$O$6:$O$1064)</f>
        <v>0</v>
      </c>
      <c r="J1360" s="17">
        <f t="shared" si="25"/>
        <v>3240</v>
      </c>
      <c r="K1360" s="34">
        <v>1441146</v>
      </c>
      <c r="L1360" s="34">
        <v>196102</v>
      </c>
    </row>
    <row r="1361" hidden="1">
      <c r="B1361" s="64">
        <v>45536</v>
      </c>
      <c r="C1361" s="9" t="s">
        <v>545</v>
      </c>
      <c r="D1361" s="6" t="s">
        <v>2550</v>
      </c>
      <c r="E1361" s="6" t="s">
        <v>2220</v>
      </c>
      <c r="F1361" s="6" t="s">
        <v>2226</v>
      </c>
      <c r="G1361" s="6" t="s">
        <v>2227</v>
      </c>
      <c r="H1361" s="7">
        <v>1128</v>
      </c>
      <c r="I1361" s="8">
        <f>SUMIF(Cargas!$C$6:$C$1064,C1361,Cargas!$O$6:$O$1064)</f>
        <v>1128</v>
      </c>
      <c r="J1361" s="17">
        <f t="shared" si="25"/>
        <v>0</v>
      </c>
      <c r="K1361" s="34">
        <v>1501397</v>
      </c>
      <c r="L1361" s="34">
        <v>183443</v>
      </c>
    </row>
    <row r="1362" hidden="1">
      <c r="B1362" s="64">
        <v>45543</v>
      </c>
      <c r="C1362" s="9" t="s">
        <v>555</v>
      </c>
      <c r="D1362" s="6" t="s">
        <v>2554</v>
      </c>
      <c r="E1362" s="6" t="s">
        <v>2220</v>
      </c>
      <c r="F1362" s="6" t="s">
        <v>2226</v>
      </c>
      <c r="G1362" s="6" t="s">
        <v>2227</v>
      </c>
      <c r="H1362" s="7">
        <v>1128</v>
      </c>
      <c r="I1362" s="8">
        <f>SUMIF(Cargas!$C$6:$C$1064,C1362,Cargas!$O$6:$O$1064)</f>
        <v>1128</v>
      </c>
      <c r="J1362" s="17">
        <f t="shared" si="25"/>
        <v>0</v>
      </c>
      <c r="K1362" s="34">
        <v>1502030</v>
      </c>
      <c r="L1362" s="34">
        <v>191148</v>
      </c>
    </row>
    <row r="1363" hidden="1">
      <c r="B1363" s="64">
        <v>45550</v>
      </c>
      <c r="C1363" s="9" t="s">
        <v>575</v>
      </c>
      <c r="D1363" s="6" t="s">
        <v>2562</v>
      </c>
      <c r="E1363" s="6" t="s">
        <v>2220</v>
      </c>
      <c r="F1363" s="6" t="s">
        <v>2226</v>
      </c>
      <c r="G1363" s="6" t="s">
        <v>2227</v>
      </c>
      <c r="H1363" s="7">
        <v>2208</v>
      </c>
      <c r="I1363" s="8">
        <f>SUMIF(Cargas!$C$6:$C$1064,C1363,Cargas!$O$6:$O$1064)</f>
        <v>2208</v>
      </c>
      <c r="J1363" s="17">
        <f t="shared" si="25"/>
        <v>0</v>
      </c>
      <c r="K1363" s="34">
        <v>1502924</v>
      </c>
      <c r="L1363" s="34">
        <v>196930</v>
      </c>
    </row>
    <row r="1364" hidden="1">
      <c r="B1364" s="64">
        <v>45557</v>
      </c>
      <c r="C1364" s="9" t="s">
        <v>592</v>
      </c>
      <c r="D1364" s="6" t="s">
        <v>2566</v>
      </c>
      <c r="E1364" s="6" t="s">
        <v>2220</v>
      </c>
      <c r="F1364" s="6" t="s">
        <v>2226</v>
      </c>
      <c r="G1364" s="6" t="s">
        <v>2227</v>
      </c>
      <c r="H1364" s="7">
        <v>1128</v>
      </c>
      <c r="I1364" s="8">
        <f>SUMIF(Cargas!$C$6:$C$1064,C1364,Cargas!$O$6:$O$1064)</f>
        <v>1128</v>
      </c>
      <c r="J1364" s="17">
        <f t="shared" si="25"/>
        <v>0</v>
      </c>
      <c r="K1364" s="138">
        <v>1503557</v>
      </c>
      <c r="L1364" s="34">
        <v>202558</v>
      </c>
      <c r="N1364" s="0">
        <v>1</v>
      </c>
    </row>
    <row r="1365" hidden="1">
      <c r="B1365" s="64">
        <v>45557</v>
      </c>
      <c r="C1365" s="9" t="s">
        <v>585</v>
      </c>
      <c r="D1365" s="6" t="s">
        <v>2575</v>
      </c>
      <c r="E1365" s="6" t="s">
        <v>2220</v>
      </c>
      <c r="F1365" s="6" t="s">
        <v>2226</v>
      </c>
      <c r="G1365" s="6" t="s">
        <v>2227</v>
      </c>
      <c r="H1365" s="7">
        <v>3240</v>
      </c>
      <c r="I1365" s="8">
        <f>SUMIF(Cargas!$C$6:$C$1064,C1365,Cargas!$O$6:$O$1064)</f>
        <v>3240</v>
      </c>
      <c r="J1365" s="17">
        <f t="shared" si="25"/>
        <v>0</v>
      </c>
      <c r="K1365" s="34">
        <v>1503561</v>
      </c>
      <c r="L1365" s="34">
        <v>202582</v>
      </c>
      <c r="N1365" s="0">
        <v>1</v>
      </c>
    </row>
    <row r="1366" hidden="1">
      <c r="B1366" s="64">
        <v>45606</v>
      </c>
      <c r="C1366" s="9" t="s">
        <v>781</v>
      </c>
      <c r="D1366" s="6" t="s">
        <v>3839</v>
      </c>
      <c r="E1366" s="6" t="s">
        <v>3789</v>
      </c>
      <c r="F1366" s="6" t="s">
        <v>2226</v>
      </c>
      <c r="G1366" s="6" t="s">
        <v>2227</v>
      </c>
      <c r="H1366" s="7">
        <v>2160</v>
      </c>
      <c r="I1366" s="8">
        <f>SUMIF(Cargas!$C$6:$C$1064,C1366,Cargas!$O$6:$O$1064)</f>
        <v>2160</v>
      </c>
      <c r="J1366" s="17">
        <f t="shared" si="25"/>
        <v>0</v>
      </c>
      <c r="K1366" s="34">
        <v>1509236</v>
      </c>
      <c r="L1366" s="34">
        <v>240118</v>
      </c>
      <c r="N1366" s="0">
        <v>1</v>
      </c>
    </row>
    <row r="1367" hidden="1">
      <c r="B1367" s="64">
        <v>45613</v>
      </c>
      <c r="C1367" s="9" t="s">
        <v>813</v>
      </c>
      <c r="D1367" s="6" t="s">
        <v>3840</v>
      </c>
      <c r="E1367" s="6" t="s">
        <v>3789</v>
      </c>
      <c r="F1367" s="6" t="s">
        <v>2226</v>
      </c>
      <c r="G1367" s="6" t="s">
        <v>2227</v>
      </c>
      <c r="H1367" s="7">
        <v>2160</v>
      </c>
      <c r="I1367" s="8">
        <f>SUMIF(Cargas!$C$6:$C$1064,C1367,Cargas!$O$6:$O$1064)</f>
        <v>2160</v>
      </c>
      <c r="J1367" s="17">
        <f t="shared" si="25"/>
        <v>0</v>
      </c>
      <c r="K1367" s="34">
        <v>1509720</v>
      </c>
      <c r="L1367" s="34">
        <v>245705</v>
      </c>
      <c r="N1367" s="0">
        <v>1</v>
      </c>
    </row>
    <row r="1368" hidden="1">
      <c r="B1368" s="64">
        <v>45613</v>
      </c>
      <c r="C1368" s="9" t="s">
        <v>801</v>
      </c>
      <c r="D1368" s="6" t="s">
        <v>3841</v>
      </c>
      <c r="E1368" s="6" t="s">
        <v>3789</v>
      </c>
      <c r="F1368" s="6" t="s">
        <v>2226</v>
      </c>
      <c r="G1368" s="6" t="s">
        <v>2227</v>
      </c>
      <c r="H1368" s="7">
        <v>1080</v>
      </c>
      <c r="I1368" s="8">
        <f>SUMIF(Cargas!$C$6:$C$1064,C1368,Cargas!$O$6:$O$1064)</f>
        <v>1080</v>
      </c>
      <c r="J1368" s="17">
        <f t="shared" si="25"/>
        <v>0</v>
      </c>
      <c r="K1368" s="34">
        <v>1509721</v>
      </c>
      <c r="L1368" s="34">
        <v>243791</v>
      </c>
      <c r="N1368" s="0">
        <v>1</v>
      </c>
    </row>
    <row r="1369" hidden="1" ht="15.75">
      <c r="B1369" s="64">
        <v>46085</v>
      </c>
      <c r="C1369" s="9" t="s">
        <v>1864</v>
      </c>
      <c r="D1369" s="6" t="s">
        <v>3842</v>
      </c>
      <c r="E1369" s="6" t="s">
        <v>3766</v>
      </c>
      <c r="F1369" s="6" t="s">
        <v>2226</v>
      </c>
      <c r="G1369" s="6" t="s">
        <v>3766</v>
      </c>
      <c r="H1369" s="7">
        <v>1540</v>
      </c>
      <c r="I1369" s="8">
        <f>SUMIF(Cargas!$C$6:$C$1064,C1369,Cargas!$O$6:$O$1064)</f>
        <v>1540</v>
      </c>
      <c r="J1369" s="17">
        <f t="shared" si="25"/>
        <v>0</v>
      </c>
      <c r="K1369" s="34"/>
      <c r="L1369" s="119">
        <v>45412</v>
      </c>
      <c r="N1369" s="0">
        <v>1</v>
      </c>
    </row>
    <row r="1370" hidden="1" ht="15.75">
      <c r="B1370" s="64">
        <v>46121</v>
      </c>
      <c r="C1370" s="9" t="s">
        <v>1942</v>
      </c>
      <c r="D1370" s="6" t="s">
        <v>3843</v>
      </c>
      <c r="E1370" s="6" t="s">
        <v>3766</v>
      </c>
      <c r="F1370" s="6" t="s">
        <v>2226</v>
      </c>
      <c r="G1370" s="6" t="s">
        <v>3766</v>
      </c>
      <c r="H1370" s="7">
        <v>1320</v>
      </c>
      <c r="I1370" s="8">
        <f>SUMIF(Cargas!$C$6:$C$1064,C1370,Cargas!$O$6:$O$1064)</f>
        <v>1320</v>
      </c>
      <c r="J1370" s="17">
        <f t="shared" si="25"/>
        <v>0</v>
      </c>
      <c r="K1370" s="34"/>
      <c r="L1370" s="119" t="s">
        <v>29</v>
      </c>
    </row>
    <row r="1371" hidden="1" ht="15.75">
      <c r="B1371" s="64">
        <v>46086</v>
      </c>
      <c r="C1371" s="9" t="s">
        <v>1882</v>
      </c>
      <c r="D1371" s="6" t="s">
        <v>3844</v>
      </c>
      <c r="E1371" s="6" t="s">
        <v>3845</v>
      </c>
      <c r="F1371" s="6" t="s">
        <v>978</v>
      </c>
      <c r="G1371" s="6" t="s">
        <v>3846</v>
      </c>
      <c r="H1371" s="7">
        <v>2100</v>
      </c>
      <c r="I1371" s="8">
        <f>SUMIF(Cargas!$C$6:$C$1064,C1371,Cargas!$O$6:$O$1064)</f>
        <v>2100</v>
      </c>
      <c r="J1371" s="17">
        <f t="shared" si="25"/>
        <v>0</v>
      </c>
      <c r="K1371" s="34"/>
      <c r="L1371" s="119">
        <v>50741</v>
      </c>
      <c r="N1371" s="0">
        <v>1</v>
      </c>
    </row>
    <row r="1372" hidden="1" ht="15.75">
      <c r="B1372" s="64">
        <v>46027</v>
      </c>
      <c r="C1372" s="9" t="s">
        <v>1754</v>
      </c>
      <c r="D1372" s="6" t="s">
        <v>3847</v>
      </c>
      <c r="E1372" s="6" t="s">
        <v>3498</v>
      </c>
      <c r="F1372" s="6" t="s">
        <v>978</v>
      </c>
      <c r="G1372" s="6" t="s">
        <v>3500</v>
      </c>
      <c r="H1372" s="7">
        <v>2100</v>
      </c>
      <c r="I1372" s="8">
        <f>SUMIF(Cargas!$C$6:$C$1064,C1372,Cargas!$O$6:$O$1064)</f>
        <v>2100</v>
      </c>
      <c r="J1372" s="17">
        <f t="shared" si="25"/>
        <v>0</v>
      </c>
      <c r="K1372" s="34">
        <v>1547719</v>
      </c>
      <c r="L1372" s="119">
        <v>9728</v>
      </c>
      <c r="N1372" s="0">
        <v>1</v>
      </c>
    </row>
    <row r="1373" hidden="1" ht="15.75">
      <c r="B1373" s="64">
        <v>46027</v>
      </c>
      <c r="C1373" s="9" t="s">
        <v>1752</v>
      </c>
      <c r="D1373" s="6" t="s">
        <v>3848</v>
      </c>
      <c r="E1373" s="6" t="s">
        <v>2559</v>
      </c>
      <c r="F1373" s="6" t="s">
        <v>978</v>
      </c>
      <c r="G1373" s="6" t="s">
        <v>2560</v>
      </c>
      <c r="H1373" s="7">
        <v>1104</v>
      </c>
      <c r="I1373" s="8">
        <f>SUMIF(Cargas!$C$6:$C$1064,C1373,Cargas!$O$6:$O$1064)</f>
        <v>1104</v>
      </c>
      <c r="J1373" s="17">
        <f t="shared" si="25"/>
        <v>0</v>
      </c>
      <c r="K1373" s="34">
        <v>1544708</v>
      </c>
      <c r="L1373" s="119">
        <v>9629</v>
      </c>
    </row>
    <row r="1374" hidden="1">
      <c r="B1374" s="64">
        <v>45573</v>
      </c>
      <c r="C1374" s="9" t="s">
        <v>620</v>
      </c>
      <c r="D1374" s="6" t="s">
        <v>3169</v>
      </c>
      <c r="E1374" s="6" t="s">
        <v>2220</v>
      </c>
      <c r="F1374" s="6" t="s">
        <v>2226</v>
      </c>
      <c r="G1374" s="6" t="s">
        <v>2227</v>
      </c>
      <c r="H1374" s="7">
        <v>2208</v>
      </c>
      <c r="I1374" s="8">
        <f>SUMIF(Cargas!$C$6:$C$1064,C1374,Cargas!$O$6:$O$1064)</f>
        <v>2208</v>
      </c>
      <c r="J1374" s="17">
        <f t="shared" si="25"/>
        <v>0</v>
      </c>
      <c r="K1374" s="34">
        <v>1504506</v>
      </c>
      <c r="L1374" s="34">
        <v>212034</v>
      </c>
    </row>
    <row r="1375" hidden="1">
      <c r="B1375" s="64">
        <v>45573</v>
      </c>
      <c r="C1375" s="9" t="s">
        <v>614</v>
      </c>
      <c r="D1375" s="6" t="s">
        <v>2600</v>
      </c>
      <c r="E1375" s="6" t="s">
        <v>2220</v>
      </c>
      <c r="F1375" s="6" t="s">
        <v>2226</v>
      </c>
      <c r="G1375" s="6" t="s">
        <v>2227</v>
      </c>
      <c r="H1375" s="7">
        <v>2160</v>
      </c>
      <c r="I1375" s="8">
        <f>SUMIF(Cargas!$C$6:$C$1064,C1375,Cargas!$O$6:$O$1064)</f>
        <v>2160</v>
      </c>
      <c r="J1375" s="17">
        <f t="shared" si="25"/>
        <v>0</v>
      </c>
      <c r="K1375" s="34">
        <v>1505061</v>
      </c>
      <c r="L1375" s="34">
        <v>209193</v>
      </c>
    </row>
    <row r="1376" hidden="1">
      <c r="B1376" s="64">
        <v>45464</v>
      </c>
      <c r="C1376" s="9" t="s">
        <v>324</v>
      </c>
      <c r="D1376" s="6" t="s">
        <v>3747</v>
      </c>
      <c r="E1376" s="6" t="s">
        <v>3748</v>
      </c>
      <c r="F1376" s="6" t="s">
        <v>2226</v>
      </c>
      <c r="G1376" s="6" t="s">
        <v>3849</v>
      </c>
      <c r="H1376" s="7">
        <v>3240</v>
      </c>
      <c r="I1376" s="8">
        <f>SUMIF(Cargas!$C$6:$C$1064,C1376,Cargas!$O$6:$O$1064)</f>
        <v>3240</v>
      </c>
      <c r="J1376" s="17">
        <f t="shared" si="25"/>
        <v>0</v>
      </c>
      <c r="K1376" s="34"/>
      <c r="L1376" s="34">
        <v>135671</v>
      </c>
      <c r="M1376" s="0">
        <v>1</v>
      </c>
    </row>
    <row r="1377" hidden="1">
      <c r="B1377" s="64">
        <v>45483</v>
      </c>
      <c r="C1377" s="9" t="s">
        <v>359</v>
      </c>
      <c r="D1377" s="6" t="s">
        <v>3111</v>
      </c>
      <c r="E1377" s="6" t="s">
        <v>3850</v>
      </c>
      <c r="F1377" s="6" t="s">
        <v>2221</v>
      </c>
      <c r="G1377" s="6" t="s">
        <v>2222</v>
      </c>
      <c r="H1377" s="7">
        <v>2352</v>
      </c>
      <c r="I1377" s="8">
        <f>SUMIF(Cargas!$C$6:$C$1064,C1377,Cargas!$O$6:$O$1064)</f>
        <v>2352</v>
      </c>
      <c r="J1377" s="17">
        <f t="shared" si="25"/>
        <v>0</v>
      </c>
      <c r="K1377" s="34"/>
      <c r="L1377" s="34" t="s">
        <v>29</v>
      </c>
    </row>
    <row r="1378" hidden="1">
      <c r="B1378" s="64">
        <v>45578</v>
      </c>
      <c r="C1378" s="9" t="s">
        <v>639</v>
      </c>
      <c r="D1378" s="6" t="s">
        <v>2610</v>
      </c>
      <c r="E1378" s="6" t="s">
        <v>2220</v>
      </c>
      <c r="F1378" s="6" t="s">
        <v>2226</v>
      </c>
      <c r="G1378" s="6" t="s">
        <v>2227</v>
      </c>
      <c r="H1378" s="7">
        <v>3240</v>
      </c>
      <c r="I1378" s="8">
        <f>SUMIF(Cargas!$C$6:$C$1064,C1378,Cargas!$O$6:$O$1064)</f>
        <v>3240</v>
      </c>
      <c r="J1378" s="17">
        <f t="shared" si="25"/>
        <v>0</v>
      </c>
      <c r="K1378" s="34">
        <v>1506046</v>
      </c>
      <c r="L1378" s="34">
        <v>217625</v>
      </c>
    </row>
    <row r="1379" hidden="1">
      <c r="B1379" s="64">
        <v>45578</v>
      </c>
      <c r="C1379" s="9" t="s">
        <v>644</v>
      </c>
      <c r="D1379" s="6" t="s">
        <v>2616</v>
      </c>
      <c r="E1379" s="6" t="s">
        <v>2220</v>
      </c>
      <c r="F1379" s="6" t="s">
        <v>2226</v>
      </c>
      <c r="G1379" s="6" t="s">
        <v>2227</v>
      </c>
      <c r="H1379" s="7">
        <v>1128</v>
      </c>
      <c r="I1379" s="8">
        <f>SUMIF(Cargas!$C$6:$C$1064,C1379,Cargas!$O$6:$O$1064)</f>
        <v>1128</v>
      </c>
      <c r="J1379" s="17">
        <f t="shared" si="25"/>
        <v>0</v>
      </c>
      <c r="K1379" s="34">
        <v>1506047</v>
      </c>
      <c r="L1379" s="34">
        <v>217654</v>
      </c>
    </row>
    <row r="1380" hidden="1">
      <c r="B1380" s="64">
        <v>45585</v>
      </c>
      <c r="C1380" s="9" t="s">
        <v>659</v>
      </c>
      <c r="D1380" s="6" t="s">
        <v>2628</v>
      </c>
      <c r="E1380" s="6" t="s">
        <v>2220</v>
      </c>
      <c r="F1380" s="6" t="s">
        <v>2226</v>
      </c>
      <c r="G1380" s="6" t="s">
        <v>2227</v>
      </c>
      <c r="H1380" s="7">
        <v>5400</v>
      </c>
      <c r="I1380" s="8">
        <f>SUMIF(Cargas!$C$6:$C$1064,C1380,Cargas!$O$6:$O$1064)</f>
        <v>5400</v>
      </c>
      <c r="J1380" s="17">
        <f t="shared" si="25"/>
        <v>0</v>
      </c>
      <c r="K1380" s="34">
        <v>1507093</v>
      </c>
      <c r="L1380" s="34">
        <v>223234</v>
      </c>
    </row>
    <row r="1381" hidden="1">
      <c r="A1381" s="79"/>
      <c r="B1381" s="80">
        <v>45315</v>
      </c>
      <c r="C1381" s="81" t="s">
        <v>77</v>
      </c>
      <c r="D1381" s="82" t="s">
        <v>2915</v>
      </c>
      <c r="E1381" s="6" t="s">
        <v>2916</v>
      </c>
      <c r="F1381" s="82" t="s">
        <v>2226</v>
      </c>
      <c r="G1381" s="82" t="s">
        <v>2227</v>
      </c>
      <c r="H1381" s="83">
        <v>1920</v>
      </c>
      <c r="I1381" s="84">
        <f>SUMIF(Cargas!$C$6:$C$1064,C1381,Cargas!$O$6:$O$1064)</f>
        <v>1920</v>
      </c>
      <c r="J1381" s="85">
        <f t="shared" si="25"/>
        <v>0</v>
      </c>
      <c r="K1381" s="86"/>
      <c r="L1381" s="86">
        <v>29999</v>
      </c>
      <c r="M1381" s="32"/>
    </row>
    <row r="1382" hidden="1">
      <c r="A1382" s="79"/>
      <c r="B1382" s="80">
        <v>45315</v>
      </c>
      <c r="C1382" s="81" t="s">
        <v>80</v>
      </c>
      <c r="D1382" s="82" t="s">
        <v>2963</v>
      </c>
      <c r="E1382" s="6" t="s">
        <v>2916</v>
      </c>
      <c r="F1382" s="82" t="s">
        <v>2226</v>
      </c>
      <c r="G1382" s="82" t="s">
        <v>2227</v>
      </c>
      <c r="H1382" s="83">
        <v>1920</v>
      </c>
      <c r="I1382" s="84">
        <f>SUMIF(Cargas!$C$6:$C$1064,C1382,Cargas!$O$6:$O$1064)</f>
        <v>1920</v>
      </c>
      <c r="J1382" s="85">
        <f t="shared" si="25"/>
        <v>0</v>
      </c>
      <c r="K1382" s="86"/>
      <c r="L1382" s="86">
        <v>3000</v>
      </c>
      <c r="M1382" s="32"/>
    </row>
    <row r="1383" hidden="1">
      <c r="A1383" s="79"/>
      <c r="B1383" s="80">
        <v>45322</v>
      </c>
      <c r="C1383" s="81" t="s">
        <v>92</v>
      </c>
      <c r="D1383" s="82" t="s">
        <v>2974</v>
      </c>
      <c r="E1383" s="6" t="s">
        <v>2916</v>
      </c>
      <c r="F1383" s="82" t="s">
        <v>2226</v>
      </c>
      <c r="G1383" s="82" t="s">
        <v>2227</v>
      </c>
      <c r="H1383" s="83">
        <v>1920</v>
      </c>
      <c r="I1383" s="84">
        <f>SUMIF(Cargas!$C$6:$C$1064,C1383,Cargas!$O$6:$O$1064)</f>
        <v>1920</v>
      </c>
      <c r="J1383" s="85">
        <f t="shared" si="25"/>
        <v>0</v>
      </c>
      <c r="K1383" s="86"/>
      <c r="L1383" s="86">
        <v>37242</v>
      </c>
      <c r="M1383" s="32"/>
    </row>
    <row r="1384" hidden="1">
      <c r="A1384" s="79"/>
      <c r="B1384" s="80">
        <v>45322</v>
      </c>
      <c r="C1384" s="81" t="s">
        <v>96</v>
      </c>
      <c r="D1384" s="82" t="s">
        <v>3052</v>
      </c>
      <c r="E1384" s="6" t="s">
        <v>2916</v>
      </c>
      <c r="F1384" s="82" t="s">
        <v>2226</v>
      </c>
      <c r="G1384" s="82" t="s">
        <v>2227</v>
      </c>
      <c r="H1384" s="83">
        <v>1920</v>
      </c>
      <c r="I1384" s="84">
        <f>SUMIF(Cargas!$C$6:$C$1064,C1384,Cargas!$O$6:$O$1064)</f>
        <v>1920</v>
      </c>
      <c r="J1384" s="85">
        <f t="shared" si="25"/>
        <v>0</v>
      </c>
      <c r="K1384" s="86"/>
      <c r="L1384" s="86">
        <v>37243</v>
      </c>
      <c r="M1384" s="32"/>
    </row>
    <row r="1385" hidden="1">
      <c r="B1385" s="64">
        <v>44852</v>
      </c>
      <c r="C1385" s="9" t="s">
        <v>3851</v>
      </c>
      <c r="D1385" s="6" t="s">
        <v>3011</v>
      </c>
      <c r="E1385" s="6" t="s">
        <v>2220</v>
      </c>
      <c r="F1385" s="6" t="s">
        <v>2226</v>
      </c>
      <c r="G1385" s="6" t="s">
        <v>2258</v>
      </c>
      <c r="H1385" s="7">
        <v>5400</v>
      </c>
      <c r="I1385" s="8">
        <f>SUMIF(Cargas!$C$6:$C$1064,C1385,Cargas!$O$6:$O$1064)</f>
        <v>0</v>
      </c>
      <c r="J1385" s="17">
        <f t="shared" si="25"/>
        <v>5400</v>
      </c>
      <c r="K1385" s="34">
        <v>1442232</v>
      </c>
      <c r="L1385" s="34">
        <v>207937</v>
      </c>
    </row>
    <row r="1386" hidden="1">
      <c r="B1386" s="64">
        <v>44852</v>
      </c>
      <c r="C1386" s="9" t="s">
        <v>3852</v>
      </c>
      <c r="D1386" s="6" t="s">
        <v>3045</v>
      </c>
      <c r="E1386" s="6" t="s">
        <v>2220</v>
      </c>
      <c r="F1386" s="6" t="s">
        <v>2226</v>
      </c>
      <c r="G1386" s="6" t="s">
        <v>2258</v>
      </c>
      <c r="H1386" s="7">
        <v>5400</v>
      </c>
      <c r="I1386" s="8">
        <f>SUMIF(Cargas!$C$6:$C$1064,C1386,Cargas!$O$6:$O$1064)</f>
        <v>0</v>
      </c>
      <c r="J1386" s="17">
        <f ref="J1386:J1449" t="shared" si="26">IF(ABS(H1386-I1386)&lt;20,0,H1386-I1386)</f>
        <v>5400</v>
      </c>
      <c r="K1386" s="34">
        <v>1442233</v>
      </c>
      <c r="L1386" s="34">
        <v>207999</v>
      </c>
    </row>
    <row r="1387" hidden="1">
      <c r="B1387" s="64">
        <v>44852</v>
      </c>
      <c r="C1387" s="9" t="s">
        <v>3853</v>
      </c>
      <c r="D1387" s="6" t="s">
        <v>3062</v>
      </c>
      <c r="E1387" s="6" t="s">
        <v>2220</v>
      </c>
      <c r="F1387" s="6" t="s">
        <v>2226</v>
      </c>
      <c r="G1387" s="6" t="s">
        <v>2258</v>
      </c>
      <c r="H1387" s="7">
        <v>1144</v>
      </c>
      <c r="I1387" s="8">
        <f>SUMIF(Cargas!$C$6:$C$1064,C1387,Cargas!$O$6:$O$1064)</f>
        <v>0</v>
      </c>
      <c r="J1387" s="17">
        <f t="shared" si="26"/>
        <v>1144</v>
      </c>
      <c r="K1387" s="34">
        <v>1442235</v>
      </c>
      <c r="L1387" s="34">
        <v>203412</v>
      </c>
    </row>
    <row r="1388" hidden="1">
      <c r="B1388" s="64">
        <v>44859</v>
      </c>
      <c r="C1388" s="9" t="s">
        <v>3854</v>
      </c>
      <c r="D1388" s="6" t="s">
        <v>3032</v>
      </c>
      <c r="E1388" s="6" t="s">
        <v>2220</v>
      </c>
      <c r="F1388" s="6" t="s">
        <v>2226</v>
      </c>
      <c r="G1388" s="6" t="s">
        <v>2258</v>
      </c>
      <c r="H1388" s="7">
        <v>5399</v>
      </c>
      <c r="I1388" s="8">
        <f>SUMIF(Cargas!$C$6:$C$1064,C1388,Cargas!$O$6:$O$1064)</f>
        <v>0</v>
      </c>
      <c r="J1388" s="17">
        <f t="shared" si="26"/>
        <v>5399</v>
      </c>
      <c r="K1388" s="34">
        <v>1443156</v>
      </c>
      <c r="L1388" s="34">
        <v>212232</v>
      </c>
    </row>
    <row r="1389" hidden="1">
      <c r="B1389" s="64">
        <v>44859</v>
      </c>
      <c r="C1389" s="9" t="s">
        <v>3855</v>
      </c>
      <c r="D1389" s="6" t="s">
        <v>3043</v>
      </c>
      <c r="E1389" s="6" t="s">
        <v>2220</v>
      </c>
      <c r="F1389" s="6" t="s">
        <v>2226</v>
      </c>
      <c r="G1389" s="6" t="s">
        <v>2258</v>
      </c>
      <c r="H1389" s="7">
        <v>5400</v>
      </c>
      <c r="I1389" s="8">
        <f>SUMIF(Cargas!$C$6:$C$1064,C1389,Cargas!$O$6:$O$1064)</f>
        <v>0</v>
      </c>
      <c r="J1389" s="17">
        <f t="shared" si="26"/>
        <v>5400</v>
      </c>
      <c r="K1389" s="34">
        <v>1443157</v>
      </c>
      <c r="L1389" s="34">
        <v>212305</v>
      </c>
    </row>
    <row r="1390" hidden="1">
      <c r="A1390" s="79"/>
      <c r="B1390" s="80">
        <v>45330</v>
      </c>
      <c r="C1390" s="81" t="s">
        <v>125</v>
      </c>
      <c r="D1390" s="82" t="s">
        <v>3054</v>
      </c>
      <c r="E1390" s="6" t="s">
        <v>2916</v>
      </c>
      <c r="F1390" s="82" t="s">
        <v>2226</v>
      </c>
      <c r="G1390" s="82" t="s">
        <v>2227</v>
      </c>
      <c r="H1390" s="83">
        <v>1920</v>
      </c>
      <c r="I1390" s="84">
        <f>SUMIF(Cargas!$C$6:$C$1064,C1390,Cargas!$O$6:$O$1064)</f>
        <v>1920</v>
      </c>
      <c r="J1390" s="85">
        <f t="shared" si="26"/>
        <v>0</v>
      </c>
      <c r="K1390" s="86"/>
      <c r="L1390" s="86">
        <v>44701</v>
      </c>
      <c r="M1390" s="32"/>
    </row>
    <row r="1391" hidden="1">
      <c r="A1391" s="79"/>
      <c r="B1391" s="80">
        <v>45335</v>
      </c>
      <c r="C1391" s="81" t="s">
        <v>142</v>
      </c>
      <c r="D1391" s="82" t="s">
        <v>3056</v>
      </c>
      <c r="E1391" s="6" t="s">
        <v>2916</v>
      </c>
      <c r="F1391" s="82" t="s">
        <v>2226</v>
      </c>
      <c r="G1391" s="82" t="s">
        <v>2227</v>
      </c>
      <c r="H1391" s="83">
        <v>1920</v>
      </c>
      <c r="I1391" s="84">
        <f>SUMIF(Cargas!$C$6:$C$1064,C1391,Cargas!$O$6:$O$1064)</f>
        <v>1920</v>
      </c>
      <c r="J1391" s="85">
        <f t="shared" si="26"/>
        <v>0</v>
      </c>
      <c r="K1391" s="86"/>
      <c r="L1391" s="86">
        <v>47477</v>
      </c>
      <c r="M1391" s="32"/>
    </row>
    <row r="1392" hidden="1">
      <c r="A1392" s="79"/>
      <c r="B1392" s="80">
        <v>45342</v>
      </c>
      <c r="C1392" s="81" t="s">
        <v>145</v>
      </c>
      <c r="D1392" s="82" t="s">
        <v>3058</v>
      </c>
      <c r="E1392" s="6" t="s">
        <v>2916</v>
      </c>
      <c r="F1392" s="82" t="s">
        <v>2226</v>
      </c>
      <c r="G1392" s="82" t="s">
        <v>2227</v>
      </c>
      <c r="H1392" s="83">
        <v>1920</v>
      </c>
      <c r="I1392" s="84">
        <f>SUMIF(Cargas!$C$6:$C$1064,C1392,Cargas!$O$6:$O$1064)</f>
        <v>1920</v>
      </c>
      <c r="J1392" s="85">
        <f t="shared" si="26"/>
        <v>0</v>
      </c>
      <c r="K1392" s="86"/>
      <c r="L1392" s="86">
        <v>49478</v>
      </c>
      <c r="M1392" s="32"/>
    </row>
    <row r="1393" hidden="1">
      <c r="A1393" s="79"/>
      <c r="B1393" s="80">
        <v>45354</v>
      </c>
      <c r="C1393" s="81" t="s">
        <v>159</v>
      </c>
      <c r="D1393" s="82" t="s">
        <v>3060</v>
      </c>
      <c r="E1393" s="6" t="s">
        <v>2916</v>
      </c>
      <c r="F1393" s="82" t="s">
        <v>2226</v>
      </c>
      <c r="G1393" s="82" t="s">
        <v>2227</v>
      </c>
      <c r="H1393" s="83">
        <v>1920</v>
      </c>
      <c r="I1393" s="84">
        <f>SUMIF(Cargas!$C$6:$C$1064,C1393,Cargas!$O$6:$O$1064)</f>
        <v>1920</v>
      </c>
      <c r="J1393" s="85">
        <f t="shared" si="26"/>
        <v>0</v>
      </c>
      <c r="K1393" s="86"/>
      <c r="L1393" s="86">
        <v>57557</v>
      </c>
      <c r="M1393" s="32"/>
    </row>
    <row r="1394" hidden="1">
      <c r="A1394" s="79"/>
      <c r="B1394" s="80">
        <v>45354</v>
      </c>
      <c r="C1394" s="81" t="s">
        <v>161</v>
      </c>
      <c r="D1394" s="82" t="s">
        <v>3856</v>
      </c>
      <c r="E1394" s="6" t="s">
        <v>2916</v>
      </c>
      <c r="F1394" s="82" t="s">
        <v>2226</v>
      </c>
      <c r="G1394" s="82" t="s">
        <v>2227</v>
      </c>
      <c r="H1394" s="83">
        <v>1920</v>
      </c>
      <c r="I1394" s="84">
        <f>SUMIF(Cargas!$C$6:$C$1064,C1394,Cargas!$O$6:$O$1064)</f>
        <v>1920</v>
      </c>
      <c r="J1394" s="85">
        <f t="shared" si="26"/>
        <v>0</v>
      </c>
      <c r="K1394" s="86"/>
      <c r="L1394" s="86">
        <v>57630</v>
      </c>
      <c r="M1394" s="32"/>
    </row>
    <row r="1395" hidden="1">
      <c r="A1395" s="79"/>
      <c r="B1395" s="80">
        <v>45354</v>
      </c>
      <c r="C1395" s="81" t="s">
        <v>162</v>
      </c>
      <c r="D1395" s="82" t="s">
        <v>3068</v>
      </c>
      <c r="E1395" s="6" t="s">
        <v>2916</v>
      </c>
      <c r="F1395" s="82" t="s">
        <v>2226</v>
      </c>
      <c r="G1395" s="82" t="s">
        <v>2227</v>
      </c>
      <c r="H1395" s="83">
        <v>1920</v>
      </c>
      <c r="I1395" s="84">
        <f>SUMIF(Cargas!$C$6:$C$1064,C1395,Cargas!$O$6:$O$1064)</f>
        <v>1920</v>
      </c>
      <c r="J1395" s="85">
        <f t="shared" si="26"/>
        <v>0</v>
      </c>
      <c r="K1395" s="86"/>
      <c r="L1395" s="86">
        <v>57708</v>
      </c>
      <c r="M1395" s="32"/>
    </row>
    <row r="1396" hidden="1">
      <c r="A1396" s="79"/>
      <c r="B1396" s="80">
        <v>45360</v>
      </c>
      <c r="C1396" s="81" t="s">
        <v>220</v>
      </c>
      <c r="D1396" s="82" t="s">
        <v>3432</v>
      </c>
      <c r="E1396" s="6" t="s">
        <v>2916</v>
      </c>
      <c r="F1396" s="82" t="s">
        <v>2221</v>
      </c>
      <c r="G1396" s="82" t="s">
        <v>2222</v>
      </c>
      <c r="H1396" s="83">
        <v>1920</v>
      </c>
      <c r="I1396" s="84">
        <f>SUMIF(Cargas!$C$6:$C$1064,C1396,Cargas!$O$6:$O$1064)</f>
        <v>1920</v>
      </c>
      <c r="J1396" s="85">
        <f t="shared" si="26"/>
        <v>0</v>
      </c>
      <c r="K1396" s="86"/>
      <c r="L1396" s="86" t="s">
        <v>29</v>
      </c>
      <c r="M1396" s="32"/>
    </row>
    <row r="1397" hidden="1">
      <c r="A1397" s="79"/>
      <c r="B1397" s="80">
        <v>45360</v>
      </c>
      <c r="C1397" s="81" t="s">
        <v>217</v>
      </c>
      <c r="D1397" s="82" t="s">
        <v>3434</v>
      </c>
      <c r="E1397" s="6" t="s">
        <v>2916</v>
      </c>
      <c r="F1397" s="82" t="s">
        <v>2221</v>
      </c>
      <c r="G1397" s="82" t="s">
        <v>2222</v>
      </c>
      <c r="H1397" s="83">
        <v>1920</v>
      </c>
      <c r="I1397" s="84">
        <f>SUMIF(Cargas!$C$6:$C$1064,C1397,Cargas!$O$6:$O$1064)</f>
        <v>1920</v>
      </c>
      <c r="J1397" s="85">
        <f t="shared" si="26"/>
        <v>0</v>
      </c>
      <c r="K1397" s="86"/>
      <c r="L1397" s="86" t="s">
        <v>29</v>
      </c>
      <c r="M1397" s="32"/>
    </row>
    <row r="1398" hidden="1">
      <c r="B1398" s="64">
        <v>45565</v>
      </c>
      <c r="C1398" s="9" t="s">
        <v>655</v>
      </c>
      <c r="D1398" s="6" t="s">
        <v>3019</v>
      </c>
      <c r="E1398" s="6" t="s">
        <v>3020</v>
      </c>
      <c r="F1398" s="6" t="s">
        <v>2221</v>
      </c>
      <c r="G1398" s="6" t="s">
        <v>2222</v>
      </c>
      <c r="H1398" s="7">
        <v>1312</v>
      </c>
      <c r="I1398" s="8">
        <f>SUMIF(Cargas!$C$6:$C$1064,C1398,Cargas!$O$6:$O$1064)</f>
        <v>1312</v>
      </c>
      <c r="J1398" s="17">
        <f t="shared" si="26"/>
        <v>0</v>
      </c>
      <c r="K1398" s="34">
        <v>1505599</v>
      </c>
      <c r="L1398" s="34">
        <v>219379</v>
      </c>
    </row>
    <row r="1399" hidden="1">
      <c r="B1399" s="64">
        <v>45585</v>
      </c>
      <c r="C1399" s="9" t="s">
        <v>664</v>
      </c>
      <c r="D1399" s="6" t="s">
        <v>2638</v>
      </c>
      <c r="E1399" s="6" t="s">
        <v>2220</v>
      </c>
      <c r="F1399" s="6" t="s">
        <v>2226</v>
      </c>
      <c r="G1399" s="6" t="s">
        <v>2227</v>
      </c>
      <c r="H1399" s="7">
        <v>1128</v>
      </c>
      <c r="I1399" s="8">
        <f>SUMIF(Cargas!$C$6:$C$1064,C1399,Cargas!$O$6:$O$1064)</f>
        <v>1128</v>
      </c>
      <c r="J1399" s="17">
        <f t="shared" si="26"/>
        <v>0</v>
      </c>
      <c r="K1399" s="34">
        <v>1507040</v>
      </c>
      <c r="L1399" s="34">
        <v>223177</v>
      </c>
    </row>
    <row r="1400" hidden="1">
      <c r="B1400" s="64">
        <v>45613</v>
      </c>
      <c r="C1400" s="9" t="s">
        <v>862</v>
      </c>
      <c r="D1400" s="6" t="s">
        <v>3857</v>
      </c>
      <c r="E1400" s="6" t="s">
        <v>3789</v>
      </c>
      <c r="F1400" s="6" t="s">
        <v>2226</v>
      </c>
      <c r="G1400" s="6" t="s">
        <v>2227</v>
      </c>
      <c r="H1400" s="7">
        <v>1080</v>
      </c>
      <c r="I1400" s="8">
        <f>SUMIF(Cargas!$C$6:$C$1064,C1400,Cargas!$O$6:$O$1064)</f>
        <v>1080</v>
      </c>
      <c r="J1400" s="17">
        <f t="shared" si="26"/>
        <v>0</v>
      </c>
      <c r="K1400" s="34">
        <v>1510481</v>
      </c>
      <c r="L1400" s="34">
        <v>252845</v>
      </c>
      <c r="N1400" s="0">
        <v>1</v>
      </c>
    </row>
    <row r="1401" hidden="1" ht="15.75">
      <c r="B1401" s="64">
        <v>45644</v>
      </c>
      <c r="C1401" s="9" t="s">
        <v>887</v>
      </c>
      <c r="D1401" s="6" t="s">
        <v>3281</v>
      </c>
      <c r="E1401" s="6" t="s">
        <v>2871</v>
      </c>
      <c r="F1401" s="6" t="s">
        <v>2226</v>
      </c>
      <c r="G1401" s="6" t="s">
        <v>2258</v>
      </c>
      <c r="H1401" s="7">
        <v>1936</v>
      </c>
      <c r="I1401" s="8">
        <f>SUMIF(Cargas!$C$6:$C$1064,C1401,Cargas!$O$6:$O$1064)</f>
        <v>1936</v>
      </c>
      <c r="J1401" s="17">
        <f t="shared" si="26"/>
        <v>0</v>
      </c>
      <c r="K1401" s="34"/>
      <c r="L1401" s="119">
        <v>259361</v>
      </c>
    </row>
    <row r="1402" hidden="1" ht="15.75">
      <c r="B1402" s="64">
        <v>45652</v>
      </c>
      <c r="C1402" s="9" t="s">
        <v>907</v>
      </c>
      <c r="D1402" s="6" t="s">
        <v>3286</v>
      </c>
      <c r="E1402" s="6" t="s">
        <v>2712</v>
      </c>
      <c r="F1402" s="6" t="s">
        <v>2226</v>
      </c>
      <c r="G1402" s="6" t="s">
        <v>2282</v>
      </c>
      <c r="H1402" s="7">
        <v>2024</v>
      </c>
      <c r="I1402" s="8">
        <f>SUMIF(Cargas!$C$6:$C$1064,C1402,Cargas!$O$6:$O$1064)</f>
        <v>2024</v>
      </c>
      <c r="J1402" s="17">
        <f t="shared" si="26"/>
        <v>0</v>
      </c>
      <c r="K1402" s="34"/>
      <c r="L1402" s="119">
        <v>265265</v>
      </c>
    </row>
    <row r="1403" hidden="1" ht="15.75">
      <c r="B1403" s="64">
        <v>46035</v>
      </c>
      <c r="C1403" s="9" t="s">
        <v>1763</v>
      </c>
      <c r="D1403" s="6" t="s">
        <v>3858</v>
      </c>
      <c r="E1403" s="6" t="s">
        <v>3498</v>
      </c>
      <c r="F1403" s="6" t="s">
        <v>978</v>
      </c>
      <c r="G1403" s="6" t="s">
        <v>3500</v>
      </c>
      <c r="H1403" s="7">
        <v>1050</v>
      </c>
      <c r="I1403" s="8">
        <f>SUMIF(Cargas!$C$6:$C$1064,C1403,Cargas!$O$6:$O$1064)</f>
        <v>1050</v>
      </c>
      <c r="J1403" s="17">
        <f t="shared" si="26"/>
        <v>0</v>
      </c>
      <c r="K1403" s="34">
        <v>1547507</v>
      </c>
      <c r="L1403" s="119">
        <v>12708</v>
      </c>
    </row>
    <row r="1404" hidden="1">
      <c r="B1404" s="64">
        <v>45670</v>
      </c>
      <c r="C1404" s="9" t="s">
        <v>1000</v>
      </c>
      <c r="D1404" s="6" t="s">
        <v>3765</v>
      </c>
      <c r="E1404" s="6" t="s">
        <v>3766</v>
      </c>
      <c r="F1404" s="6" t="s">
        <v>2226</v>
      </c>
      <c r="G1404" s="6" t="s">
        <v>2227</v>
      </c>
      <c r="H1404" s="7">
        <v>2160</v>
      </c>
      <c r="I1404" s="8">
        <f>SUMIF(Cargas!$C$6:$C$1064,C1404,Cargas!$O$6:$O$1064)</f>
        <v>2160</v>
      </c>
      <c r="J1404" s="17">
        <f t="shared" si="26"/>
        <v>0</v>
      </c>
      <c r="K1404" s="34"/>
      <c r="L1404" s="34">
        <v>23226</v>
      </c>
    </row>
    <row r="1405" hidden="1">
      <c r="B1405" s="64">
        <v>45695</v>
      </c>
      <c r="C1405" s="9" t="s">
        <v>1105</v>
      </c>
      <c r="D1405" s="6" t="s">
        <v>3767</v>
      </c>
      <c r="E1405" s="6" t="s">
        <v>3766</v>
      </c>
      <c r="F1405" s="6" t="s">
        <v>2226</v>
      </c>
      <c r="G1405" s="6" t="s">
        <v>2227</v>
      </c>
      <c r="H1405" s="7">
        <v>1080</v>
      </c>
      <c r="I1405" s="8">
        <f>SUMIF(Cargas!$C$6:$C$1064,C1405,Cargas!$O$6:$O$1064)</f>
        <v>1080</v>
      </c>
      <c r="J1405" s="17">
        <f t="shared" si="26"/>
        <v>0</v>
      </c>
      <c r="K1405" s="34"/>
      <c r="L1405" s="34">
        <v>44320</v>
      </c>
      <c r="N1405" s="0">
        <v>1</v>
      </c>
    </row>
    <row r="1406" hidden="1">
      <c r="B1406" s="64">
        <v>45711</v>
      </c>
      <c r="C1406" s="9" t="s">
        <v>1156</v>
      </c>
      <c r="D1406" s="6" t="s">
        <v>3768</v>
      </c>
      <c r="E1406" s="6" t="s">
        <v>3766</v>
      </c>
      <c r="F1406" s="6" t="s">
        <v>2226</v>
      </c>
      <c r="G1406" s="6" t="s">
        <v>2227</v>
      </c>
      <c r="H1406" s="7">
        <v>1080</v>
      </c>
      <c r="I1406" s="8">
        <f>SUMIF(Cargas!$C$6:$C$1064,C1406,Cargas!$O$6:$O$1064)</f>
        <v>1080</v>
      </c>
      <c r="J1406" s="17">
        <f t="shared" si="26"/>
        <v>0</v>
      </c>
      <c r="K1406" s="34">
        <v>1517200</v>
      </c>
      <c r="L1406" s="34"/>
      <c r="N1406" s="0">
        <v>1</v>
      </c>
    </row>
    <row r="1407" hidden="1">
      <c r="B1407" s="64">
        <v>45599</v>
      </c>
      <c r="C1407" s="9" t="s">
        <v>737</v>
      </c>
      <c r="D1407" s="6" t="s">
        <v>2653</v>
      </c>
      <c r="E1407" s="6" t="s">
        <v>2220</v>
      </c>
      <c r="F1407" s="6" t="s">
        <v>2226</v>
      </c>
      <c r="G1407" s="6" t="s">
        <v>2227</v>
      </c>
      <c r="H1407" s="7">
        <v>1128</v>
      </c>
      <c r="I1407" s="8">
        <f>SUMIF(Cargas!$C$6:$C$1064,C1407,Cargas!$O$6:$O$1064)</f>
        <v>1128</v>
      </c>
      <c r="J1407" s="17">
        <f t="shared" si="26"/>
        <v>0</v>
      </c>
      <c r="K1407" s="34">
        <v>1508555</v>
      </c>
      <c r="L1407" s="34">
        <v>234419</v>
      </c>
    </row>
    <row r="1408" hidden="1">
      <c r="B1408" s="64">
        <v>45599</v>
      </c>
      <c r="C1408" s="9" t="s">
        <v>733</v>
      </c>
      <c r="D1408" s="6" t="s">
        <v>2649</v>
      </c>
      <c r="E1408" s="6" t="s">
        <v>2220</v>
      </c>
      <c r="F1408" s="6" t="s">
        <v>2226</v>
      </c>
      <c r="G1408" s="6" t="s">
        <v>2227</v>
      </c>
      <c r="H1408" s="7">
        <v>1080</v>
      </c>
      <c r="I1408" s="8">
        <f>SUMIF(Cargas!$C$6:$C$1064,C1408,Cargas!$O$6:$O$1064)</f>
        <v>1080</v>
      </c>
      <c r="J1408" s="17">
        <f t="shared" si="26"/>
        <v>0</v>
      </c>
      <c r="K1408" s="34">
        <v>1508554</v>
      </c>
      <c r="L1408" s="34">
        <v>234415</v>
      </c>
    </row>
    <row r="1409" hidden="1">
      <c r="B1409" s="64">
        <v>45606</v>
      </c>
      <c r="C1409" s="9" t="s">
        <v>778</v>
      </c>
      <c r="D1409" s="6" t="s">
        <v>2663</v>
      </c>
      <c r="E1409" s="6" t="s">
        <v>2220</v>
      </c>
      <c r="F1409" s="6" t="s">
        <v>2226</v>
      </c>
      <c r="G1409" s="6" t="s">
        <v>2227</v>
      </c>
      <c r="H1409" s="7">
        <v>1080</v>
      </c>
      <c r="I1409" s="8">
        <f>SUMIF(Cargas!$C$6:$C$1064,C1409,Cargas!$O$6:$O$1064)</f>
        <v>1080</v>
      </c>
      <c r="J1409" s="17">
        <f t="shared" si="26"/>
        <v>0</v>
      </c>
      <c r="K1409" s="34">
        <v>1509233</v>
      </c>
      <c r="L1409" s="34">
        <v>240151</v>
      </c>
    </row>
    <row r="1410" hidden="1">
      <c r="B1410" s="64">
        <v>45606</v>
      </c>
      <c r="C1410" s="9" t="s">
        <v>788</v>
      </c>
      <c r="D1410" s="6" t="s">
        <v>2659</v>
      </c>
      <c r="E1410" s="6" t="s">
        <v>2220</v>
      </c>
      <c r="F1410" s="6" t="s">
        <v>2226</v>
      </c>
      <c r="G1410" s="6" t="s">
        <v>2227</v>
      </c>
      <c r="H1410" s="7">
        <v>1128</v>
      </c>
      <c r="I1410" s="8">
        <f>SUMIF(Cargas!$C$6:$C$1064,C1410,Cargas!$O$6:$O$1064)</f>
        <v>1128</v>
      </c>
      <c r="J1410" s="17">
        <f t="shared" si="26"/>
        <v>0</v>
      </c>
      <c r="K1410" s="34">
        <v>1509234</v>
      </c>
      <c r="L1410" s="34">
        <v>240174</v>
      </c>
    </row>
    <row r="1411" hidden="1">
      <c r="B1411" s="64">
        <v>45613</v>
      </c>
      <c r="C1411" s="9" t="s">
        <v>799</v>
      </c>
      <c r="D1411" s="6" t="s">
        <v>2672</v>
      </c>
      <c r="E1411" s="6" t="s">
        <v>2220</v>
      </c>
      <c r="F1411" s="6" t="s">
        <v>2226</v>
      </c>
      <c r="G1411" s="6" t="s">
        <v>2227</v>
      </c>
      <c r="H1411" s="7">
        <v>3240</v>
      </c>
      <c r="I1411" s="8">
        <f>SUMIF(Cargas!$C$6:$C$1064,C1411,Cargas!$O$6:$O$1064)</f>
        <v>3240</v>
      </c>
      <c r="J1411" s="17">
        <f t="shared" si="26"/>
        <v>0</v>
      </c>
      <c r="K1411" s="34">
        <v>1509722</v>
      </c>
      <c r="L1411" s="34">
        <v>243810</v>
      </c>
    </row>
    <row r="1412" hidden="1">
      <c r="B1412" s="64">
        <v>45542</v>
      </c>
      <c r="C1412" s="9" t="s">
        <v>570</v>
      </c>
      <c r="D1412" s="6" t="s">
        <v>3457</v>
      </c>
      <c r="E1412" s="6" t="s">
        <v>3850</v>
      </c>
      <c r="F1412" s="6" t="s">
        <v>2221</v>
      </c>
      <c r="G1412" s="6" t="s">
        <v>2222</v>
      </c>
      <c r="H1412" s="7">
        <v>2352</v>
      </c>
      <c r="I1412" s="8">
        <f>SUMIF(Cargas!$C$6:$C$1064,C1412,Cargas!$O$6:$O$1064)</f>
        <v>2352</v>
      </c>
      <c r="J1412" s="17">
        <f t="shared" si="26"/>
        <v>0</v>
      </c>
      <c r="K1412" s="34"/>
      <c r="L1412" s="34">
        <v>194951</v>
      </c>
    </row>
    <row r="1413" hidden="1">
      <c r="B1413" s="64">
        <v>45547</v>
      </c>
      <c r="C1413" s="9" t="s">
        <v>591</v>
      </c>
      <c r="D1413" s="6" t="s">
        <v>3436</v>
      </c>
      <c r="E1413" s="6" t="s">
        <v>2916</v>
      </c>
      <c r="F1413" s="6" t="s">
        <v>2226</v>
      </c>
      <c r="G1413" s="6" t="s">
        <v>2227</v>
      </c>
      <c r="H1413" s="7">
        <v>1920</v>
      </c>
      <c r="I1413" s="8">
        <f>SUMIF(Cargas!$C$6:$C$1064,C1413,Cargas!$O$6:$O$1064)</f>
        <v>1920</v>
      </c>
      <c r="J1413" s="17">
        <f t="shared" si="26"/>
        <v>0</v>
      </c>
      <c r="K1413" s="34">
        <v>1501786</v>
      </c>
      <c r="L1413" s="34">
        <v>202568</v>
      </c>
    </row>
    <row r="1414" hidden="1">
      <c r="B1414" s="64">
        <v>45559</v>
      </c>
      <c r="C1414" s="9" t="s">
        <v>669</v>
      </c>
      <c r="D1414" s="6" t="s">
        <v>3438</v>
      </c>
      <c r="E1414" s="6" t="s">
        <v>2916</v>
      </c>
      <c r="F1414" s="6" t="s">
        <v>2226</v>
      </c>
      <c r="G1414" s="6" t="s">
        <v>2227</v>
      </c>
      <c r="H1414" s="7">
        <v>1936</v>
      </c>
      <c r="I1414" s="8">
        <f>SUMIF(Cargas!$C$6:$C$1064,C1414,Cargas!$O$6:$O$1064)</f>
        <v>1936</v>
      </c>
      <c r="J1414" s="17">
        <f t="shared" si="26"/>
        <v>0</v>
      </c>
      <c r="K1414" s="34"/>
      <c r="L1414" s="34">
        <v>224528</v>
      </c>
    </row>
    <row r="1415" hidden="1">
      <c r="B1415" s="64">
        <v>45613</v>
      </c>
      <c r="C1415" s="9" t="s">
        <v>819</v>
      </c>
      <c r="D1415" s="6" t="s">
        <v>2674</v>
      </c>
      <c r="E1415" s="6" t="s">
        <v>2220</v>
      </c>
      <c r="F1415" s="6" t="s">
        <v>2226</v>
      </c>
      <c r="G1415" s="6" t="s">
        <v>2227</v>
      </c>
      <c r="H1415" s="7">
        <v>1128</v>
      </c>
      <c r="I1415" s="8">
        <f>SUMIF(Cargas!$C$6:$C$1064,C1415,Cargas!$O$6:$O$1064)</f>
        <v>1128</v>
      </c>
      <c r="J1415" s="17">
        <f t="shared" si="26"/>
        <v>0</v>
      </c>
      <c r="K1415" s="34">
        <v>1509723</v>
      </c>
      <c r="L1415" s="34">
        <v>245715</v>
      </c>
    </row>
    <row r="1416" hidden="1">
      <c r="B1416" s="64">
        <v>45622</v>
      </c>
      <c r="C1416" s="9" t="s">
        <v>846</v>
      </c>
      <c r="D1416" s="6" t="s">
        <v>2686</v>
      </c>
      <c r="E1416" s="6" t="s">
        <v>2220</v>
      </c>
      <c r="F1416" s="6" t="s">
        <v>2226</v>
      </c>
      <c r="G1416" s="6" t="s">
        <v>2227</v>
      </c>
      <c r="H1416" s="7">
        <v>3240</v>
      </c>
      <c r="I1416" s="8">
        <f>SUMIF(Cargas!$C$6:$C$1064,C1416,Cargas!$O$6:$O$1064)</f>
        <v>3240</v>
      </c>
      <c r="J1416" s="17">
        <f t="shared" si="26"/>
        <v>0</v>
      </c>
      <c r="K1416" s="34">
        <v>1510484</v>
      </c>
      <c r="L1416" s="34">
        <v>250620</v>
      </c>
    </row>
    <row r="1417" hidden="1">
      <c r="B1417" s="64">
        <v>45622</v>
      </c>
      <c r="C1417" s="9" t="s">
        <v>854</v>
      </c>
      <c r="D1417" s="6" t="s">
        <v>2692</v>
      </c>
      <c r="E1417" s="6" t="s">
        <v>2220</v>
      </c>
      <c r="F1417" s="6" t="s">
        <v>2226</v>
      </c>
      <c r="G1417" s="6" t="s">
        <v>2227</v>
      </c>
      <c r="H1417" s="7">
        <v>1128</v>
      </c>
      <c r="I1417" s="8">
        <f>SUMIF(Cargas!$C$6:$C$1064,C1417,Cargas!$O$6:$O$1064)</f>
        <v>1128</v>
      </c>
      <c r="J1417" s="17">
        <f t="shared" si="26"/>
        <v>0</v>
      </c>
      <c r="K1417" s="34">
        <v>1510483</v>
      </c>
      <c r="L1417" s="34">
        <v>250674</v>
      </c>
    </row>
    <row r="1418" hidden="1">
      <c r="B1418" s="64">
        <v>45628</v>
      </c>
      <c r="C1418" s="9" t="s">
        <v>901</v>
      </c>
      <c r="D1418" s="6" t="s">
        <v>3859</v>
      </c>
      <c r="E1418" s="6" t="s">
        <v>3766</v>
      </c>
      <c r="F1418" s="6" t="s">
        <v>2226</v>
      </c>
      <c r="G1418" s="6" t="s">
        <v>2227</v>
      </c>
      <c r="H1418" s="7">
        <v>2160</v>
      </c>
      <c r="I1418" s="8">
        <f>SUMIF(Cargas!$C$6:$C$1064,C1418,Cargas!$O$6:$O$1064)</f>
        <v>2160</v>
      </c>
      <c r="J1418" s="17">
        <f t="shared" si="26"/>
        <v>0</v>
      </c>
      <c r="K1418" s="90"/>
      <c r="L1418" s="34">
        <v>263956</v>
      </c>
      <c r="N1418" s="0">
        <v>1</v>
      </c>
    </row>
    <row r="1419" hidden="1">
      <c r="B1419" s="64">
        <v>45635</v>
      </c>
      <c r="C1419" s="9" t="s">
        <v>923</v>
      </c>
      <c r="D1419" s="6" t="s">
        <v>3860</v>
      </c>
      <c r="E1419" s="6" t="s">
        <v>3766</v>
      </c>
      <c r="F1419" s="6" t="s">
        <v>2226</v>
      </c>
      <c r="G1419" s="6" t="s">
        <v>2227</v>
      </c>
      <c r="H1419" s="7">
        <v>4320</v>
      </c>
      <c r="I1419" s="8">
        <f>SUMIF(Cargas!$C$6:$C$1064,C1419,Cargas!$O$6:$O$1064)</f>
        <v>4320</v>
      </c>
      <c r="J1419" s="17">
        <f t="shared" si="26"/>
        <v>0</v>
      </c>
      <c r="K1419" s="34"/>
      <c r="L1419" s="34">
        <v>1069</v>
      </c>
    </row>
    <row r="1420" hidden="1">
      <c r="B1420" s="64">
        <v>45642</v>
      </c>
      <c r="C1420" s="9" t="s">
        <v>953</v>
      </c>
      <c r="D1420" s="6" t="s">
        <v>3861</v>
      </c>
      <c r="E1420" s="6" t="s">
        <v>3766</v>
      </c>
      <c r="F1420" s="6" t="s">
        <v>2226</v>
      </c>
      <c r="G1420" s="6" t="s">
        <v>2227</v>
      </c>
      <c r="H1420" s="7">
        <v>4320</v>
      </c>
      <c r="I1420" s="8">
        <f>SUMIF(Cargas!$C$6:$C$1064,C1420,Cargas!$O$6:$O$1064)</f>
        <v>4320</v>
      </c>
      <c r="J1420" s="17">
        <f t="shared" si="26"/>
        <v>0</v>
      </c>
      <c r="K1420" s="34"/>
      <c r="L1420" s="34">
        <v>7764</v>
      </c>
    </row>
    <row r="1421" hidden="1">
      <c r="B1421" s="64">
        <v>45649</v>
      </c>
      <c r="C1421" s="9" t="s">
        <v>969</v>
      </c>
      <c r="D1421" s="6" t="s">
        <v>3862</v>
      </c>
      <c r="E1421" s="6" t="s">
        <v>3766</v>
      </c>
      <c r="F1421" s="6" t="s">
        <v>2226</v>
      </c>
      <c r="G1421" s="6" t="s">
        <v>2227</v>
      </c>
      <c r="H1421" s="7">
        <v>3240</v>
      </c>
      <c r="I1421" s="8">
        <f>SUMIF(Cargas!$C$6:$C$1064,C1421,Cargas!$O$6:$O$1064)</f>
        <v>3240</v>
      </c>
      <c r="J1421" s="17">
        <f t="shared" si="26"/>
        <v>0</v>
      </c>
      <c r="K1421" s="34" t="s">
        <v>3863</v>
      </c>
      <c r="L1421" s="34" t="s">
        <v>29</v>
      </c>
    </row>
    <row r="1422" hidden="1">
      <c r="B1422" s="64">
        <v>45656</v>
      </c>
      <c r="C1422" s="9" t="s">
        <v>974</v>
      </c>
      <c r="D1422" s="6" t="s">
        <v>3864</v>
      </c>
      <c r="E1422" s="6" t="s">
        <v>3766</v>
      </c>
      <c r="F1422" s="6" t="s">
        <v>2226</v>
      </c>
      <c r="G1422" s="6" t="s">
        <v>2227</v>
      </c>
      <c r="H1422" s="7">
        <v>1080</v>
      </c>
      <c r="I1422" s="8">
        <f>SUMIF(Cargas!$C$6:$C$1064,C1422,Cargas!$O$6:$O$1064)</f>
        <v>1080</v>
      </c>
      <c r="J1422" s="17">
        <f t="shared" si="26"/>
        <v>0</v>
      </c>
      <c r="K1422" s="34" t="s">
        <v>3863</v>
      </c>
      <c r="L1422" s="34" t="s">
        <v>29</v>
      </c>
    </row>
    <row r="1423" hidden="1">
      <c r="B1423" s="64">
        <v>45657</v>
      </c>
      <c r="C1423" s="9" t="s">
        <v>952</v>
      </c>
      <c r="D1423" s="6" t="s">
        <v>2224</v>
      </c>
      <c r="E1423" s="6" t="s">
        <v>2225</v>
      </c>
      <c r="F1423" s="6" t="s">
        <v>2226</v>
      </c>
      <c r="G1423" s="6" t="s">
        <v>2227</v>
      </c>
      <c r="H1423" s="7">
        <v>1680</v>
      </c>
      <c r="I1423" s="8">
        <f>SUMIF(Cargas!$C$6:$C$1064,C1423,Cargas!$O$6:$O$1064)</f>
        <v>1680</v>
      </c>
      <c r="J1423" s="17">
        <f t="shared" si="26"/>
        <v>0</v>
      </c>
      <c r="K1423" s="34">
        <v>1513119</v>
      </c>
      <c r="L1423" s="34">
        <v>7658</v>
      </c>
    </row>
    <row r="1424" hidden="1">
      <c r="B1424" s="64">
        <v>45726</v>
      </c>
      <c r="C1424" s="9" t="s">
        <v>1182</v>
      </c>
      <c r="D1424" s="6" t="s">
        <v>3769</v>
      </c>
      <c r="E1424" s="6" t="s">
        <v>3766</v>
      </c>
      <c r="F1424" s="6" t="s">
        <v>2226</v>
      </c>
      <c r="G1424" s="6" t="s">
        <v>2227</v>
      </c>
      <c r="H1424" s="7">
        <v>1080</v>
      </c>
      <c r="I1424" s="8">
        <f>SUMIF(Cargas!$C$6:$C$1064,C1424,Cargas!$O$6:$O$1064)</f>
        <v>1080</v>
      </c>
      <c r="J1424" s="17">
        <f t="shared" si="26"/>
        <v>0</v>
      </c>
      <c r="K1424" s="34"/>
      <c r="L1424" s="34">
        <v>66992</v>
      </c>
    </row>
    <row r="1425" hidden="1">
      <c r="B1425" s="64">
        <v>45664</v>
      </c>
      <c r="C1425" s="9" t="s">
        <v>963</v>
      </c>
      <c r="D1425" s="6" t="s">
        <v>2246</v>
      </c>
      <c r="E1425" s="6" t="s">
        <v>2225</v>
      </c>
      <c r="F1425" s="6" t="s">
        <v>2226</v>
      </c>
      <c r="G1425" s="6" t="s">
        <v>2227</v>
      </c>
      <c r="H1425" s="7">
        <v>1680</v>
      </c>
      <c r="I1425" s="8">
        <f>SUMIF(Cargas!$C$6:$C$1064,C1425,Cargas!$O$6:$O$1064)</f>
        <v>1680</v>
      </c>
      <c r="J1425" s="17">
        <f t="shared" si="26"/>
        <v>0</v>
      </c>
      <c r="K1425" s="34" t="s">
        <v>3865</v>
      </c>
      <c r="L1425" s="34">
        <v>15088</v>
      </c>
      <c r="N1425" s="0">
        <v>1</v>
      </c>
    </row>
    <row r="1426" hidden="1" ht="15.75">
      <c r="B1426" s="64">
        <v>46035</v>
      </c>
      <c r="C1426" s="9" t="s">
        <v>1761</v>
      </c>
      <c r="D1426" s="6" t="s">
        <v>3866</v>
      </c>
      <c r="E1426" s="6" t="s">
        <v>3498</v>
      </c>
      <c r="F1426" s="6" t="s">
        <v>978</v>
      </c>
      <c r="G1426" s="6" t="s">
        <v>3500</v>
      </c>
      <c r="H1426" s="7">
        <v>1050</v>
      </c>
      <c r="I1426" s="8">
        <f>SUMIF(Cargas!$C$6:$C$1064,C1426,Cargas!$O$6:$O$1064)</f>
        <v>1050</v>
      </c>
      <c r="J1426" s="17">
        <f t="shared" si="26"/>
        <v>0</v>
      </c>
      <c r="K1426" s="34">
        <v>1547508</v>
      </c>
      <c r="L1426" s="119">
        <v>12743</v>
      </c>
    </row>
    <row r="1427" hidden="1">
      <c r="B1427" s="64">
        <v>45671</v>
      </c>
      <c r="C1427" s="9" t="s">
        <v>976</v>
      </c>
      <c r="D1427" s="6" t="s">
        <v>2268</v>
      </c>
      <c r="E1427" s="6" t="s">
        <v>2225</v>
      </c>
      <c r="F1427" s="6" t="s">
        <v>2226</v>
      </c>
      <c r="G1427" s="6" t="s">
        <v>2227</v>
      </c>
      <c r="H1427" s="7">
        <v>1680</v>
      </c>
      <c r="I1427" s="8">
        <f>SUMIF(Cargas!$C$6:$C$1064,C1427,Cargas!$O$6:$O$1064)</f>
        <v>1680</v>
      </c>
      <c r="J1427" s="17">
        <f t="shared" si="26"/>
        <v>0</v>
      </c>
      <c r="K1427" s="34" t="s">
        <v>3867</v>
      </c>
      <c r="L1427" s="34" t="s">
        <v>29</v>
      </c>
    </row>
    <row r="1428" hidden="1" ht="15.75">
      <c r="B1428" s="64">
        <v>46038</v>
      </c>
      <c r="C1428" s="9" t="s">
        <v>1780</v>
      </c>
      <c r="D1428" s="6" t="s">
        <v>3868</v>
      </c>
      <c r="E1428" s="6" t="s">
        <v>3869</v>
      </c>
      <c r="F1428" s="6" t="s">
        <v>978</v>
      </c>
      <c r="G1428" s="6" t="s">
        <v>3870</v>
      </c>
      <c r="H1428" s="7">
        <v>1000</v>
      </c>
      <c r="I1428" s="8">
        <f>SUMIF(Cargas!$C$6:$C$1064,C1428,Cargas!$O$6:$O$1064)</f>
        <v>1000</v>
      </c>
      <c r="J1428" s="17">
        <f t="shared" si="26"/>
        <v>0</v>
      </c>
      <c r="K1428" s="34">
        <v>1547735</v>
      </c>
      <c r="L1428" s="119">
        <v>16905</v>
      </c>
      <c r="N1428" s="0">
        <v>1</v>
      </c>
    </row>
    <row r="1429" hidden="1">
      <c r="B1429" s="64">
        <v>45678</v>
      </c>
      <c r="C1429" s="9" t="s">
        <v>1024</v>
      </c>
      <c r="D1429" s="6" t="s">
        <v>2274</v>
      </c>
      <c r="E1429" s="6" t="s">
        <v>2225</v>
      </c>
      <c r="F1429" s="6" t="s">
        <v>2226</v>
      </c>
      <c r="G1429" s="6" t="s">
        <v>2227</v>
      </c>
      <c r="H1429" s="7">
        <v>1680</v>
      </c>
      <c r="I1429" s="8">
        <f>SUMIF(Cargas!$C$6:$C$1064,C1429,Cargas!$O$6:$O$1064)</f>
        <v>1680</v>
      </c>
      <c r="J1429" s="17">
        <f t="shared" si="26"/>
        <v>0</v>
      </c>
      <c r="K1429" s="34">
        <v>1514916</v>
      </c>
      <c r="L1429" s="34">
        <v>25849</v>
      </c>
    </row>
    <row r="1430" hidden="1">
      <c r="B1430" s="64">
        <v>45685</v>
      </c>
      <c r="C1430" s="9" t="s">
        <v>1041</v>
      </c>
      <c r="D1430" s="6" t="s">
        <v>2293</v>
      </c>
      <c r="E1430" s="6" t="s">
        <v>2225</v>
      </c>
      <c r="F1430" s="6" t="s">
        <v>2226</v>
      </c>
      <c r="G1430" s="6" t="s">
        <v>2227</v>
      </c>
      <c r="H1430" s="7">
        <v>1680</v>
      </c>
      <c r="I1430" s="8">
        <f>SUMIF(Cargas!$C$6:$C$1064,C1430,Cargas!$O$6:$O$1064)</f>
        <v>1680</v>
      </c>
      <c r="J1430" s="17">
        <f t="shared" si="26"/>
        <v>0</v>
      </c>
      <c r="K1430" s="34">
        <v>1515392</v>
      </c>
      <c r="L1430" s="34">
        <v>30039</v>
      </c>
    </row>
    <row r="1431" hidden="1">
      <c r="B1431" s="64">
        <v>45692</v>
      </c>
      <c r="C1431" s="9" t="s">
        <v>1063</v>
      </c>
      <c r="D1431" s="6" t="s">
        <v>2304</v>
      </c>
      <c r="E1431" s="6" t="s">
        <v>2225</v>
      </c>
      <c r="F1431" s="6" t="s">
        <v>2226</v>
      </c>
      <c r="G1431" s="6" t="s">
        <v>2227</v>
      </c>
      <c r="H1431" s="7">
        <v>1680</v>
      </c>
      <c r="I1431" s="8">
        <f>SUMIF(Cargas!$C$6:$C$1064,C1431,Cargas!$O$6:$O$1064)</f>
        <v>1680</v>
      </c>
      <c r="J1431" s="17">
        <f t="shared" si="26"/>
        <v>0</v>
      </c>
      <c r="K1431" s="34">
        <v>1515393</v>
      </c>
      <c r="L1431" s="34">
        <v>34356</v>
      </c>
    </row>
    <row r="1432" hidden="1">
      <c r="B1432" s="64">
        <v>45699</v>
      </c>
      <c r="C1432" s="9" t="s">
        <v>1071</v>
      </c>
      <c r="D1432" s="6" t="s">
        <v>2323</v>
      </c>
      <c r="E1432" s="6" t="s">
        <v>2225</v>
      </c>
      <c r="F1432" s="6" t="s">
        <v>2226</v>
      </c>
      <c r="G1432" s="6" t="s">
        <v>2227</v>
      </c>
      <c r="H1432" s="7">
        <v>1680</v>
      </c>
      <c r="I1432" s="8">
        <f>SUMIF(Cargas!$C$6:$C$1064,C1432,Cargas!$O$6:$O$1064)</f>
        <v>1680</v>
      </c>
      <c r="J1432" s="17">
        <f t="shared" si="26"/>
        <v>0</v>
      </c>
      <c r="K1432" s="34">
        <v>1516607</v>
      </c>
      <c r="L1432" s="34">
        <v>39907</v>
      </c>
    </row>
    <row r="1433" hidden="1">
      <c r="B1433" s="64">
        <v>45629</v>
      </c>
      <c r="C1433" s="9" t="s">
        <v>866</v>
      </c>
      <c r="D1433" s="6" t="s">
        <v>3871</v>
      </c>
      <c r="E1433" s="6" t="s">
        <v>2225</v>
      </c>
      <c r="F1433" s="6" t="s">
        <v>2226</v>
      </c>
      <c r="G1433" s="6" t="s">
        <v>2227</v>
      </c>
      <c r="H1433" s="7">
        <v>1680</v>
      </c>
      <c r="I1433" s="8">
        <f>SUMIF(Cargas!$C$6:$C$1064,C1433,Cargas!$O$6:$O$1064)</f>
        <v>1680</v>
      </c>
      <c r="J1433" s="17">
        <f t="shared" si="26"/>
        <v>0</v>
      </c>
      <c r="K1433" s="34">
        <v>1511069</v>
      </c>
      <c r="L1433" s="34">
        <v>257857</v>
      </c>
    </row>
    <row r="1434" hidden="1">
      <c r="B1434" s="64">
        <v>45643</v>
      </c>
      <c r="C1434" s="9" t="s">
        <v>920</v>
      </c>
      <c r="D1434" s="6" t="s">
        <v>3872</v>
      </c>
      <c r="E1434" s="6" t="s">
        <v>2225</v>
      </c>
      <c r="F1434" s="6" t="s">
        <v>2226</v>
      </c>
      <c r="G1434" s="6" t="s">
        <v>2227</v>
      </c>
      <c r="H1434" s="7">
        <v>1680</v>
      </c>
      <c r="I1434" s="8">
        <f>SUMIF(Cargas!$C$6:$C$1064,C1434,Cargas!$O$6:$O$1064)</f>
        <v>1680</v>
      </c>
      <c r="J1434" s="17">
        <f t="shared" si="26"/>
        <v>0</v>
      </c>
      <c r="K1434" s="34">
        <v>1511896</v>
      </c>
      <c r="L1434" s="34">
        <v>1132</v>
      </c>
    </row>
    <row r="1435" hidden="1">
      <c r="B1435" s="64">
        <v>45605</v>
      </c>
      <c r="C1435" s="9" t="s">
        <v>832</v>
      </c>
      <c r="D1435" s="6" t="s">
        <v>3873</v>
      </c>
      <c r="E1435" s="6" t="s">
        <v>3020</v>
      </c>
      <c r="F1435" s="6" t="s">
        <v>2221</v>
      </c>
      <c r="G1435" s="6" t="s">
        <v>2222</v>
      </c>
      <c r="H1435" s="7">
        <v>1316</v>
      </c>
      <c r="I1435" s="8">
        <f>SUMIF(Cargas!$C$6:$C$1064,C1435,Cargas!$O$6:$O$1064)</f>
        <v>1316</v>
      </c>
      <c r="J1435" s="17">
        <f t="shared" si="26"/>
        <v>0</v>
      </c>
      <c r="K1435" s="34"/>
      <c r="L1435" s="34">
        <v>248033</v>
      </c>
    </row>
    <row r="1436" hidden="1">
      <c r="B1436" s="64">
        <v>45571</v>
      </c>
      <c r="C1436" s="9" t="s">
        <v>692</v>
      </c>
      <c r="D1436" s="6" t="s">
        <v>3091</v>
      </c>
      <c r="E1436" s="6" t="s">
        <v>3020</v>
      </c>
      <c r="F1436" s="6" t="s">
        <v>2221</v>
      </c>
      <c r="G1436" s="6" t="s">
        <v>2222</v>
      </c>
      <c r="H1436" s="7">
        <v>1312</v>
      </c>
      <c r="I1436" s="8">
        <f>SUMIF(Cargas!$C$6:$C$1064,C1436,Cargas!$O$6:$O$1064)</f>
        <v>1312</v>
      </c>
      <c r="J1436" s="17">
        <f t="shared" si="26"/>
        <v>0</v>
      </c>
      <c r="K1436" s="34"/>
      <c r="L1436" s="34">
        <v>230598</v>
      </c>
    </row>
    <row r="1437" hidden="1">
      <c r="B1437" s="64">
        <v>45578</v>
      </c>
      <c r="C1437" s="9" t="s">
        <v>699</v>
      </c>
      <c r="D1437" s="6" t="s">
        <v>3088</v>
      </c>
      <c r="E1437" s="6" t="s">
        <v>3020</v>
      </c>
      <c r="F1437" s="6" t="s">
        <v>2221</v>
      </c>
      <c r="G1437" s="6" t="s">
        <v>2222</v>
      </c>
      <c r="H1437" s="7">
        <v>1312</v>
      </c>
      <c r="I1437" s="8">
        <v>1312</v>
      </c>
      <c r="J1437" s="17">
        <f t="shared" si="26"/>
        <v>0</v>
      </c>
      <c r="K1437" s="34"/>
      <c r="L1437" s="34">
        <v>231083</v>
      </c>
    </row>
    <row r="1438" hidden="1">
      <c r="B1438" s="64">
        <v>45626</v>
      </c>
      <c r="C1438" s="9" t="s">
        <v>911</v>
      </c>
      <c r="D1438" s="6" t="s">
        <v>3874</v>
      </c>
      <c r="E1438" s="6" t="s">
        <v>3020</v>
      </c>
      <c r="F1438" s="6" t="s">
        <v>2221</v>
      </c>
      <c r="G1438" s="6" t="s">
        <v>2222</v>
      </c>
      <c r="H1438" s="7">
        <v>1664</v>
      </c>
      <c r="I1438" s="8">
        <f>SUMIF(Cargas!$C$6:$C$1064,C1438,Cargas!$O$6:$O$1064)</f>
        <v>1664</v>
      </c>
      <c r="J1438" s="17">
        <f t="shared" si="26"/>
        <v>0</v>
      </c>
      <c r="K1438" s="34"/>
      <c r="L1438" s="34">
        <v>265133</v>
      </c>
    </row>
    <row r="1439" hidden="1">
      <c r="B1439" s="64">
        <v>45588</v>
      </c>
      <c r="C1439" s="9" t="s">
        <v>885</v>
      </c>
      <c r="D1439" s="6" t="s">
        <v>3875</v>
      </c>
      <c r="E1439" s="6" t="s">
        <v>3876</v>
      </c>
      <c r="F1439" s="6" t="s">
        <v>2221</v>
      </c>
      <c r="G1439" s="6" t="s">
        <v>2222</v>
      </c>
      <c r="H1439" s="7">
        <v>2310</v>
      </c>
      <c r="I1439" s="8">
        <f>SUMIF(Cargas!$C$6:$C$1064,C1439,Cargas!$O$6:$O$1064)</f>
        <v>2310</v>
      </c>
      <c r="J1439" s="17">
        <f t="shared" si="26"/>
        <v>0</v>
      </c>
      <c r="K1439" s="34"/>
      <c r="L1439" s="34">
        <v>260470</v>
      </c>
    </row>
    <row r="1440" hidden="1">
      <c r="B1440" s="64">
        <v>45589</v>
      </c>
      <c r="C1440" s="9" t="s">
        <v>882</v>
      </c>
      <c r="D1440" s="6" t="s">
        <v>3877</v>
      </c>
      <c r="E1440" s="6" t="s">
        <v>3878</v>
      </c>
      <c r="F1440" s="6" t="s">
        <v>2221</v>
      </c>
      <c r="G1440" s="6" t="s">
        <v>2222</v>
      </c>
      <c r="H1440" s="7">
        <v>2130</v>
      </c>
      <c r="I1440" s="8">
        <f>SUMIF(Cargas!$C$6:$C$1064,C1440,Cargas!$O$6:$O$1064)</f>
        <v>2130</v>
      </c>
      <c r="J1440" s="17">
        <f t="shared" si="26"/>
        <v>0</v>
      </c>
      <c r="K1440" s="34"/>
      <c r="L1440" s="34">
        <v>260534</v>
      </c>
    </row>
    <row r="1441" hidden="1">
      <c r="B1441" s="64">
        <v>45745</v>
      </c>
      <c r="C1441" s="9" t="s">
        <v>1220</v>
      </c>
      <c r="D1441" s="6" t="s">
        <v>3770</v>
      </c>
      <c r="E1441" s="6" t="s">
        <v>3766</v>
      </c>
      <c r="F1441" s="6" t="s">
        <v>2226</v>
      </c>
      <c r="G1441" s="6" t="s">
        <v>2227</v>
      </c>
      <c r="H1441" s="7">
        <v>1080</v>
      </c>
      <c r="I1441" s="8">
        <f>SUMIF(Cargas!$C$6:$C$1064,C1441,Cargas!$O$6:$O$1064)</f>
        <v>1080</v>
      </c>
      <c r="J1441" s="17">
        <f t="shared" si="26"/>
        <v>0</v>
      </c>
      <c r="K1441" s="34"/>
      <c r="L1441" s="34">
        <v>76015</v>
      </c>
    </row>
    <row r="1442" hidden="1">
      <c r="B1442" s="64">
        <v>45706</v>
      </c>
      <c r="C1442" s="9" t="s">
        <v>1097</v>
      </c>
      <c r="D1442" s="6" t="s">
        <v>2365</v>
      </c>
      <c r="E1442" s="6" t="s">
        <v>2225</v>
      </c>
      <c r="F1442" s="6" t="s">
        <v>2226</v>
      </c>
      <c r="G1442" s="6" t="s">
        <v>2227</v>
      </c>
      <c r="H1442" s="7">
        <v>1680</v>
      </c>
      <c r="I1442" s="8">
        <f>SUMIF(Cargas!$C$6:$C$1064,C1442,Cargas!$O$6:$O$1064)</f>
        <v>1680</v>
      </c>
      <c r="J1442" s="17">
        <f t="shared" si="26"/>
        <v>0</v>
      </c>
      <c r="K1442" s="34">
        <v>1517209</v>
      </c>
      <c r="L1442" s="34">
        <v>44130</v>
      </c>
    </row>
    <row r="1443" hidden="1">
      <c r="B1443" s="64">
        <v>45671</v>
      </c>
      <c r="C1443" s="9" t="s">
        <v>992</v>
      </c>
      <c r="D1443" s="6" t="s">
        <v>993</v>
      </c>
      <c r="E1443" s="6" t="s">
        <v>3789</v>
      </c>
      <c r="F1443" s="6" t="s">
        <v>2226</v>
      </c>
      <c r="G1443" s="6" t="s">
        <v>2227</v>
      </c>
      <c r="H1443" s="7">
        <v>2160</v>
      </c>
      <c r="I1443" s="8">
        <f>SUMIF(Cargas!$C$6:$C$1064,C1443,Cargas!$O$6:$O$1064)</f>
        <v>2160</v>
      </c>
      <c r="J1443" s="17">
        <f t="shared" si="26"/>
        <v>0</v>
      </c>
      <c r="K1443" s="34">
        <v>1514140</v>
      </c>
      <c r="L1443" s="34">
        <v>20113</v>
      </c>
    </row>
    <row r="1444" hidden="1">
      <c r="B1444" s="64">
        <v>45678</v>
      </c>
      <c r="C1444" s="9" t="s">
        <v>1010</v>
      </c>
      <c r="D1444" s="6" t="s">
        <v>2242</v>
      </c>
      <c r="E1444" s="6" t="s">
        <v>3789</v>
      </c>
      <c r="F1444" s="6" t="s">
        <v>2226</v>
      </c>
      <c r="G1444" s="6" t="s">
        <v>2227</v>
      </c>
      <c r="H1444" s="7">
        <v>2160</v>
      </c>
      <c r="I1444" s="8">
        <f>SUMIF(Cargas!$C$6:$C$1064,C1444,Cargas!$O$6:$O$1064)</f>
        <v>2160</v>
      </c>
      <c r="J1444" s="17">
        <f t="shared" si="26"/>
        <v>0</v>
      </c>
      <c r="K1444" s="34">
        <v>1514956</v>
      </c>
      <c r="L1444" s="34">
        <v>25878</v>
      </c>
    </row>
    <row r="1445" hidden="1">
      <c r="B1445" s="64">
        <v>45685</v>
      </c>
      <c r="C1445" s="9" t="s">
        <v>1038</v>
      </c>
      <c r="D1445" s="6" t="s">
        <v>2250</v>
      </c>
      <c r="E1445" s="6" t="s">
        <v>3789</v>
      </c>
      <c r="F1445" s="6" t="s">
        <v>2226</v>
      </c>
      <c r="G1445" s="6" t="s">
        <v>2227</v>
      </c>
      <c r="H1445" s="7">
        <v>2160</v>
      </c>
      <c r="I1445" s="8">
        <f>SUMIF(Cargas!$C$6:$C$1064,C1445,Cargas!$O$6:$O$1064)</f>
        <v>2160</v>
      </c>
      <c r="J1445" s="17">
        <f t="shared" si="26"/>
        <v>0</v>
      </c>
      <c r="K1445" s="34">
        <v>1515390</v>
      </c>
      <c r="L1445" s="34">
        <v>30496</v>
      </c>
    </row>
    <row r="1446" hidden="1">
      <c r="B1446" s="64">
        <v>45692</v>
      </c>
      <c r="C1446" s="9" t="s">
        <v>1060</v>
      </c>
      <c r="D1446" s="6" t="s">
        <v>2264</v>
      </c>
      <c r="E1446" s="6" t="s">
        <v>3789</v>
      </c>
      <c r="F1446" s="6" t="s">
        <v>2226</v>
      </c>
      <c r="G1446" s="6" t="s">
        <v>2227</v>
      </c>
      <c r="H1446" s="7">
        <v>2160</v>
      </c>
      <c r="I1446" s="8">
        <f>SUMIF(Cargas!$C$6:$C$1064,C1446,Cargas!$O$6:$O$1064)</f>
        <v>2160</v>
      </c>
      <c r="J1446" s="17">
        <f t="shared" si="26"/>
        <v>0</v>
      </c>
      <c r="K1446" s="34">
        <v>1515391</v>
      </c>
      <c r="L1446" s="34">
        <v>34600</v>
      </c>
    </row>
    <row r="1447" hidden="1">
      <c r="B1447" s="64">
        <v>45699</v>
      </c>
      <c r="C1447" s="9" t="s">
        <v>1072</v>
      </c>
      <c r="D1447" s="6" t="s">
        <v>2270</v>
      </c>
      <c r="E1447" s="6" t="s">
        <v>3789</v>
      </c>
      <c r="F1447" s="6" t="s">
        <v>2226</v>
      </c>
      <c r="G1447" s="6" t="s">
        <v>2227</v>
      </c>
      <c r="H1447" s="7">
        <v>2160</v>
      </c>
      <c r="I1447" s="8">
        <f>SUMIF(Cargas!$C$6:$C$1064,C1447,Cargas!$O$6:$O$1064)</f>
        <v>2160</v>
      </c>
      <c r="J1447" s="17">
        <f t="shared" si="26"/>
        <v>0</v>
      </c>
      <c r="K1447" s="34">
        <v>1516608</v>
      </c>
      <c r="L1447" s="34">
        <v>35956</v>
      </c>
    </row>
    <row r="1448" hidden="1">
      <c r="B1448" s="64">
        <v>45706</v>
      </c>
      <c r="C1448" s="9" t="s">
        <v>1094</v>
      </c>
      <c r="D1448" s="6" t="s">
        <v>2279</v>
      </c>
      <c r="E1448" s="6" t="s">
        <v>3789</v>
      </c>
      <c r="F1448" s="6" t="s">
        <v>2226</v>
      </c>
      <c r="G1448" s="6" t="s">
        <v>2227</v>
      </c>
      <c r="H1448" s="7">
        <v>2160</v>
      </c>
      <c r="I1448" s="8">
        <f>SUMIF(Cargas!$C$6:$C$1064,C1448,Cargas!$O$6:$O$1064)</f>
        <v>2160</v>
      </c>
      <c r="J1448" s="17">
        <f t="shared" si="26"/>
        <v>0</v>
      </c>
      <c r="K1448" s="34">
        <v>1517207</v>
      </c>
      <c r="L1448" s="34">
        <v>43974</v>
      </c>
    </row>
    <row r="1449" hidden="1">
      <c r="B1449" s="64">
        <v>45626</v>
      </c>
      <c r="C1449" s="9" t="s">
        <v>911</v>
      </c>
      <c r="D1449" s="6" t="s">
        <v>3874</v>
      </c>
      <c r="E1449" s="6" t="s">
        <v>3020</v>
      </c>
      <c r="F1449" s="6" t="s">
        <v>2221</v>
      </c>
      <c r="G1449" s="6" t="s">
        <v>2222</v>
      </c>
      <c r="H1449" s="7">
        <v>1664</v>
      </c>
      <c r="I1449" s="8">
        <f>SUMIF(Cargas!$C$6:$C$1064,C1449,Cargas!$O$6:$O$1064)</f>
        <v>1664</v>
      </c>
      <c r="J1449" s="17">
        <f t="shared" si="26"/>
        <v>0</v>
      </c>
      <c r="K1449" s="34"/>
      <c r="L1449" s="34">
        <v>265133</v>
      </c>
    </row>
    <row r="1450" hidden="1">
      <c r="B1450" s="64">
        <v>45602</v>
      </c>
      <c r="C1450" s="9" t="s">
        <v>860</v>
      </c>
      <c r="D1450" s="6" t="s">
        <v>3879</v>
      </c>
      <c r="E1450" s="6" t="s">
        <v>3878</v>
      </c>
      <c r="F1450" s="6" t="s">
        <v>2221</v>
      </c>
      <c r="G1450" s="6" t="s">
        <v>2222</v>
      </c>
      <c r="H1450" s="7">
        <v>2140</v>
      </c>
      <c r="I1450" s="8">
        <f>SUMIF(Cargas!$C$6:$C$1064,C1450,Cargas!$O$6:$O$1064)</f>
        <v>2130</v>
      </c>
      <c r="J1450" s="17">
        <f ref="J1450:J1513" t="shared" si="27">IF(ABS(H1450-I1450)&lt;20,0,H1450-I1450)</f>
        <v>0</v>
      </c>
      <c r="K1450" s="34"/>
      <c r="L1450" s="34">
        <v>253887</v>
      </c>
    </row>
    <row r="1451" hidden="1">
      <c r="B1451" s="64">
        <v>45629</v>
      </c>
      <c r="C1451" s="9" t="s">
        <v>880</v>
      </c>
      <c r="D1451" s="6" t="s">
        <v>3880</v>
      </c>
      <c r="E1451" s="6" t="s">
        <v>3789</v>
      </c>
      <c r="F1451" s="6" t="s">
        <v>2226</v>
      </c>
      <c r="G1451" s="6" t="s">
        <v>2227</v>
      </c>
      <c r="H1451" s="7">
        <v>2160</v>
      </c>
      <c r="I1451" s="8">
        <f>SUMIF(Cargas!$C$6:$C$1064,C1451,Cargas!$O$6:$O$1064)</f>
        <v>2160</v>
      </c>
      <c r="J1451" s="17">
        <f t="shared" si="27"/>
        <v>0</v>
      </c>
      <c r="K1451" s="34">
        <v>1511071</v>
      </c>
      <c r="L1451" s="34">
        <v>258217</v>
      </c>
    </row>
    <row r="1452" hidden="1">
      <c r="B1452" s="64">
        <v>45643</v>
      </c>
      <c r="C1452" s="9" t="s">
        <v>938</v>
      </c>
      <c r="D1452" s="6" t="s">
        <v>3881</v>
      </c>
      <c r="E1452" s="6" t="s">
        <v>3789</v>
      </c>
      <c r="F1452" s="6" t="s">
        <v>2226</v>
      </c>
      <c r="G1452" s="6" t="s">
        <v>2227</v>
      </c>
      <c r="H1452" s="7">
        <v>2160</v>
      </c>
      <c r="I1452" s="8">
        <f>SUMIF(Cargas!$C$6:$C$1064,C1452,Cargas!$O$6:$O$1064)</f>
        <v>2160</v>
      </c>
      <c r="J1452" s="17">
        <f t="shared" si="27"/>
        <v>0</v>
      </c>
      <c r="K1452" s="34">
        <v>1512499</v>
      </c>
      <c r="L1452" s="34">
        <v>2271</v>
      </c>
    </row>
    <row r="1453" hidden="1">
      <c r="B1453" s="64">
        <v>45650</v>
      </c>
      <c r="C1453" s="9" t="s">
        <v>949</v>
      </c>
      <c r="D1453" s="6" t="s">
        <v>3882</v>
      </c>
      <c r="E1453" s="6" t="s">
        <v>3789</v>
      </c>
      <c r="F1453" s="6" t="s">
        <v>2226</v>
      </c>
      <c r="G1453" s="6" t="s">
        <v>2227</v>
      </c>
      <c r="H1453" s="7">
        <v>2160</v>
      </c>
      <c r="I1453" s="8">
        <f>SUMIF(Cargas!$C$6:$C$1064,C1453,Cargas!$O$6:$O$1064)</f>
        <v>2160</v>
      </c>
      <c r="J1453" s="17">
        <f t="shared" si="27"/>
        <v>0</v>
      </c>
      <c r="K1453" s="34">
        <v>1511318</v>
      </c>
      <c r="L1453" s="34">
        <v>5755</v>
      </c>
    </row>
    <row r="1454" hidden="1">
      <c r="B1454" s="64">
        <v>45711</v>
      </c>
      <c r="C1454" s="9" t="s">
        <v>1110</v>
      </c>
      <c r="D1454" s="6" t="s">
        <v>2289</v>
      </c>
      <c r="E1454" s="6" t="s">
        <v>3789</v>
      </c>
      <c r="F1454" s="6" t="s">
        <v>2226</v>
      </c>
      <c r="G1454" s="6" t="s">
        <v>2227</v>
      </c>
      <c r="H1454" s="7">
        <v>2160</v>
      </c>
      <c r="I1454" s="8">
        <f>SUMIF(Cargas!$C$6:$C$1064,C1454,Cargas!$O$6:$O$1064)</f>
        <v>2160</v>
      </c>
      <c r="J1454" s="17">
        <f t="shared" si="27"/>
        <v>0</v>
      </c>
      <c r="K1454" s="34">
        <v>1517677</v>
      </c>
      <c r="L1454" s="34">
        <v>47754</v>
      </c>
    </row>
    <row r="1455" hidden="1" ht="15.75">
      <c r="B1455" s="64">
        <v>45764</v>
      </c>
      <c r="C1455" s="9" t="s">
        <v>1258</v>
      </c>
      <c r="D1455" s="6" t="s">
        <v>2393</v>
      </c>
      <c r="E1455" s="6" t="s">
        <v>3026</v>
      </c>
      <c r="F1455" s="6" t="s">
        <v>2226</v>
      </c>
      <c r="G1455" s="6" t="s">
        <v>3883</v>
      </c>
      <c r="H1455" s="7">
        <v>2288</v>
      </c>
      <c r="I1455" s="8">
        <f>SUMIF(Cargas!$C$6:$C$1064,C1455,Cargas!$O$6:$O$1064)</f>
        <v>2288</v>
      </c>
      <c r="J1455" s="17">
        <f t="shared" si="27"/>
        <v>0</v>
      </c>
      <c r="K1455" s="34"/>
      <c r="L1455" s="119">
        <v>92570</v>
      </c>
    </row>
    <row r="1456" hidden="1" ht="15.75">
      <c r="B1456" s="64">
        <v>45915</v>
      </c>
      <c r="C1456" s="9" t="s">
        <v>1447</v>
      </c>
      <c r="D1456" s="6" t="s">
        <v>2684</v>
      </c>
      <c r="E1456" s="6" t="s">
        <v>3884</v>
      </c>
      <c r="F1456" s="6" t="s">
        <v>978</v>
      </c>
      <c r="G1456" s="6" t="s">
        <v>2560</v>
      </c>
      <c r="H1456" s="7">
        <v>2208</v>
      </c>
      <c r="I1456" s="8">
        <f>SUMIF(Cargas!$C$6:$C$1064,C1456,Cargas!$O$6:$O$1064)</f>
        <v>2208</v>
      </c>
      <c r="J1456" s="17">
        <f t="shared" si="27"/>
        <v>0</v>
      </c>
      <c r="K1456" s="34">
        <v>1536220</v>
      </c>
      <c r="L1456" s="119">
        <v>189388</v>
      </c>
    </row>
    <row r="1457" hidden="1" ht="15.75">
      <c r="B1457" s="64">
        <v>45922</v>
      </c>
      <c r="C1457" s="9" t="s">
        <v>1460</v>
      </c>
      <c r="D1457" s="6" t="s">
        <v>3785</v>
      </c>
      <c r="E1457" s="6" t="s">
        <v>3884</v>
      </c>
      <c r="F1457" s="6" t="s">
        <v>978</v>
      </c>
      <c r="G1457" s="6" t="s">
        <v>2560</v>
      </c>
      <c r="H1457" s="7">
        <v>2208</v>
      </c>
      <c r="I1457" s="8">
        <f>SUMIF(Cargas!$C$6:$C$1064,C1457,Cargas!$O$6:$O$1064)</f>
        <v>2208</v>
      </c>
      <c r="J1457" s="17">
        <f t="shared" si="27"/>
        <v>0</v>
      </c>
      <c r="K1457" s="34">
        <v>1537189</v>
      </c>
      <c r="L1457" s="119">
        <v>195283</v>
      </c>
    </row>
    <row r="1458" hidden="1" ht="15.75">
      <c r="B1458" s="64">
        <v>45814</v>
      </c>
      <c r="C1458" s="9" t="s">
        <v>1300</v>
      </c>
      <c r="D1458" s="6" t="s">
        <v>2442</v>
      </c>
      <c r="E1458" s="6" t="s">
        <v>3026</v>
      </c>
      <c r="F1458" s="6" t="s">
        <v>2226</v>
      </c>
      <c r="G1458" s="6" t="s">
        <v>2258</v>
      </c>
      <c r="H1458" s="7">
        <v>2288</v>
      </c>
      <c r="I1458" s="8">
        <f>SUMIF(Cargas!$C$6:$C$1064,C1458,Cargas!$O$6:$O$1064)</f>
        <v>2288</v>
      </c>
      <c r="J1458" s="17">
        <f t="shared" si="27"/>
        <v>0</v>
      </c>
      <c r="K1458" s="34"/>
      <c r="L1458" s="119">
        <v>113369</v>
      </c>
    </row>
    <row r="1459" hidden="1" ht="15.75">
      <c r="B1459" s="64">
        <v>45841</v>
      </c>
      <c r="C1459" s="9" t="s">
        <v>1334</v>
      </c>
      <c r="D1459" s="6" t="s">
        <v>2451</v>
      </c>
      <c r="E1459" s="6" t="s">
        <v>3026</v>
      </c>
      <c r="F1459" s="6" t="s">
        <v>2226</v>
      </c>
      <c r="G1459" s="6" t="s">
        <v>2258</v>
      </c>
      <c r="H1459" s="7">
        <v>2288</v>
      </c>
      <c r="I1459" s="8">
        <f>SUMIF(Cargas!$C$6:$C$1064,C1459,Cargas!$O$6:$O$1064)</f>
        <v>2288</v>
      </c>
      <c r="J1459" s="17">
        <f t="shared" si="27"/>
        <v>0</v>
      </c>
      <c r="K1459" s="34">
        <v>1529323</v>
      </c>
      <c r="L1459" s="119">
        <v>132290</v>
      </c>
    </row>
    <row r="1460" hidden="1">
      <c r="B1460" s="64">
        <v>45754</v>
      </c>
      <c r="C1460" s="9" t="s">
        <v>1240</v>
      </c>
      <c r="D1460" s="6" t="s">
        <v>3771</v>
      </c>
      <c r="E1460" s="6" t="s">
        <v>3516</v>
      </c>
      <c r="F1460" s="6" t="s">
        <v>2226</v>
      </c>
      <c r="G1460" s="6" t="s">
        <v>2227</v>
      </c>
      <c r="H1460" s="7">
        <v>1080</v>
      </c>
      <c r="I1460" s="8">
        <f>SUMIF(Cargas!$C$6:$C$1064,C1460,Cargas!$O$6:$O$1064)</f>
        <v>1080</v>
      </c>
      <c r="J1460" s="17">
        <f t="shared" si="27"/>
        <v>0</v>
      </c>
      <c r="K1460" s="34">
        <v>1520051</v>
      </c>
      <c r="L1460" s="34">
        <v>83926</v>
      </c>
    </row>
    <row r="1461" hidden="1">
      <c r="B1461" s="64">
        <v>45768</v>
      </c>
      <c r="C1461" s="9" t="s">
        <v>1266</v>
      </c>
      <c r="D1461" s="6" t="s">
        <v>3772</v>
      </c>
      <c r="E1461" s="6" t="s">
        <v>3516</v>
      </c>
      <c r="F1461" s="6" t="s">
        <v>2226</v>
      </c>
      <c r="G1461" s="6" t="s">
        <v>2227</v>
      </c>
      <c r="H1461" s="7">
        <v>1080</v>
      </c>
      <c r="I1461" s="8">
        <f>SUMIF(Cargas!$C$6:$C$1064,C1461,Cargas!$O$6:$O$1064)</f>
        <v>1080</v>
      </c>
      <c r="J1461" s="17">
        <f t="shared" si="27"/>
        <v>0</v>
      </c>
      <c r="K1461" s="34" t="s">
        <v>29</v>
      </c>
      <c r="L1461" s="34">
        <v>96972</v>
      </c>
    </row>
    <row r="1462" hidden="1" ht="15.75">
      <c r="B1462" s="64">
        <v>45860</v>
      </c>
      <c r="C1462" s="9" t="s">
        <v>1348</v>
      </c>
      <c r="D1462" s="6" t="s">
        <v>2480</v>
      </c>
      <c r="E1462" s="6" t="s">
        <v>3026</v>
      </c>
      <c r="F1462" s="6" t="s">
        <v>2226</v>
      </c>
      <c r="G1462" s="6" t="s">
        <v>2258</v>
      </c>
      <c r="H1462" s="7">
        <v>2288</v>
      </c>
      <c r="I1462" s="8">
        <f>SUMIF(Cargas!$C$6:$C$1064,C1462,Cargas!$O$6:$O$1064)</f>
        <v>2288</v>
      </c>
      <c r="J1462" s="17">
        <f t="shared" si="27"/>
        <v>0</v>
      </c>
      <c r="K1462" s="34">
        <v>1531017</v>
      </c>
      <c r="L1462" s="119">
        <v>145122</v>
      </c>
    </row>
    <row r="1463" hidden="1">
      <c r="B1463" s="64">
        <v>45782</v>
      </c>
      <c r="C1463" s="9" t="s">
        <v>1285</v>
      </c>
      <c r="D1463" s="6" t="s">
        <v>3773</v>
      </c>
      <c r="E1463" s="6" t="s">
        <v>3766</v>
      </c>
      <c r="F1463" s="6" t="s">
        <v>2226</v>
      </c>
      <c r="G1463" s="6" t="s">
        <v>2227</v>
      </c>
      <c r="H1463" s="7">
        <v>1080</v>
      </c>
      <c r="I1463" s="8">
        <f>SUMIF(Cargas!$C$6:$C$1064,C1463,Cargas!$O$6:$O$1064)</f>
        <v>1080</v>
      </c>
      <c r="J1463" s="17">
        <f t="shared" si="27"/>
        <v>0</v>
      </c>
      <c r="K1463" s="34"/>
      <c r="L1463" s="34">
        <v>105770</v>
      </c>
    </row>
    <row r="1464" hidden="1">
      <c r="B1464" s="64">
        <v>45801</v>
      </c>
      <c r="C1464" s="9" t="s">
        <v>1308</v>
      </c>
      <c r="D1464" s="6" t="s">
        <v>3775</v>
      </c>
      <c r="E1464" s="6" t="s">
        <v>3766</v>
      </c>
      <c r="F1464" s="6" t="s">
        <v>2226</v>
      </c>
      <c r="G1464" s="6" t="s">
        <v>2227</v>
      </c>
      <c r="H1464" s="7">
        <v>1080</v>
      </c>
      <c r="I1464" s="8">
        <f>SUMIF(Cargas!$C$6:$C$1064,C1464,Cargas!$O$6:$O$1064)</f>
        <v>1080</v>
      </c>
      <c r="J1464" s="17">
        <f t="shared" si="27"/>
        <v>0</v>
      </c>
      <c r="K1464" s="34"/>
      <c r="L1464" s="34">
        <v>116616</v>
      </c>
    </row>
    <row r="1465" hidden="1" ht="15.75">
      <c r="B1465" s="64">
        <v>45862</v>
      </c>
      <c r="C1465" s="9" t="s">
        <v>1357</v>
      </c>
      <c r="D1465" s="6" t="s">
        <v>2518</v>
      </c>
      <c r="E1465" s="6" t="s">
        <v>3026</v>
      </c>
      <c r="F1465" s="6" t="s">
        <v>2226</v>
      </c>
      <c r="G1465" s="6" t="s">
        <v>2258</v>
      </c>
      <c r="H1465" s="7">
        <v>2288</v>
      </c>
      <c r="I1465" s="8">
        <f>SUMIF(Cargas!$C$6:$C$1064,C1465,Cargas!$O$6:$O$1064)</f>
        <v>2288</v>
      </c>
      <c r="J1465" s="17">
        <f t="shared" si="27"/>
        <v>0</v>
      </c>
      <c r="K1465" s="34">
        <v>1531418</v>
      </c>
      <c r="L1465" s="119">
        <v>146818</v>
      </c>
    </row>
    <row r="1466" hidden="1" ht="15.75">
      <c r="B1466" s="64">
        <v>45883</v>
      </c>
      <c r="C1466" s="9" t="s">
        <v>1382</v>
      </c>
      <c r="D1466" s="6" t="s">
        <v>2540</v>
      </c>
      <c r="E1466" s="6" t="s">
        <v>3026</v>
      </c>
      <c r="F1466" s="6" t="s">
        <v>2226</v>
      </c>
      <c r="G1466" s="6" t="s">
        <v>2258</v>
      </c>
      <c r="H1466" s="7">
        <v>2288</v>
      </c>
      <c r="I1466" s="8">
        <f>SUMIF(Cargas!$C$6:$C$1064,C1466,Cargas!$O$6:$O$1064)</f>
        <v>2288</v>
      </c>
      <c r="J1466" s="17">
        <f t="shared" si="27"/>
        <v>0</v>
      </c>
      <c r="K1466" s="34">
        <v>1533269</v>
      </c>
      <c r="L1466" s="119">
        <v>162701</v>
      </c>
    </row>
    <row r="1467" hidden="1" ht="15.75">
      <c r="B1467" s="64">
        <v>45878</v>
      </c>
      <c r="C1467" s="9" t="s">
        <v>1415</v>
      </c>
      <c r="D1467" s="6" t="s">
        <v>2853</v>
      </c>
      <c r="E1467" s="6" t="s">
        <v>3026</v>
      </c>
      <c r="F1467" s="6" t="s">
        <v>2226</v>
      </c>
      <c r="G1467" s="6" t="s">
        <v>412</v>
      </c>
      <c r="H1467" s="7">
        <f>1664+624</f>
        <v>2288</v>
      </c>
      <c r="I1467" s="8">
        <f>SUMIF(Cargas!$C$6:$C$1064,C1467,Cargas!$O$6:$O$1064)</f>
        <v>2288</v>
      </c>
      <c r="J1467" s="17">
        <f t="shared" si="27"/>
        <v>0</v>
      </c>
      <c r="K1467" s="34">
        <v>1535359</v>
      </c>
      <c r="L1467" s="119">
        <v>180604</v>
      </c>
    </row>
    <row r="1468" hidden="1" ht="15.75">
      <c r="B1468" s="64">
        <v>45929</v>
      </c>
      <c r="C1468" s="9" t="s">
        <v>1472</v>
      </c>
      <c r="D1468" s="6" t="s">
        <v>3786</v>
      </c>
      <c r="E1468" s="6" t="s">
        <v>3884</v>
      </c>
      <c r="F1468" s="6" t="s">
        <v>978</v>
      </c>
      <c r="G1468" s="6" t="s">
        <v>2560</v>
      </c>
      <c r="H1468" s="7">
        <v>2208</v>
      </c>
      <c r="I1468" s="8">
        <f>SUMIF(Cargas!$C$6:$C$1064,C1468,Cargas!$O$6:$O$1064)</f>
        <v>2208</v>
      </c>
      <c r="J1468" s="17">
        <f t="shared" si="27"/>
        <v>0</v>
      </c>
      <c r="K1468" s="34">
        <v>1538044</v>
      </c>
      <c r="L1468" s="119">
        <v>202722</v>
      </c>
    </row>
    <row r="1469" hidden="1" ht="15.75">
      <c r="B1469" s="64">
        <v>45938</v>
      </c>
      <c r="C1469" s="9" t="s">
        <v>1487</v>
      </c>
      <c r="D1469" s="6" t="s">
        <v>3787</v>
      </c>
      <c r="E1469" s="6" t="s">
        <v>3885</v>
      </c>
      <c r="F1469" s="6" t="s">
        <v>978</v>
      </c>
      <c r="G1469" s="6" t="s">
        <v>3500</v>
      </c>
      <c r="H1469" s="7">
        <v>1050</v>
      </c>
      <c r="I1469" s="8">
        <f>SUMIF(Cargas!$C$6:$C$1064,C1469,Cargas!$O$6:$O$1064)</f>
        <v>1050</v>
      </c>
      <c r="J1469" s="17">
        <f t="shared" si="27"/>
        <v>0</v>
      </c>
      <c r="K1469" s="34">
        <v>1539330</v>
      </c>
      <c r="L1469" s="119">
        <v>209106</v>
      </c>
    </row>
    <row r="1470" hidden="1" ht="15.75">
      <c r="B1470" s="64">
        <v>45944</v>
      </c>
      <c r="C1470" s="9" t="s">
        <v>1508</v>
      </c>
      <c r="D1470" s="6" t="s">
        <v>3806</v>
      </c>
      <c r="E1470" s="6" t="s">
        <v>3885</v>
      </c>
      <c r="F1470" s="6" t="s">
        <v>978</v>
      </c>
      <c r="G1470" s="6" t="s">
        <v>3500</v>
      </c>
      <c r="H1470" s="7">
        <v>2200</v>
      </c>
      <c r="I1470" s="8">
        <f>SUMIF(Cargas!$C$6:$C$1064,C1470,Cargas!$O$6:$O$1064)</f>
        <v>2200</v>
      </c>
      <c r="J1470" s="17">
        <f t="shared" si="27"/>
        <v>0</v>
      </c>
      <c r="K1470" s="34">
        <v>1539330</v>
      </c>
      <c r="L1470" s="119">
        <v>213843</v>
      </c>
    </row>
    <row r="1471" hidden="1" ht="15.75">
      <c r="B1471" s="64">
        <v>45945</v>
      </c>
      <c r="C1471" s="9" t="s">
        <v>1504</v>
      </c>
      <c r="D1471" s="6" t="s">
        <v>3807</v>
      </c>
      <c r="E1471" s="6" t="s">
        <v>2559</v>
      </c>
      <c r="F1471" s="6" t="s">
        <v>978</v>
      </c>
      <c r="G1471" s="6" t="s">
        <v>2560</v>
      </c>
      <c r="H1471" s="7">
        <v>2208</v>
      </c>
      <c r="I1471" s="8">
        <f>SUMIF(Cargas!$C$6:$C$1064,C1471,Cargas!$O$6:$O$1064)</f>
        <v>2208</v>
      </c>
      <c r="J1471" s="17">
        <f t="shared" si="27"/>
        <v>0</v>
      </c>
      <c r="K1471" s="34">
        <v>1539331</v>
      </c>
      <c r="L1471" s="119">
        <v>213633</v>
      </c>
    </row>
    <row r="1472" hidden="1" ht="15.75">
      <c r="B1472" s="64">
        <v>45951</v>
      </c>
      <c r="C1472" s="9" t="s">
        <v>1518</v>
      </c>
      <c r="D1472" s="6" t="s">
        <v>3808</v>
      </c>
      <c r="E1472" s="6" t="s">
        <v>3885</v>
      </c>
      <c r="F1472" s="6" t="s">
        <v>978</v>
      </c>
      <c r="G1472" s="6" t="s">
        <v>3500</v>
      </c>
      <c r="H1472" s="7">
        <v>2200</v>
      </c>
      <c r="I1472" s="8">
        <f>SUMIF(Cargas!$C$6:$C$1064,C1472,Cargas!$O$6:$O$1064)</f>
        <v>2200</v>
      </c>
      <c r="J1472" s="17">
        <f t="shared" si="27"/>
        <v>0</v>
      </c>
      <c r="K1472" s="34">
        <v>1540179</v>
      </c>
      <c r="L1472" s="119">
        <v>221587</v>
      </c>
    </row>
    <row r="1473" hidden="1" ht="15.75">
      <c r="B1473" s="64">
        <v>45953</v>
      </c>
      <c r="C1473" s="9" t="s">
        <v>1511</v>
      </c>
      <c r="D1473" s="6" t="s">
        <v>3886</v>
      </c>
      <c r="E1473" s="6" t="s">
        <v>3885</v>
      </c>
      <c r="F1473" s="6" t="s">
        <v>978</v>
      </c>
      <c r="G1473" s="6" t="s">
        <v>3870</v>
      </c>
      <c r="H1473" s="7">
        <v>1100</v>
      </c>
      <c r="I1473" s="8">
        <f>SUMIF(Cargas!$C$6:$C$1064,C1473,Cargas!$O$6:$O$1064)</f>
        <v>1100</v>
      </c>
      <c r="J1473" s="17">
        <f t="shared" si="27"/>
        <v>0</v>
      </c>
      <c r="K1473" s="34">
        <v>1540541</v>
      </c>
      <c r="L1473" s="119">
        <v>218926</v>
      </c>
    </row>
    <row r="1474" hidden="1" ht="15.75">
      <c r="B1474" s="64">
        <v>45954</v>
      </c>
      <c r="C1474" s="9" t="s">
        <v>1513</v>
      </c>
      <c r="D1474" s="6" t="s">
        <v>3887</v>
      </c>
      <c r="E1474" s="6" t="s">
        <v>3888</v>
      </c>
      <c r="F1474" s="6" t="s">
        <v>978</v>
      </c>
      <c r="G1474" s="6" t="s">
        <v>3500</v>
      </c>
      <c r="H1474" s="7">
        <v>1050</v>
      </c>
      <c r="I1474" s="8">
        <f>SUMIF(Cargas!$C$6:$C$1064,C1474,Cargas!$O$6:$O$1064)</f>
        <v>1050</v>
      </c>
      <c r="J1474" s="17">
        <f t="shared" si="27"/>
        <v>0</v>
      </c>
      <c r="K1474" s="34"/>
      <c r="L1474" s="119">
        <v>218891</v>
      </c>
    </row>
    <row r="1475" hidden="1" ht="15.75">
      <c r="B1475" s="64">
        <v>45925</v>
      </c>
      <c r="C1475" s="9" t="s">
        <v>1458</v>
      </c>
      <c r="D1475" s="6" t="s">
        <v>3041</v>
      </c>
      <c r="E1475" s="6" t="s">
        <v>3026</v>
      </c>
      <c r="F1475" s="6" t="s">
        <v>2226</v>
      </c>
      <c r="G1475" s="6" t="s">
        <v>412</v>
      </c>
      <c r="H1475" s="7">
        <f>1664+624</f>
        <v>2288</v>
      </c>
      <c r="I1475" s="8">
        <f>SUMIF(Cargas!$C$6:$C$1064,C1475,Cargas!$O$6:$O$1064)</f>
        <v>2288</v>
      </c>
      <c r="J1475" s="17">
        <f t="shared" si="27"/>
        <v>0</v>
      </c>
      <c r="K1475" s="34" t="s">
        <v>3889</v>
      </c>
      <c r="L1475" s="119">
        <v>195246</v>
      </c>
    </row>
    <row r="1476" hidden="1" ht="15.75">
      <c r="B1476" s="64">
        <v>45930</v>
      </c>
      <c r="C1476" s="9" t="s">
        <v>1470</v>
      </c>
      <c r="D1476" s="6" t="s">
        <v>3013</v>
      </c>
      <c r="E1476" s="6" t="s">
        <v>3026</v>
      </c>
      <c r="F1476" s="6" t="s">
        <v>2226</v>
      </c>
      <c r="G1476" s="6" t="s">
        <v>412</v>
      </c>
      <c r="H1476" s="7">
        <f>1664+624</f>
        <v>2288</v>
      </c>
      <c r="I1476" s="8">
        <f>SUMIF(Cargas!$C$6:$C$1064,C1476,Cargas!$O$6:$O$1064)</f>
        <v>2288</v>
      </c>
      <c r="J1476" s="17">
        <f t="shared" si="27"/>
        <v>0</v>
      </c>
      <c r="K1476" s="34">
        <v>1538028</v>
      </c>
      <c r="L1476" s="119">
        <v>200634</v>
      </c>
    </row>
    <row r="1477" hidden="1" ht="15.75">
      <c r="B1477" s="64">
        <v>45880</v>
      </c>
      <c r="C1477" s="9" t="s">
        <v>1373</v>
      </c>
      <c r="D1477" s="6" t="s">
        <v>3263</v>
      </c>
      <c r="E1477" s="6" t="s">
        <v>3890</v>
      </c>
      <c r="F1477" s="6" t="s">
        <v>2226</v>
      </c>
      <c r="G1477" s="6" t="s">
        <v>412</v>
      </c>
      <c r="H1477" s="7">
        <v>2112</v>
      </c>
      <c r="I1477" s="8">
        <f>SUMIF(Cargas!$C$6:$C$1064,C1477,Cargas!$O$6:$O$1064)</f>
        <v>2112</v>
      </c>
      <c r="J1477" s="17">
        <f t="shared" si="27"/>
        <v>0</v>
      </c>
      <c r="K1477" s="34"/>
      <c r="L1477" s="119">
        <v>159892</v>
      </c>
    </row>
    <row r="1478" hidden="1" ht="15.75">
      <c r="B1478" s="64">
        <v>45889</v>
      </c>
      <c r="C1478" s="9" t="s">
        <v>1384</v>
      </c>
      <c r="D1478" s="6" t="s">
        <v>3265</v>
      </c>
      <c r="E1478" s="6" t="s">
        <v>3891</v>
      </c>
      <c r="F1478" s="6" t="s">
        <v>2226</v>
      </c>
      <c r="G1478" s="6" t="s">
        <v>412</v>
      </c>
      <c r="H1478" s="7">
        <v>2112</v>
      </c>
      <c r="I1478" s="8">
        <f>SUMIF(Cargas!$C$6:$C$1064,C1478,Cargas!$O$6:$O$1064)</f>
        <v>2112</v>
      </c>
      <c r="J1478" s="17">
        <f t="shared" si="27"/>
        <v>0</v>
      </c>
      <c r="K1478" s="34">
        <v>1533689</v>
      </c>
      <c r="L1478" s="119">
        <v>167882</v>
      </c>
    </row>
    <row r="1479" hidden="1" ht="15.75">
      <c r="B1479" s="64">
        <v>45898</v>
      </c>
      <c r="C1479" s="9" t="s">
        <v>1400</v>
      </c>
      <c r="D1479" s="6" t="s">
        <v>3267</v>
      </c>
      <c r="E1479" s="6" t="s">
        <v>3891</v>
      </c>
      <c r="F1479" s="6" t="s">
        <v>2226</v>
      </c>
      <c r="G1479" s="6" t="s">
        <v>382</v>
      </c>
      <c r="H1479" s="7">
        <v>2112</v>
      </c>
      <c r="I1479" s="8">
        <f>SUMIF(Cargas!$C$6:$C$1064,C1479,Cargas!$O$6:$O$1064)</f>
        <v>2112</v>
      </c>
      <c r="J1479" s="17">
        <f t="shared" si="27"/>
        <v>0</v>
      </c>
      <c r="K1479" s="34">
        <v>1534670</v>
      </c>
      <c r="L1479" s="119">
        <v>175414</v>
      </c>
    </row>
    <row r="1480" hidden="1" ht="15.75">
      <c r="B1480" s="64">
        <v>45898</v>
      </c>
      <c r="C1480" s="9" t="s">
        <v>1402</v>
      </c>
      <c r="D1480" s="6" t="s">
        <v>3269</v>
      </c>
      <c r="E1480" s="6" t="s">
        <v>3891</v>
      </c>
      <c r="F1480" s="6" t="s">
        <v>2226</v>
      </c>
      <c r="G1480" s="6" t="s">
        <v>412</v>
      </c>
      <c r="H1480" s="7">
        <v>2112</v>
      </c>
      <c r="I1480" s="8">
        <f>SUMIF(Cargas!$C$6:$C$1064,C1480,Cargas!$O$6:$O$1064)</f>
        <v>2112</v>
      </c>
      <c r="J1480" s="17">
        <f t="shared" si="27"/>
        <v>0</v>
      </c>
      <c r="K1480" s="34">
        <v>1534669</v>
      </c>
      <c r="L1480" s="119">
        <v>175365</v>
      </c>
    </row>
    <row r="1481" hidden="1" ht="15.75">
      <c r="B1481" s="64">
        <v>45909</v>
      </c>
      <c r="C1481" s="9" t="s">
        <v>1426</v>
      </c>
      <c r="D1481" s="6" t="s">
        <v>3272</v>
      </c>
      <c r="E1481" s="6" t="s">
        <v>3891</v>
      </c>
      <c r="F1481" s="6" t="s">
        <v>2226</v>
      </c>
      <c r="G1481" s="6" t="s">
        <v>412</v>
      </c>
      <c r="H1481" s="7">
        <v>2112</v>
      </c>
      <c r="I1481" s="8">
        <f>SUMIF(Cargas!$C$6:$C$1064,C1481,Cargas!$O$6:$O$1064)</f>
        <v>2112</v>
      </c>
      <c r="J1481" s="17">
        <f t="shared" si="27"/>
        <v>0</v>
      </c>
      <c r="K1481" s="34">
        <v>1535782</v>
      </c>
      <c r="L1481" s="119">
        <v>183892</v>
      </c>
    </row>
    <row r="1482" hidden="1" ht="15.75">
      <c r="B1482" s="64">
        <v>45909</v>
      </c>
      <c r="C1482" s="9" t="s">
        <v>1429</v>
      </c>
      <c r="D1482" s="6" t="s">
        <v>3274</v>
      </c>
      <c r="E1482" s="6" t="s">
        <v>3891</v>
      </c>
      <c r="F1482" s="6" t="s">
        <v>2226</v>
      </c>
      <c r="G1482" s="6" t="s">
        <v>401</v>
      </c>
      <c r="H1482" s="7">
        <v>2112</v>
      </c>
      <c r="I1482" s="8">
        <f>SUMIF(Cargas!$C$6:$C$1064,C1482,Cargas!$O$6:$O$1064)</f>
        <v>2112</v>
      </c>
      <c r="J1482" s="17">
        <f t="shared" si="27"/>
        <v>0</v>
      </c>
      <c r="K1482" s="34">
        <v>1536103</v>
      </c>
      <c r="L1482" s="119">
        <v>183992</v>
      </c>
    </row>
    <row r="1483" hidden="1" ht="15.75">
      <c r="B1483" s="64">
        <v>45912</v>
      </c>
      <c r="C1483" s="9" t="s">
        <v>1445</v>
      </c>
      <c r="D1483" s="6" t="s">
        <v>3276</v>
      </c>
      <c r="E1483" s="6" t="s">
        <v>2712</v>
      </c>
      <c r="F1483" s="6" t="s">
        <v>2226</v>
      </c>
      <c r="G1483" s="6" t="s">
        <v>2258</v>
      </c>
      <c r="H1483" s="7">
        <v>2112</v>
      </c>
      <c r="I1483" s="8">
        <f>SUMIF(Cargas!$C$6:$C$1064,C1483,Cargas!$O$6:$O$1064)</f>
        <v>2112</v>
      </c>
      <c r="J1483" s="17">
        <f t="shared" si="27"/>
        <v>0</v>
      </c>
      <c r="K1483" s="34">
        <v>1535792</v>
      </c>
      <c r="L1483" s="119">
        <v>187479</v>
      </c>
    </row>
    <row r="1484" hidden="1">
      <c r="B1484" s="64">
        <v>45711</v>
      </c>
      <c r="C1484" s="9" t="s">
        <v>1107</v>
      </c>
      <c r="D1484" s="6" t="s">
        <v>2404</v>
      </c>
      <c r="E1484" s="6" t="s">
        <v>2225</v>
      </c>
      <c r="F1484" s="6" t="s">
        <v>2226</v>
      </c>
      <c r="G1484" s="6" t="s">
        <v>2227</v>
      </c>
      <c r="H1484" s="7">
        <v>1680</v>
      </c>
      <c r="I1484" s="8">
        <f>SUMIF(Cargas!$C$6:$C$1064,C1484,Cargas!$O$6:$O$1064)</f>
        <v>1680</v>
      </c>
      <c r="J1484" s="17">
        <f t="shared" si="27"/>
        <v>0</v>
      </c>
      <c r="K1484" s="34">
        <v>1517676</v>
      </c>
      <c r="L1484" s="34">
        <v>47734</v>
      </c>
    </row>
    <row r="1485" hidden="1">
      <c r="B1485" s="64">
        <v>45734</v>
      </c>
      <c r="C1485" s="9" t="s">
        <v>1160</v>
      </c>
      <c r="D1485" s="6" t="s">
        <v>2422</v>
      </c>
      <c r="E1485" s="6" t="s">
        <v>2225</v>
      </c>
      <c r="F1485" s="6" t="s">
        <v>2226</v>
      </c>
      <c r="G1485" s="6" t="s">
        <v>2227</v>
      </c>
      <c r="H1485" s="7">
        <v>1680</v>
      </c>
      <c r="I1485" s="8">
        <f>SUMIF(Cargas!$C$6:$C$1064,C1485,Cargas!$O$6:$O$1064)</f>
        <v>1680</v>
      </c>
      <c r="J1485" s="17">
        <f t="shared" si="27"/>
        <v>0</v>
      </c>
      <c r="K1485" s="34">
        <v>1519474</v>
      </c>
      <c r="L1485" s="34">
        <v>65226</v>
      </c>
    </row>
    <row r="1486" hidden="1">
      <c r="B1486" s="64">
        <v>45718</v>
      </c>
      <c r="C1486" s="9" t="s">
        <v>1131</v>
      </c>
      <c r="D1486" s="6" t="s">
        <v>2299</v>
      </c>
      <c r="E1486" s="6" t="s">
        <v>3789</v>
      </c>
      <c r="F1486" s="6" t="s">
        <v>2226</v>
      </c>
      <c r="G1486" s="6" t="s">
        <v>2227</v>
      </c>
      <c r="H1486" s="7">
        <v>2160</v>
      </c>
      <c r="I1486" s="8">
        <f>SUMIF(Cargas!$C$6:$C$1064,C1486,Cargas!$O$6:$O$1064)</f>
        <v>2160</v>
      </c>
      <c r="J1486" s="17">
        <f t="shared" si="27"/>
        <v>0</v>
      </c>
      <c r="K1486" s="34">
        <v>1518504</v>
      </c>
      <c r="L1486" s="34">
        <v>55291</v>
      </c>
    </row>
    <row r="1487" hidden="1">
      <c r="B1487" s="64">
        <v>45718</v>
      </c>
      <c r="C1487" s="9" t="s">
        <v>1134</v>
      </c>
      <c r="D1487" s="6" t="s">
        <v>2313</v>
      </c>
      <c r="E1487" s="6" t="s">
        <v>3789</v>
      </c>
      <c r="F1487" s="6" t="s">
        <v>2226</v>
      </c>
      <c r="G1487" s="6" t="s">
        <v>2227</v>
      </c>
      <c r="H1487" s="7">
        <v>2160</v>
      </c>
      <c r="I1487" s="8">
        <f>SUMIF(Cargas!$C$6:$C$1064,C1487,Cargas!$O$6:$O$1064)</f>
        <v>2160</v>
      </c>
      <c r="J1487" s="17">
        <f t="shared" si="27"/>
        <v>0</v>
      </c>
      <c r="K1487" s="34">
        <v>1518507</v>
      </c>
      <c r="L1487" s="34">
        <v>55748</v>
      </c>
    </row>
    <row r="1488" hidden="1">
      <c r="B1488" s="64">
        <v>45725</v>
      </c>
      <c r="C1488" s="9" t="s">
        <v>1148</v>
      </c>
      <c r="D1488" s="6" t="s">
        <v>2329</v>
      </c>
      <c r="E1488" s="6" t="s">
        <v>3789</v>
      </c>
      <c r="F1488" s="6" t="s">
        <v>2226</v>
      </c>
      <c r="G1488" s="6" t="s">
        <v>2227</v>
      </c>
      <c r="H1488" s="7">
        <v>2160</v>
      </c>
      <c r="I1488" s="8">
        <f>SUMIF(Cargas!$C$6:$C$1064,C1488,Cargas!$O$6:$O$1064)</f>
        <v>2160</v>
      </c>
      <c r="J1488" s="17">
        <f t="shared" si="27"/>
        <v>0</v>
      </c>
      <c r="K1488" s="34">
        <v>1518925</v>
      </c>
      <c r="L1488" s="34">
        <v>59438</v>
      </c>
    </row>
    <row r="1489" hidden="1">
      <c r="B1489" s="64">
        <v>45734</v>
      </c>
      <c r="C1489" s="9" t="s">
        <v>1171</v>
      </c>
      <c r="D1489" s="6" t="s">
        <v>2337</v>
      </c>
      <c r="E1489" s="6" t="s">
        <v>3789</v>
      </c>
      <c r="F1489" s="6" t="s">
        <v>2226</v>
      </c>
      <c r="G1489" s="6" t="s">
        <v>2227</v>
      </c>
      <c r="H1489" s="7">
        <v>2160</v>
      </c>
      <c r="I1489" s="8">
        <f>SUMIF(Cargas!$C$6:$C$1064,C1489,Cargas!$O$6:$O$1064)</f>
        <v>2160</v>
      </c>
      <c r="J1489" s="17">
        <f t="shared" si="27"/>
        <v>0</v>
      </c>
      <c r="K1489" s="34">
        <v>1519471</v>
      </c>
      <c r="L1489" s="34">
        <v>66069</v>
      </c>
    </row>
    <row r="1490" hidden="1">
      <c r="B1490" s="64">
        <v>45734</v>
      </c>
      <c r="C1490" s="9" t="s">
        <v>1163</v>
      </c>
      <c r="D1490" s="6" t="s">
        <v>2351</v>
      </c>
      <c r="E1490" s="6" t="s">
        <v>3789</v>
      </c>
      <c r="F1490" s="6" t="s">
        <v>2226</v>
      </c>
      <c r="G1490" s="6" t="s">
        <v>2227</v>
      </c>
      <c r="H1490" s="7">
        <v>2160</v>
      </c>
      <c r="I1490" s="8">
        <f>SUMIF(Cargas!$C$6:$C$1064,C1490,Cargas!$O$6:$O$1064)</f>
        <v>2160</v>
      </c>
      <c r="J1490" s="17">
        <f t="shared" si="27"/>
        <v>0</v>
      </c>
      <c r="K1490" s="34">
        <v>1519472</v>
      </c>
      <c r="L1490" s="34">
        <v>65174</v>
      </c>
    </row>
    <row r="1491" hidden="1" ht="15.75">
      <c r="B1491" s="64">
        <v>46048</v>
      </c>
      <c r="C1491" s="9" t="s">
        <v>1792</v>
      </c>
      <c r="D1491" s="6" t="s">
        <v>3892</v>
      </c>
      <c r="E1491" s="6" t="s">
        <v>3498</v>
      </c>
      <c r="F1491" s="6" t="s">
        <v>978</v>
      </c>
      <c r="G1491" s="6" t="s">
        <v>3870</v>
      </c>
      <c r="H1491" s="7">
        <v>1050</v>
      </c>
      <c r="I1491" s="8">
        <f>SUMIF(Cargas!$C$6:$C$1064,C1491,Cargas!$O$6:$O$1064)</f>
        <v>1050</v>
      </c>
      <c r="J1491" s="17">
        <f t="shared" si="27"/>
        <v>0</v>
      </c>
      <c r="K1491" s="34">
        <v>1548056</v>
      </c>
      <c r="L1491" s="119">
        <v>22236</v>
      </c>
    </row>
    <row r="1492" hidden="1">
      <c r="B1492" s="64">
        <v>45748</v>
      </c>
      <c r="C1492" s="9" t="s">
        <v>1202</v>
      </c>
      <c r="D1492" s="6" t="s">
        <v>2430</v>
      </c>
      <c r="E1492" s="6" t="s">
        <v>2225</v>
      </c>
      <c r="F1492" s="6" t="s">
        <v>2226</v>
      </c>
      <c r="G1492" s="6" t="s">
        <v>2227</v>
      </c>
      <c r="H1492" s="7">
        <v>1680</v>
      </c>
      <c r="I1492" s="8">
        <f>SUMIF(Cargas!$C$6:$C$1064,C1492,Cargas!$O$6:$O$1064)</f>
        <v>1680</v>
      </c>
      <c r="J1492" s="17">
        <f t="shared" si="27"/>
        <v>0</v>
      </c>
      <c r="K1492" s="34">
        <v>1520605</v>
      </c>
      <c r="L1492" s="34">
        <v>73386</v>
      </c>
    </row>
    <row r="1493" hidden="1">
      <c r="B1493" s="64">
        <v>45792</v>
      </c>
      <c r="C1493" s="9" t="s">
        <v>1242</v>
      </c>
      <c r="D1493" s="6" t="s">
        <v>2471</v>
      </c>
      <c r="E1493" s="6" t="s">
        <v>2225</v>
      </c>
      <c r="F1493" s="6" t="s">
        <v>2226</v>
      </c>
      <c r="G1493" s="6" t="s">
        <v>2227</v>
      </c>
      <c r="H1493" s="7">
        <v>1680</v>
      </c>
      <c r="I1493" s="8">
        <f>SUMIF(Cargas!$C$6:$C$1064,C1493,Cargas!$O$6:$O$1064)</f>
        <v>1680</v>
      </c>
      <c r="J1493" s="17">
        <f t="shared" si="27"/>
        <v>0</v>
      </c>
      <c r="K1493" s="34">
        <v>1521906</v>
      </c>
      <c r="L1493" s="34">
        <v>84093</v>
      </c>
    </row>
    <row r="1494" hidden="1" ht="15.75">
      <c r="B1494" s="64">
        <v>45915</v>
      </c>
      <c r="C1494" s="9" t="s">
        <v>1442</v>
      </c>
      <c r="D1494" s="6" t="s">
        <v>3278</v>
      </c>
      <c r="E1494" s="6" t="s">
        <v>3893</v>
      </c>
      <c r="F1494" s="6" t="s">
        <v>2226</v>
      </c>
      <c r="G1494" s="6" t="s">
        <v>412</v>
      </c>
      <c r="H1494" s="7">
        <v>2112</v>
      </c>
      <c r="I1494" s="8">
        <f>SUMIF(Cargas!$C$6:$C$1064,C1494,Cargas!$O$6:$O$1064)</f>
        <v>2112</v>
      </c>
      <c r="J1494" s="17">
        <f t="shared" si="27"/>
        <v>0</v>
      </c>
      <c r="K1494" s="34">
        <v>1536419</v>
      </c>
      <c r="L1494" s="119">
        <v>187659</v>
      </c>
    </row>
    <row r="1495" hidden="1">
      <c r="B1495" s="64">
        <v>45817</v>
      </c>
      <c r="C1495" s="9" t="s">
        <v>1326</v>
      </c>
      <c r="D1495" s="6" t="s">
        <v>3776</v>
      </c>
      <c r="E1495" s="6" t="s">
        <v>3766</v>
      </c>
      <c r="F1495" s="6" t="s">
        <v>2226</v>
      </c>
      <c r="G1495" s="6" t="s">
        <v>2227</v>
      </c>
      <c r="H1495" s="7">
        <v>1080</v>
      </c>
      <c r="I1495" s="8">
        <f>SUMIF(Cargas!$C$6:$C$1064,C1495,Cargas!$O$6:$O$1064)</f>
        <v>1080</v>
      </c>
      <c r="J1495" s="17">
        <f t="shared" si="27"/>
        <v>0</v>
      </c>
      <c r="K1495" s="34">
        <v>1525843</v>
      </c>
      <c r="L1495" s="34">
        <v>129433</v>
      </c>
    </row>
    <row r="1496" hidden="1">
      <c r="B1496" s="64">
        <v>45841</v>
      </c>
      <c r="C1496" s="9" t="s">
        <v>1345</v>
      </c>
      <c r="D1496" s="6" t="s">
        <v>3777</v>
      </c>
      <c r="E1496" s="6" t="s">
        <v>3766</v>
      </c>
      <c r="F1496" s="6" t="s">
        <v>2226</v>
      </c>
      <c r="G1496" s="6" t="s">
        <v>2227</v>
      </c>
      <c r="H1496" s="7">
        <v>1080</v>
      </c>
      <c r="I1496" s="8">
        <f>SUMIF(Cargas!$C$6:$C$1064,C1496,Cargas!$O$6:$O$1064)</f>
        <v>1080</v>
      </c>
      <c r="J1496" s="17">
        <f t="shared" si="27"/>
        <v>0</v>
      </c>
      <c r="K1496" s="34">
        <v>1525844</v>
      </c>
      <c r="L1496" s="34">
        <v>143966</v>
      </c>
    </row>
    <row r="1497" hidden="1">
      <c r="B1497" s="64">
        <v>45852</v>
      </c>
      <c r="C1497" s="9" t="s">
        <v>1368</v>
      </c>
      <c r="D1497" s="6" t="s">
        <v>3778</v>
      </c>
      <c r="E1497" s="6" t="s">
        <v>3766</v>
      </c>
      <c r="F1497" s="6" t="s">
        <v>2226</v>
      </c>
      <c r="G1497" s="6" t="s">
        <v>2227</v>
      </c>
      <c r="H1497" s="7">
        <v>1080</v>
      </c>
      <c r="I1497" s="8">
        <f>SUMIF(Cargas!$C$6:$C$1064,C1497,Cargas!$O$6:$O$1064)</f>
        <v>1080</v>
      </c>
      <c r="J1497" s="17">
        <f t="shared" si="27"/>
        <v>0</v>
      </c>
      <c r="K1497" s="34">
        <v>1525845</v>
      </c>
      <c r="L1497" s="34">
        <v>160542</v>
      </c>
    </row>
    <row r="1498" hidden="1">
      <c r="B1498" s="64">
        <v>45865</v>
      </c>
      <c r="C1498" s="9" t="s">
        <v>1391</v>
      </c>
      <c r="D1498" s="6" t="s">
        <v>3774</v>
      </c>
      <c r="E1498" s="6" t="s">
        <v>3766</v>
      </c>
      <c r="F1498" s="6" t="s">
        <v>2226</v>
      </c>
      <c r="G1498" s="6" t="s">
        <v>2227</v>
      </c>
      <c r="H1498" s="7">
        <v>1080</v>
      </c>
      <c r="I1498" s="8">
        <f>SUMIF(Cargas!$C$6:$C$1064,C1498,Cargas!$O$6:$O$1064)</f>
        <v>1080</v>
      </c>
      <c r="J1498" s="17">
        <f t="shared" si="27"/>
        <v>0</v>
      </c>
      <c r="K1498" s="34">
        <v>1525847</v>
      </c>
      <c r="L1498" s="34">
        <v>169616</v>
      </c>
    </row>
    <row r="1499" hidden="1">
      <c r="B1499" s="64">
        <v>45880</v>
      </c>
      <c r="C1499" s="9" t="s">
        <v>1413</v>
      </c>
      <c r="D1499" s="6" t="s">
        <v>3779</v>
      </c>
      <c r="E1499" s="6" t="s">
        <v>3766</v>
      </c>
      <c r="F1499" s="6" t="s">
        <v>2226</v>
      </c>
      <c r="G1499" s="6" t="s">
        <v>2227</v>
      </c>
      <c r="H1499" s="7">
        <v>1080</v>
      </c>
      <c r="I1499" s="8">
        <f>SUMIF(Cargas!$C$6:$C$1064,C1499,Cargas!$O$6:$O$1064)</f>
        <v>1080</v>
      </c>
      <c r="J1499" s="17">
        <f t="shared" si="27"/>
        <v>0</v>
      </c>
      <c r="K1499" s="34">
        <v>1532154</v>
      </c>
      <c r="L1499" s="34">
        <v>177402</v>
      </c>
    </row>
    <row r="1500" hidden="1">
      <c r="B1500" s="64">
        <v>45894</v>
      </c>
      <c r="C1500" s="9" t="s">
        <v>1438</v>
      </c>
      <c r="D1500" s="6" t="s">
        <v>3780</v>
      </c>
      <c r="E1500" s="6" t="s">
        <v>3766</v>
      </c>
      <c r="F1500" s="6" t="s">
        <v>2226</v>
      </c>
      <c r="G1500" s="6" t="s">
        <v>2227</v>
      </c>
      <c r="H1500" s="7">
        <v>1080</v>
      </c>
      <c r="I1500" s="8">
        <f>SUMIF(Cargas!$C$6:$C$1064,C1500,Cargas!$O$6:$O$1064)</f>
        <v>1080</v>
      </c>
      <c r="J1500" s="17">
        <f t="shared" si="27"/>
        <v>0</v>
      </c>
      <c r="K1500" s="34">
        <v>1532155</v>
      </c>
      <c r="L1500" s="34">
        <v>185330</v>
      </c>
    </row>
    <row r="1501" hidden="1">
      <c r="B1501" s="64">
        <v>45783</v>
      </c>
      <c r="C1501" s="9" t="s">
        <v>1271</v>
      </c>
      <c r="D1501" s="6" t="s">
        <v>2510</v>
      </c>
      <c r="E1501" s="6" t="s">
        <v>2225</v>
      </c>
      <c r="F1501" s="6" t="s">
        <v>2226</v>
      </c>
      <c r="G1501" s="6" t="s">
        <v>2227</v>
      </c>
      <c r="H1501" s="7">
        <v>1680</v>
      </c>
      <c r="I1501" s="8">
        <f>SUMIF(Cargas!$C$6:$C$1064,C1501,Cargas!$O$6:$O$1064)</f>
        <v>1680</v>
      </c>
      <c r="J1501" s="17">
        <f t="shared" si="27"/>
        <v>0</v>
      </c>
      <c r="K1501" s="34">
        <v>1523565</v>
      </c>
      <c r="L1501" s="34">
        <v>102848</v>
      </c>
    </row>
    <row r="1502" hidden="1">
      <c r="B1502" s="64">
        <v>45797</v>
      </c>
      <c r="C1502" s="9" t="s">
        <v>1291</v>
      </c>
      <c r="D1502" s="6" t="s">
        <v>2546</v>
      </c>
      <c r="E1502" s="6" t="s">
        <v>2225</v>
      </c>
      <c r="F1502" s="6" t="s">
        <v>2226</v>
      </c>
      <c r="G1502" s="6" t="s">
        <v>2227</v>
      </c>
      <c r="H1502" s="7">
        <v>1680</v>
      </c>
      <c r="I1502" s="8">
        <f>SUMIF(Cargas!$C$6:$C$1064,C1502,Cargas!$O$6:$O$1064)</f>
        <v>1680</v>
      </c>
      <c r="J1502" s="17">
        <f t="shared" si="27"/>
        <v>0</v>
      </c>
      <c r="K1502" s="34">
        <v>1525299</v>
      </c>
      <c r="L1502" s="34">
        <v>107853</v>
      </c>
    </row>
    <row r="1503" hidden="1">
      <c r="B1503" s="64">
        <v>45818</v>
      </c>
      <c r="C1503" s="9" t="s">
        <v>1318</v>
      </c>
      <c r="D1503" s="6" t="s">
        <v>2577</v>
      </c>
      <c r="E1503" s="6" t="s">
        <v>2225</v>
      </c>
      <c r="F1503" s="6" t="s">
        <v>2226</v>
      </c>
      <c r="G1503" s="6" t="s">
        <v>2227</v>
      </c>
      <c r="H1503" s="7">
        <v>1680</v>
      </c>
      <c r="I1503" s="8">
        <f>SUMIF(Cargas!$C$6:$C$1064,C1503,Cargas!$O$6:$O$1064)</f>
        <v>1680</v>
      </c>
      <c r="J1503" s="17">
        <f t="shared" si="27"/>
        <v>0</v>
      </c>
      <c r="K1503" s="34">
        <v>1526487</v>
      </c>
      <c r="L1503" s="34">
        <v>126869</v>
      </c>
    </row>
    <row r="1504" hidden="1">
      <c r="B1504" s="64">
        <v>45752</v>
      </c>
      <c r="C1504" s="9" t="s">
        <v>1194</v>
      </c>
      <c r="D1504" s="6" t="s">
        <v>2367</v>
      </c>
      <c r="E1504" s="6" t="s">
        <v>3789</v>
      </c>
      <c r="F1504" s="6" t="s">
        <v>2226</v>
      </c>
      <c r="G1504" s="6" t="s">
        <v>2227</v>
      </c>
      <c r="H1504" s="7">
        <v>2160</v>
      </c>
      <c r="I1504" s="8">
        <f>SUMIF(Cargas!$C$6:$C$1064,C1504,Cargas!$O$6:$O$1064)</f>
        <v>2160</v>
      </c>
      <c r="J1504" s="17">
        <f t="shared" si="27"/>
        <v>0</v>
      </c>
      <c r="K1504" s="34">
        <v>1520053</v>
      </c>
      <c r="L1504" s="34">
        <v>71348</v>
      </c>
    </row>
    <row r="1505" hidden="1">
      <c r="B1505" s="64">
        <v>45664</v>
      </c>
      <c r="C1505" s="9" t="s">
        <v>967</v>
      </c>
      <c r="D1505" s="6" t="s">
        <v>2219</v>
      </c>
      <c r="E1505" s="6" t="s">
        <v>2220</v>
      </c>
      <c r="F1505" s="6" t="s">
        <v>2226</v>
      </c>
      <c r="G1505" s="6" t="s">
        <v>2227</v>
      </c>
      <c r="H1505" s="7">
        <v>2160</v>
      </c>
      <c r="I1505" s="8">
        <f>SUMIF(Cargas!$C$6:$C$1064,C1505,Cargas!$O$6:$O$1064)</f>
        <v>2160</v>
      </c>
      <c r="J1505" s="17">
        <f t="shared" si="27"/>
        <v>0</v>
      </c>
      <c r="K1505" s="34">
        <v>1514141</v>
      </c>
      <c r="L1505" s="34" t="s">
        <v>3894</v>
      </c>
    </row>
    <row r="1506" hidden="1">
      <c r="B1506" s="64">
        <v>45671</v>
      </c>
      <c r="C1506" s="9" t="s">
        <v>989</v>
      </c>
      <c r="D1506" s="6" t="s">
        <v>2236</v>
      </c>
      <c r="E1506" s="6" t="s">
        <v>2220</v>
      </c>
      <c r="F1506" s="6" t="s">
        <v>2226</v>
      </c>
      <c r="G1506" s="6" t="s">
        <v>2227</v>
      </c>
      <c r="H1506" s="7">
        <v>3240</v>
      </c>
      <c r="I1506" s="8">
        <f>SUMIF(Cargas!$C$6:$C$1064,C1506,Cargas!$O$6:$O$1064)</f>
        <v>3240</v>
      </c>
      <c r="J1506" s="17">
        <f t="shared" si="27"/>
        <v>0</v>
      </c>
      <c r="K1506" s="34">
        <v>1514491</v>
      </c>
      <c r="L1506" s="34" t="s">
        <v>3894</v>
      </c>
    </row>
    <row r="1507" hidden="1">
      <c r="B1507" s="64">
        <v>45671</v>
      </c>
      <c r="C1507" s="9" t="s">
        <v>985</v>
      </c>
      <c r="D1507" s="6" t="s">
        <v>2238</v>
      </c>
      <c r="E1507" s="6" t="s">
        <v>2220</v>
      </c>
      <c r="F1507" s="6" t="s">
        <v>2226</v>
      </c>
      <c r="G1507" s="6" t="s">
        <v>2227</v>
      </c>
      <c r="H1507" s="7">
        <f>918+210</f>
        <v>1128</v>
      </c>
      <c r="I1507" s="8">
        <f>SUMIF(Cargas!$C$6:$C$1064,C1507,Cargas!$O$6:$O$1064)</f>
        <v>1128</v>
      </c>
      <c r="J1507" s="17">
        <f t="shared" si="27"/>
        <v>0</v>
      </c>
      <c r="K1507" s="34">
        <v>1514492</v>
      </c>
      <c r="L1507" s="34" t="s">
        <v>29</v>
      </c>
    </row>
    <row r="1508" hidden="1">
      <c r="B1508" s="64">
        <v>45678</v>
      </c>
      <c r="C1508" s="9" t="s">
        <v>1008</v>
      </c>
      <c r="D1508" s="6" t="s">
        <v>2244</v>
      </c>
      <c r="E1508" s="6" t="s">
        <v>2220</v>
      </c>
      <c r="F1508" s="6" t="s">
        <v>2226</v>
      </c>
      <c r="G1508" s="6" t="s">
        <v>2227</v>
      </c>
      <c r="H1508" s="7">
        <v>3240</v>
      </c>
      <c r="I1508" s="8">
        <f>SUMIF(Cargas!$C$6:$C$1064,C1508,Cargas!$O$6:$O$1064)</f>
        <v>3240</v>
      </c>
      <c r="J1508" s="17">
        <f t="shared" si="27"/>
        <v>0</v>
      </c>
      <c r="K1508" s="34">
        <v>1514956</v>
      </c>
      <c r="L1508" s="34">
        <v>25109</v>
      </c>
    </row>
    <row r="1509" hidden="1">
      <c r="B1509" s="64">
        <v>45678</v>
      </c>
      <c r="C1509" s="9" t="s">
        <v>1025</v>
      </c>
      <c r="D1509" s="6" t="s">
        <v>2254</v>
      </c>
      <c r="E1509" s="6" t="s">
        <v>2220</v>
      </c>
      <c r="F1509" s="6" t="s">
        <v>2226</v>
      </c>
      <c r="G1509" s="6" t="s">
        <v>2227</v>
      </c>
      <c r="H1509" s="7">
        <v>1128</v>
      </c>
      <c r="I1509" s="8">
        <f>SUMIF(Cargas!$C$6:$C$1064,C1509,Cargas!$O$6:$O$1064)</f>
        <v>1128</v>
      </c>
      <c r="J1509" s="17">
        <f t="shared" si="27"/>
        <v>0</v>
      </c>
      <c r="K1509" s="34">
        <v>1514957</v>
      </c>
      <c r="L1509" s="34">
        <v>25926</v>
      </c>
    </row>
    <row r="1510" hidden="1">
      <c r="B1510" s="64">
        <v>45678</v>
      </c>
      <c r="C1510" s="9" t="s">
        <v>1020</v>
      </c>
      <c r="D1510" s="6" t="s">
        <v>3121</v>
      </c>
      <c r="E1510" s="6" t="s">
        <v>2220</v>
      </c>
      <c r="F1510" s="6" t="s">
        <v>2226</v>
      </c>
      <c r="G1510" s="6" t="s">
        <v>2227</v>
      </c>
      <c r="H1510" s="7">
        <v>2160</v>
      </c>
      <c r="I1510" s="8">
        <f>SUMIF(Cargas!$C$6:$C$1064,C1510,Cargas!$O$6:$O$1064)</f>
        <v>2160</v>
      </c>
      <c r="J1510" s="17">
        <f t="shared" si="27"/>
        <v>0</v>
      </c>
      <c r="K1510" s="34">
        <v>1515035</v>
      </c>
      <c r="L1510" s="34">
        <v>25136</v>
      </c>
    </row>
    <row r="1511" hidden="1">
      <c r="B1511" s="64">
        <v>45685</v>
      </c>
      <c r="C1511" s="9" t="s">
        <v>1034</v>
      </c>
      <c r="D1511" s="6" t="s">
        <v>3123</v>
      </c>
      <c r="E1511" s="6" t="s">
        <v>2220</v>
      </c>
      <c r="F1511" s="6" t="s">
        <v>2226</v>
      </c>
      <c r="G1511" s="6" t="s">
        <v>2227</v>
      </c>
      <c r="H1511" s="7">
        <v>3240</v>
      </c>
      <c r="I1511" s="8">
        <f>SUMIF(Cargas!$C$6:$C$1064,C1511,Cargas!$O$6:$O$1064)</f>
        <v>3240</v>
      </c>
      <c r="J1511" s="17">
        <f t="shared" si="27"/>
        <v>0</v>
      </c>
      <c r="K1511" s="34">
        <v>1515386</v>
      </c>
      <c r="L1511" s="34">
        <v>29285</v>
      </c>
    </row>
    <row r="1512" hidden="1">
      <c r="B1512" s="64">
        <v>45685</v>
      </c>
      <c r="C1512" s="9" t="s">
        <v>1042</v>
      </c>
      <c r="D1512" s="6" t="s">
        <v>2272</v>
      </c>
      <c r="E1512" s="6" t="s">
        <v>2220</v>
      </c>
      <c r="F1512" s="6" t="s">
        <v>2226</v>
      </c>
      <c r="G1512" s="6" t="s">
        <v>2227</v>
      </c>
      <c r="H1512" s="7">
        <v>1128</v>
      </c>
      <c r="I1512" s="8">
        <f>SUMIF(Cargas!$C$6:$C$1064,C1512,Cargas!$O$6:$O$1064)</f>
        <v>1128</v>
      </c>
      <c r="J1512" s="17">
        <f t="shared" si="27"/>
        <v>0</v>
      </c>
      <c r="K1512" s="34">
        <v>1515387</v>
      </c>
      <c r="L1512" s="34">
        <v>30530</v>
      </c>
    </row>
    <row r="1513" hidden="1">
      <c r="B1513" s="64">
        <v>45692</v>
      </c>
      <c r="C1513" s="9" t="s">
        <v>1052</v>
      </c>
      <c r="D1513" s="6" t="s">
        <v>2291</v>
      </c>
      <c r="E1513" s="6" t="s">
        <v>2220</v>
      </c>
      <c r="F1513" s="6" t="s">
        <v>2226</v>
      </c>
      <c r="G1513" s="6" t="s">
        <v>2227</v>
      </c>
      <c r="H1513" s="7">
        <v>1128</v>
      </c>
      <c r="I1513" s="8">
        <f>SUMIF(Cargas!$C$6:$C$1064,C1513,Cargas!$O$6:$O$1064)</f>
        <v>1128</v>
      </c>
      <c r="J1513" s="17">
        <f t="shared" si="27"/>
        <v>0</v>
      </c>
      <c r="K1513" s="34">
        <v>1515389</v>
      </c>
      <c r="L1513" s="34">
        <v>34529</v>
      </c>
    </row>
    <row r="1514" hidden="1">
      <c r="B1514" s="64">
        <v>45699</v>
      </c>
      <c r="C1514" s="9" t="s">
        <v>1074</v>
      </c>
      <c r="D1514" s="6" t="s">
        <v>2295</v>
      </c>
      <c r="E1514" s="6" t="s">
        <v>2220</v>
      </c>
      <c r="F1514" s="6" t="s">
        <v>2226</v>
      </c>
      <c r="G1514" s="6" t="s">
        <v>2227</v>
      </c>
      <c r="H1514" s="7">
        <v>3240</v>
      </c>
      <c r="I1514" s="8">
        <f>SUMIF(Cargas!$C$6:$C$1064,C1514,Cargas!$O$6:$O$1064)</f>
        <v>3240</v>
      </c>
      <c r="J1514" s="17">
        <f ref="J1514:J1577" t="shared" si="28">IF(ABS(H1514-I1514)&lt;20,0,H1514-I1514)</f>
        <v>0</v>
      </c>
      <c r="K1514" s="34">
        <v>1516611</v>
      </c>
      <c r="L1514" s="34">
        <v>39566</v>
      </c>
    </row>
    <row r="1515" hidden="1">
      <c r="B1515" s="64">
        <v>45629</v>
      </c>
      <c r="C1515" s="9" t="s">
        <v>871</v>
      </c>
      <c r="D1515" s="6" t="s">
        <v>2705</v>
      </c>
      <c r="E1515" s="6" t="s">
        <v>2220</v>
      </c>
      <c r="F1515" s="6" t="s">
        <v>2226</v>
      </c>
      <c r="G1515" s="6" t="s">
        <v>2227</v>
      </c>
      <c r="H1515" s="7">
        <v>4320</v>
      </c>
      <c r="I1515" s="8">
        <f>SUMIF(Cargas!$C$6:$C$1064,C1515,Cargas!$O$6:$O$1064)</f>
        <v>4320</v>
      </c>
      <c r="J1515" s="17">
        <f t="shared" si="28"/>
        <v>0</v>
      </c>
      <c r="K1515" s="34">
        <v>1511063</v>
      </c>
      <c r="L1515" s="34">
        <v>258051</v>
      </c>
    </row>
    <row r="1516" hidden="1">
      <c r="B1516" s="64">
        <v>45629</v>
      </c>
      <c r="C1516" s="9" t="s">
        <v>877</v>
      </c>
      <c r="D1516" s="6" t="s">
        <v>2943</v>
      </c>
      <c r="E1516" s="6" t="s">
        <v>2220</v>
      </c>
      <c r="F1516" s="6" t="s">
        <v>2226</v>
      </c>
      <c r="G1516" s="6" t="s">
        <v>2227</v>
      </c>
      <c r="H1516" s="7">
        <v>1128</v>
      </c>
      <c r="I1516" s="8">
        <f>SUMIF(Cargas!$C$6:$C$1064,C1516,Cargas!$O$6:$O$1064)</f>
        <v>1128</v>
      </c>
      <c r="J1516" s="17">
        <f t="shared" si="28"/>
        <v>0</v>
      </c>
      <c r="K1516" s="34">
        <v>1511064</v>
      </c>
      <c r="L1516" s="34">
        <v>258096</v>
      </c>
    </row>
    <row r="1517" hidden="1">
      <c r="B1517" s="64">
        <v>45643</v>
      </c>
      <c r="C1517" s="9" t="s">
        <v>917</v>
      </c>
      <c r="D1517" s="6" t="s">
        <v>2945</v>
      </c>
      <c r="E1517" s="6" t="s">
        <v>2220</v>
      </c>
      <c r="F1517" s="6" t="s">
        <v>2226</v>
      </c>
      <c r="G1517" s="6" t="s">
        <v>2227</v>
      </c>
      <c r="H1517" s="7">
        <v>2208</v>
      </c>
      <c r="I1517" s="8">
        <f>SUMIF(Cargas!$C$6:$C$1064,C1517,Cargas!$O$6:$O$1064)</f>
        <v>2208</v>
      </c>
      <c r="J1517" s="17">
        <f t="shared" si="28"/>
        <v>0</v>
      </c>
      <c r="K1517" s="34">
        <v>1511872</v>
      </c>
      <c r="L1517" s="34">
        <v>1000</v>
      </c>
    </row>
    <row r="1518" hidden="1">
      <c r="B1518" s="64">
        <v>45706</v>
      </c>
      <c r="C1518" s="9" t="s">
        <v>1089</v>
      </c>
      <c r="D1518" s="6" t="s">
        <v>2307</v>
      </c>
      <c r="E1518" s="6" t="s">
        <v>2220</v>
      </c>
      <c r="F1518" s="6" t="s">
        <v>2226</v>
      </c>
      <c r="G1518" s="6" t="s">
        <v>2227</v>
      </c>
      <c r="H1518" s="7">
        <v>3240</v>
      </c>
      <c r="I1518" s="8">
        <f>SUMIF(Cargas!$C$6:$C$1064,C1518,Cargas!$O$6:$O$1064)</f>
        <v>3240</v>
      </c>
      <c r="J1518" s="17">
        <f t="shared" si="28"/>
        <v>0</v>
      </c>
      <c r="K1518" s="34">
        <v>1517200</v>
      </c>
      <c r="L1518" s="34">
        <v>44319</v>
      </c>
    </row>
    <row r="1519" hidden="1">
      <c r="B1519" s="64">
        <v>45706</v>
      </c>
      <c r="C1519" s="9" t="s">
        <v>1100</v>
      </c>
      <c r="D1519" s="6" t="s">
        <v>2309</v>
      </c>
      <c r="E1519" s="6" t="s">
        <v>2220</v>
      </c>
      <c r="F1519" s="6" t="s">
        <v>2226</v>
      </c>
      <c r="G1519" s="6" t="s">
        <v>2227</v>
      </c>
      <c r="H1519" s="7">
        <v>1128</v>
      </c>
      <c r="I1519" s="8">
        <f>SUMIF(Cargas!$C$6:$C$1064,C1519,Cargas!$O$6:$O$1064)</f>
        <v>1128</v>
      </c>
      <c r="J1519" s="17">
        <f t="shared" si="28"/>
        <v>0</v>
      </c>
      <c r="K1519" s="34">
        <v>1517201</v>
      </c>
      <c r="L1519" s="34">
        <v>44182</v>
      </c>
    </row>
    <row r="1520" hidden="1">
      <c r="B1520" s="64">
        <v>45706</v>
      </c>
      <c r="C1520" s="9" t="s">
        <v>1092</v>
      </c>
      <c r="D1520" s="6" t="s">
        <v>2319</v>
      </c>
      <c r="E1520" s="6" t="s">
        <v>2220</v>
      </c>
      <c r="F1520" s="6" t="s">
        <v>2226</v>
      </c>
      <c r="G1520" s="6" t="s">
        <v>2227</v>
      </c>
      <c r="H1520" s="7">
        <v>2160</v>
      </c>
      <c r="I1520" s="8">
        <f>SUMIF(Cargas!$C$6:$C$1064,C1520,Cargas!$O$6:$O$1064)</f>
        <v>2160</v>
      </c>
      <c r="J1520" s="17">
        <f t="shared" si="28"/>
        <v>0</v>
      </c>
      <c r="K1520" s="34">
        <v>1517266</v>
      </c>
      <c r="L1520" s="34">
        <v>44082</v>
      </c>
    </row>
    <row r="1521" hidden="1">
      <c r="B1521" s="64">
        <v>45711</v>
      </c>
      <c r="C1521" s="9" t="s">
        <v>1114</v>
      </c>
      <c r="D1521" s="6" t="s">
        <v>2325</v>
      </c>
      <c r="E1521" s="6" t="s">
        <v>2220</v>
      </c>
      <c r="F1521" s="6" t="s">
        <v>2226</v>
      </c>
      <c r="G1521" s="6" t="s">
        <v>2227</v>
      </c>
      <c r="H1521" s="7">
        <v>4320</v>
      </c>
      <c r="I1521" s="8">
        <f>SUMIF(Cargas!$C$6:$C$1064,C1521,Cargas!$O$6:$O$1064)</f>
        <v>4320</v>
      </c>
      <c r="J1521" s="17">
        <f t="shared" si="28"/>
        <v>0</v>
      </c>
      <c r="K1521" s="34">
        <v>1517716</v>
      </c>
      <c r="L1521" s="34">
        <v>49719</v>
      </c>
    </row>
    <row r="1522" hidden="1">
      <c r="B1522" s="64">
        <v>45752</v>
      </c>
      <c r="C1522" s="9" t="s">
        <v>1189</v>
      </c>
      <c r="D1522" s="6" t="s">
        <v>2369</v>
      </c>
      <c r="E1522" s="6" t="s">
        <v>3789</v>
      </c>
      <c r="F1522" s="6" t="s">
        <v>2226</v>
      </c>
      <c r="G1522" s="6" t="s">
        <v>2227</v>
      </c>
      <c r="H1522" s="7">
        <v>2160</v>
      </c>
      <c r="I1522" s="8">
        <f>SUMIF(Cargas!$C$6:$C$1064,C1522,Cargas!$O$6:$O$1064)</f>
        <v>2160</v>
      </c>
      <c r="J1522" s="17">
        <f t="shared" si="28"/>
        <v>0</v>
      </c>
      <c r="K1522" s="34">
        <v>1520052</v>
      </c>
      <c r="L1522" s="34">
        <v>71212</v>
      </c>
    </row>
    <row r="1523" hidden="1">
      <c r="B1523" s="64">
        <v>45748</v>
      </c>
      <c r="C1523" s="9" t="s">
        <v>1217</v>
      </c>
      <c r="D1523" s="6" t="s">
        <v>2389</v>
      </c>
      <c r="E1523" s="6" t="s">
        <v>3789</v>
      </c>
      <c r="F1523" s="6" t="s">
        <v>2226</v>
      </c>
      <c r="G1523" s="6" t="s">
        <v>2227</v>
      </c>
      <c r="H1523" s="7">
        <v>4320</v>
      </c>
      <c r="I1523" s="8">
        <f>SUMIF(Cargas!$C$6:$C$1064,C1523,Cargas!$O$6:$O$1064)</f>
        <v>4320</v>
      </c>
      <c r="J1523" s="17">
        <f t="shared" si="28"/>
        <v>0</v>
      </c>
      <c r="K1523" s="34">
        <v>1520606</v>
      </c>
      <c r="L1523" s="34">
        <v>74886</v>
      </c>
    </row>
    <row r="1524" hidden="1">
      <c r="B1524" s="64">
        <v>45718</v>
      </c>
      <c r="C1524" s="9" t="s">
        <v>1137</v>
      </c>
      <c r="D1524" s="6" t="s">
        <v>2331</v>
      </c>
      <c r="E1524" s="6" t="s">
        <v>2220</v>
      </c>
      <c r="F1524" s="6" t="s">
        <v>2226</v>
      </c>
      <c r="G1524" s="6" t="s">
        <v>2227</v>
      </c>
      <c r="H1524" s="7">
        <v>3240</v>
      </c>
      <c r="I1524" s="8">
        <f>SUMIF(Cargas!$C$6:$C$1064,C1524,Cargas!$O$6:$O$1064)</f>
        <v>3240</v>
      </c>
      <c r="J1524" s="17">
        <f t="shared" si="28"/>
        <v>0</v>
      </c>
      <c r="K1524" s="34">
        <v>1518523</v>
      </c>
      <c r="L1524" s="34">
        <v>74886</v>
      </c>
    </row>
    <row r="1525" hidden="1">
      <c r="B1525" s="64">
        <v>45718</v>
      </c>
      <c r="C1525" s="9" t="s">
        <v>1128</v>
      </c>
      <c r="D1525" s="6" t="s">
        <v>2335</v>
      </c>
      <c r="E1525" s="6" t="s">
        <v>2220</v>
      </c>
      <c r="F1525" s="6" t="s">
        <v>2226</v>
      </c>
      <c r="G1525" s="6" t="s">
        <v>2227</v>
      </c>
      <c r="H1525" s="7">
        <v>1128</v>
      </c>
      <c r="I1525" s="8">
        <f>SUMIF(Cargas!$C$6:$C$1064,C1525,Cargas!$O$6:$O$1064)</f>
        <v>1128</v>
      </c>
      <c r="J1525" s="17">
        <f t="shared" si="28"/>
        <v>0</v>
      </c>
      <c r="K1525" s="34">
        <v>1518524</v>
      </c>
      <c r="L1525" s="34">
        <v>55217</v>
      </c>
    </row>
    <row r="1526" hidden="1">
      <c r="B1526" s="64">
        <v>45725</v>
      </c>
      <c r="C1526" s="9" t="s">
        <v>1145</v>
      </c>
      <c r="D1526" s="6" t="s">
        <v>2346</v>
      </c>
      <c r="E1526" s="6" t="s">
        <v>2220</v>
      </c>
      <c r="F1526" s="6" t="s">
        <v>2226</v>
      </c>
      <c r="G1526" s="6" t="s">
        <v>2227</v>
      </c>
      <c r="H1526" s="7">
        <v>4320</v>
      </c>
      <c r="I1526" s="8">
        <f>SUMIF(Cargas!$C$6:$C$1064,C1526,Cargas!$O$6:$O$1064)</f>
        <v>4320</v>
      </c>
      <c r="J1526" s="17">
        <f t="shared" si="28"/>
        <v>0</v>
      </c>
      <c r="K1526" s="34">
        <v>1518925</v>
      </c>
      <c r="L1526" s="34">
        <v>59508</v>
      </c>
    </row>
    <row r="1527" hidden="1">
      <c r="B1527" s="64">
        <v>45734</v>
      </c>
      <c r="C1527" s="9" t="s">
        <v>1168</v>
      </c>
      <c r="D1527" s="6" t="s">
        <v>2361</v>
      </c>
      <c r="E1527" s="6" t="s">
        <v>2220</v>
      </c>
      <c r="F1527" s="6" t="s">
        <v>2226</v>
      </c>
      <c r="G1527" s="6" t="s">
        <v>2227</v>
      </c>
      <c r="H1527" s="7">
        <v>3240</v>
      </c>
      <c r="I1527" s="8">
        <f>SUMIF(Cargas!$C$6:$C$1064,C1527,Cargas!$O$6:$O$1064)</f>
        <v>3240</v>
      </c>
      <c r="J1527" s="17">
        <f t="shared" si="28"/>
        <v>0</v>
      </c>
      <c r="K1527" s="34">
        <v>1519473</v>
      </c>
      <c r="L1527" s="34">
        <v>66009</v>
      </c>
    </row>
    <row r="1528" hidden="1">
      <c r="B1528" s="64">
        <v>45734</v>
      </c>
      <c r="C1528" s="9" t="s">
        <v>1166</v>
      </c>
      <c r="D1528" s="6" t="s">
        <v>2371</v>
      </c>
      <c r="E1528" s="6" t="s">
        <v>2220</v>
      </c>
      <c r="F1528" s="6" t="s">
        <v>2226</v>
      </c>
      <c r="G1528" s="6" t="s">
        <v>2227</v>
      </c>
      <c r="H1528" s="7">
        <v>1228</v>
      </c>
      <c r="I1528" s="8">
        <f>SUMIF(Cargas!$C$6:$C$1064,C1528,Cargas!$O$6:$O$1064)</f>
        <v>1228</v>
      </c>
      <c r="J1528" s="17">
        <f t="shared" si="28"/>
        <v>0</v>
      </c>
      <c r="K1528" s="34">
        <v>1519472</v>
      </c>
      <c r="L1528" s="34">
        <v>65229</v>
      </c>
    </row>
    <row r="1529" hidden="1">
      <c r="B1529" s="64">
        <v>45633</v>
      </c>
      <c r="C1529" s="9" t="s">
        <v>944</v>
      </c>
      <c r="D1529" s="6" t="s">
        <v>3895</v>
      </c>
      <c r="E1529" s="6" t="s">
        <v>3020</v>
      </c>
      <c r="F1529" s="6" t="s">
        <v>2221</v>
      </c>
      <c r="G1529" s="6" t="s">
        <v>2222</v>
      </c>
      <c r="H1529" s="7">
        <v>1664</v>
      </c>
      <c r="I1529" s="8">
        <f>SUMIF(Cargas!$C$6:$C$1064,C1529,Cargas!$O$6:$O$1064)</f>
        <v>1664</v>
      </c>
      <c r="J1529" s="17">
        <f t="shared" si="28"/>
        <v>0</v>
      </c>
      <c r="K1529" s="34"/>
      <c r="L1529" s="34">
        <v>2028</v>
      </c>
    </row>
    <row r="1530" hidden="1">
      <c r="B1530" s="64">
        <v>45647</v>
      </c>
      <c r="C1530" s="9" t="s">
        <v>956</v>
      </c>
      <c r="D1530" s="6" t="s">
        <v>3896</v>
      </c>
      <c r="E1530" s="6" t="s">
        <v>3020</v>
      </c>
      <c r="F1530" s="6" t="s">
        <v>2221</v>
      </c>
      <c r="G1530" s="6" t="s">
        <v>2222</v>
      </c>
      <c r="H1530" s="7">
        <v>1664</v>
      </c>
      <c r="I1530" s="8">
        <f>SUMIF(Cargas!$C$6:$C$1064,C1530,Cargas!$O$6:$O$1064)</f>
        <v>1664</v>
      </c>
      <c r="J1530" s="17">
        <f t="shared" si="28"/>
        <v>0</v>
      </c>
      <c r="K1530" s="34"/>
      <c r="L1530" s="34" t="s">
        <v>29</v>
      </c>
    </row>
    <row r="1531" hidden="1">
      <c r="B1531" s="64">
        <v>45633</v>
      </c>
      <c r="C1531" s="9" t="s">
        <v>942</v>
      </c>
      <c r="D1531" s="6" t="s">
        <v>3897</v>
      </c>
      <c r="E1531" s="6" t="s">
        <v>3020</v>
      </c>
      <c r="F1531" s="6" t="s">
        <v>2221</v>
      </c>
      <c r="G1531" s="6" t="s">
        <v>2222</v>
      </c>
      <c r="H1531" s="7">
        <v>1664</v>
      </c>
      <c r="I1531" s="8">
        <f>SUMIF(Cargas!$C$6:$C$1064,C1531,Cargas!$O$6:$O$1064)</f>
        <v>1664</v>
      </c>
      <c r="J1531" s="17">
        <f t="shared" si="28"/>
        <v>0</v>
      </c>
      <c r="K1531" s="34"/>
      <c r="L1531" s="34">
        <v>2052</v>
      </c>
    </row>
    <row r="1532" hidden="1">
      <c r="B1532" s="64">
        <v>45682</v>
      </c>
      <c r="C1532" s="9" t="s">
        <v>1191</v>
      </c>
      <c r="D1532" s="6" t="s">
        <v>2391</v>
      </c>
      <c r="E1532" s="6" t="s">
        <v>2220</v>
      </c>
      <c r="F1532" s="6" t="s">
        <v>2226</v>
      </c>
      <c r="G1532" s="6" t="s">
        <v>2227</v>
      </c>
      <c r="H1532" s="7">
        <v>4320</v>
      </c>
      <c r="I1532" s="8">
        <f>SUMIF(Cargas!$C$6:$C$1064,C1532,Cargas!$O$6:$O$1064)</f>
        <v>4320</v>
      </c>
      <c r="J1532" s="17">
        <f t="shared" si="28"/>
        <v>0</v>
      </c>
      <c r="K1532" s="34">
        <v>1520051</v>
      </c>
      <c r="L1532" s="34">
        <v>71298</v>
      </c>
    </row>
    <row r="1533" hidden="1">
      <c r="B1533" s="64">
        <v>45647</v>
      </c>
      <c r="C1533" s="9" t="s">
        <v>957</v>
      </c>
      <c r="D1533" s="6" t="s">
        <v>3898</v>
      </c>
      <c r="E1533" s="6" t="s">
        <v>3020</v>
      </c>
      <c r="F1533" s="6" t="s">
        <v>2221</v>
      </c>
      <c r="G1533" s="6" t="s">
        <v>2222</v>
      </c>
      <c r="H1533" s="7">
        <v>1664</v>
      </c>
      <c r="I1533" s="8">
        <f>SUMIF(Cargas!$C$6:$C$1064,C1533,Cargas!$O$6:$O$1064)</f>
        <v>1664</v>
      </c>
      <c r="J1533" s="17">
        <f t="shared" si="28"/>
        <v>0</v>
      </c>
      <c r="K1533" s="34"/>
      <c r="L1533" s="34" t="s">
        <v>29</v>
      </c>
    </row>
    <row r="1534" hidden="1" ht="15.75">
      <c r="B1534" s="64">
        <v>45672</v>
      </c>
      <c r="C1534" s="9" t="s">
        <v>955</v>
      </c>
      <c r="D1534" s="6" t="s">
        <v>3899</v>
      </c>
      <c r="E1534" s="6" t="s">
        <v>3900</v>
      </c>
      <c r="F1534" s="6" t="s">
        <v>3901</v>
      </c>
      <c r="G1534" s="6" t="s">
        <v>2222</v>
      </c>
      <c r="H1534" s="7">
        <v>160</v>
      </c>
      <c r="I1534" s="8">
        <f>SUMIF(Cargas!$C$6:$C$1064,C1534,Cargas!$O$6:$O$1064)</f>
        <v>160</v>
      </c>
      <c r="J1534" s="17">
        <f t="shared" si="28"/>
        <v>0</v>
      </c>
      <c r="K1534" s="34"/>
      <c r="L1534" s="119">
        <v>10456</v>
      </c>
    </row>
    <row r="1535" hidden="1" ht="15.75">
      <c r="B1535" s="64">
        <v>45690</v>
      </c>
      <c r="C1535" s="9" t="s">
        <v>1007</v>
      </c>
      <c r="D1535" s="6" t="s">
        <v>3902</v>
      </c>
      <c r="E1535" s="6" t="s">
        <v>3900</v>
      </c>
      <c r="F1535" s="6" t="s">
        <v>3901</v>
      </c>
      <c r="G1535" s="6" t="s">
        <v>2222</v>
      </c>
      <c r="H1535" s="7">
        <v>200</v>
      </c>
      <c r="I1535" s="8">
        <f>SUMIF(Cargas!$C$6:$C$1064,C1535,Cargas!$O$6:$O$1064)</f>
        <v>200</v>
      </c>
      <c r="J1535" s="17">
        <f t="shared" si="28"/>
        <v>0</v>
      </c>
      <c r="K1535" s="34"/>
      <c r="L1535" s="119">
        <v>24023</v>
      </c>
    </row>
    <row r="1536" hidden="1">
      <c r="B1536" s="64">
        <v>45668</v>
      </c>
      <c r="C1536" s="9" t="s">
        <v>1032</v>
      </c>
      <c r="D1536" s="139" t="s">
        <v>3903</v>
      </c>
      <c r="E1536" s="6" t="s">
        <v>3020</v>
      </c>
      <c r="F1536" s="6" t="s">
        <v>2221</v>
      </c>
      <c r="G1536" s="6" t="s">
        <v>2222</v>
      </c>
      <c r="H1536" s="7">
        <v>1664</v>
      </c>
      <c r="I1536" s="8">
        <f>SUMIF(Cargas!$C$6:$C$1064,C1536,Cargas!$O$6:$O$1064)</f>
        <v>1664</v>
      </c>
      <c r="J1536" s="17">
        <f t="shared" si="28"/>
        <v>0</v>
      </c>
      <c r="K1536" s="34"/>
      <c r="L1536" s="34">
        <v>26741</v>
      </c>
    </row>
    <row r="1537" hidden="1">
      <c r="B1537" s="64">
        <v>45643</v>
      </c>
      <c r="C1537" s="9" t="s">
        <v>941</v>
      </c>
      <c r="D1537" s="6" t="s">
        <v>3904</v>
      </c>
      <c r="E1537" s="6" t="s">
        <v>3878</v>
      </c>
      <c r="F1537" s="6" t="s">
        <v>2221</v>
      </c>
      <c r="G1537" s="6" t="s">
        <v>2222</v>
      </c>
      <c r="H1537" s="7">
        <v>2140</v>
      </c>
      <c r="I1537" s="8">
        <f>SUMIF(Cargas!$C$6:$C$1064,C1537,Cargas!$O$6:$O$1064)</f>
        <v>2140</v>
      </c>
      <c r="J1537" s="17">
        <f t="shared" si="28"/>
        <v>0</v>
      </c>
      <c r="K1537" s="34"/>
      <c r="L1537" s="34">
        <v>2020</v>
      </c>
    </row>
    <row r="1538" hidden="1">
      <c r="B1538" s="64">
        <v>45638</v>
      </c>
      <c r="C1538" s="9" t="s">
        <v>958</v>
      </c>
      <c r="D1538" s="6" t="s">
        <v>959</v>
      </c>
      <c r="E1538" s="6" t="s">
        <v>3878</v>
      </c>
      <c r="F1538" s="6" t="s">
        <v>2221</v>
      </c>
      <c r="G1538" s="6" t="s">
        <v>2222</v>
      </c>
      <c r="H1538" s="7">
        <v>2310</v>
      </c>
      <c r="I1538" s="8">
        <f>SUMIF(Cargas!$C$6:$C$1064,C1538,Cargas!$O$6:$O$1064)</f>
        <v>2310</v>
      </c>
      <c r="J1538" s="17">
        <f t="shared" si="28"/>
        <v>0</v>
      </c>
      <c r="K1538" s="34"/>
      <c r="L1538" s="34" t="s">
        <v>29</v>
      </c>
    </row>
    <row r="1539" hidden="1">
      <c r="B1539" s="64">
        <v>45656</v>
      </c>
      <c r="C1539" s="9" t="s">
        <v>1048</v>
      </c>
      <c r="D1539" s="6" t="s">
        <v>3905</v>
      </c>
      <c r="E1539" s="6" t="s">
        <v>3878</v>
      </c>
      <c r="F1539" s="6" t="s">
        <v>2221</v>
      </c>
      <c r="G1539" s="6" t="s">
        <v>2222</v>
      </c>
      <c r="H1539" s="7">
        <v>2140</v>
      </c>
      <c r="I1539" s="8">
        <f>SUMIF(Cargas!$C$6:$C$1064,C1539,Cargas!$O$6:$O$1064)</f>
        <v>2140</v>
      </c>
      <c r="J1539" s="17">
        <f t="shared" si="28"/>
        <v>0</v>
      </c>
      <c r="K1539" s="34"/>
      <c r="L1539" s="34">
        <v>31991</v>
      </c>
    </row>
    <row r="1540" hidden="1">
      <c r="B1540" s="64">
        <v>45682</v>
      </c>
      <c r="C1540" s="9" t="s">
        <v>1066</v>
      </c>
      <c r="D1540" s="139" t="s">
        <v>3906</v>
      </c>
      <c r="E1540" s="6" t="s">
        <v>3020</v>
      </c>
      <c r="F1540" s="6" t="s">
        <v>2221</v>
      </c>
      <c r="G1540" s="6" t="s">
        <v>2222</v>
      </c>
      <c r="H1540" s="7">
        <v>1664</v>
      </c>
      <c r="I1540" s="8">
        <f>SUMIF(Cargas!$C$6:$C$1064,C1540,Cargas!$O$6:$O$1064)</f>
        <v>1664</v>
      </c>
      <c r="J1540" s="17">
        <f t="shared" si="28"/>
        <v>0</v>
      </c>
      <c r="K1540" s="34"/>
      <c r="L1540" s="34">
        <v>37379</v>
      </c>
    </row>
    <row r="1541" hidden="1">
      <c r="B1541" s="64">
        <v>45661</v>
      </c>
      <c r="C1541" s="9" t="s">
        <v>1028</v>
      </c>
      <c r="D1541" s="6" t="s">
        <v>3907</v>
      </c>
      <c r="E1541" s="6" t="s">
        <v>3020</v>
      </c>
      <c r="F1541" s="6" t="s">
        <v>2221</v>
      </c>
      <c r="G1541" s="6" t="s">
        <v>2222</v>
      </c>
      <c r="H1541" s="7">
        <v>1664</v>
      </c>
      <c r="I1541" s="8">
        <f>SUMIF(Cargas!$C$6:$C$1064,C1541,Cargas!$O$6:$O$1064)</f>
        <v>1664</v>
      </c>
      <c r="J1541" s="17">
        <f t="shared" si="28"/>
        <v>0</v>
      </c>
      <c r="K1541" s="34"/>
      <c r="L1541" s="34">
        <v>26769</v>
      </c>
    </row>
    <row r="1542" hidden="1">
      <c r="B1542" s="64">
        <v>45672</v>
      </c>
      <c r="C1542" s="9" t="s">
        <v>1069</v>
      </c>
      <c r="D1542" s="139" t="s">
        <v>3908</v>
      </c>
      <c r="E1542" s="6" t="s">
        <v>3878</v>
      </c>
      <c r="F1542" s="6" t="s">
        <v>2221</v>
      </c>
      <c r="G1542" s="6" t="s">
        <v>2222</v>
      </c>
      <c r="H1542" s="7">
        <v>2310</v>
      </c>
      <c r="I1542" s="8">
        <f>SUMIF(Cargas!$C$6:$C$1064,C1542,Cargas!$O$6:$O$1064)</f>
        <v>2310</v>
      </c>
      <c r="J1542" s="17">
        <f t="shared" si="28"/>
        <v>0</v>
      </c>
      <c r="K1542" s="34"/>
      <c r="L1542" s="34">
        <v>37334</v>
      </c>
    </row>
    <row r="1543" hidden="1">
      <c r="B1543" s="64">
        <v>45754</v>
      </c>
      <c r="C1543" s="9" t="s">
        <v>1231</v>
      </c>
      <c r="D1543" s="6" t="s">
        <v>2406</v>
      </c>
      <c r="E1543" s="6" t="s">
        <v>3789</v>
      </c>
      <c r="F1543" s="6" t="s">
        <v>2226</v>
      </c>
      <c r="G1543" s="6" t="s">
        <v>2227</v>
      </c>
      <c r="H1543" s="7">
        <v>4320</v>
      </c>
      <c r="I1543" s="8">
        <f>SUMIF(Cargas!$C$6:$C$1064,C1543,Cargas!$O$6:$O$1064)</f>
        <v>4320</v>
      </c>
      <c r="J1543" s="17">
        <f t="shared" si="28"/>
        <v>0</v>
      </c>
      <c r="K1543" s="34">
        <v>1521464</v>
      </c>
      <c r="L1543" s="34">
        <v>79301</v>
      </c>
    </row>
    <row r="1544" hidden="1">
      <c r="B1544" s="64">
        <v>45762</v>
      </c>
      <c r="C1544" s="9" t="s">
        <v>1243</v>
      </c>
      <c r="D1544" s="6" t="s">
        <v>2410</v>
      </c>
      <c r="E1544" s="6" t="s">
        <v>3789</v>
      </c>
      <c r="F1544" s="6" t="s">
        <v>2226</v>
      </c>
      <c r="G1544" s="6" t="s">
        <v>2227</v>
      </c>
      <c r="H1544" s="7">
        <v>3240</v>
      </c>
      <c r="I1544" s="8">
        <f>SUMIF(Cargas!$C$6:$C$1064,C1544,Cargas!$O$6:$O$1064)</f>
        <v>3240</v>
      </c>
      <c r="J1544" s="17">
        <f t="shared" si="28"/>
        <v>0</v>
      </c>
      <c r="K1544" s="34">
        <v>1521907</v>
      </c>
      <c r="L1544" s="34">
        <v>83914</v>
      </c>
    </row>
    <row r="1545" hidden="1">
      <c r="B1545" s="64">
        <v>45769</v>
      </c>
      <c r="C1545" s="9" t="s">
        <v>1255</v>
      </c>
      <c r="D1545" s="6" t="s">
        <v>2416</v>
      </c>
      <c r="E1545" s="6" t="s">
        <v>3789</v>
      </c>
      <c r="F1545" s="6" t="s">
        <v>2226</v>
      </c>
      <c r="G1545" s="6" t="s">
        <v>2227</v>
      </c>
      <c r="H1545" s="7">
        <v>4320</v>
      </c>
      <c r="I1545" s="8">
        <f>SUMIF(Cargas!$C$6:$C$1064,C1545,Cargas!$O$6:$O$1064)</f>
        <v>4320</v>
      </c>
      <c r="J1545" s="17">
        <f t="shared" si="28"/>
        <v>0</v>
      </c>
      <c r="K1545" s="34">
        <v>1522695</v>
      </c>
      <c r="L1545" s="34">
        <v>88364</v>
      </c>
    </row>
    <row r="1546" hidden="1">
      <c r="B1546" s="64">
        <v>45776</v>
      </c>
      <c r="C1546" s="9" t="s">
        <v>1263</v>
      </c>
      <c r="D1546" s="6" t="s">
        <v>2424</v>
      </c>
      <c r="E1546" s="6" t="s">
        <v>3789</v>
      </c>
      <c r="F1546" s="6" t="s">
        <v>2226</v>
      </c>
      <c r="G1546" s="6" t="s">
        <v>2227</v>
      </c>
      <c r="H1546" s="7">
        <v>4320</v>
      </c>
      <c r="I1546" s="8">
        <f>SUMIF(Cargas!$C$6:$C$1064,C1546,Cargas!$O$6:$O$1064)</f>
        <v>4320</v>
      </c>
      <c r="J1546" s="17">
        <f t="shared" si="28"/>
        <v>0</v>
      </c>
      <c r="K1546" s="34">
        <v>1522952</v>
      </c>
      <c r="L1546" s="34">
        <v>94680</v>
      </c>
    </row>
    <row r="1547" hidden="1">
      <c r="B1547" s="64">
        <v>45783</v>
      </c>
      <c r="C1547" s="9" t="s">
        <v>1276</v>
      </c>
      <c r="D1547" s="6" t="s">
        <v>2432</v>
      </c>
      <c r="E1547" s="6" t="s">
        <v>3789</v>
      </c>
      <c r="F1547" s="6" t="s">
        <v>2226</v>
      </c>
      <c r="G1547" s="6" t="s">
        <v>2227</v>
      </c>
      <c r="H1547" s="7">
        <v>4320</v>
      </c>
      <c r="I1547" s="8">
        <f>SUMIF(Cargas!$C$6:$C$1064,C1547,Cargas!$O$6:$O$1064)</f>
        <v>4320</v>
      </c>
      <c r="J1547" s="17">
        <f t="shared" si="28"/>
        <v>0</v>
      </c>
      <c r="K1547" s="34">
        <v>1523567</v>
      </c>
      <c r="L1547" s="34">
        <v>103539</v>
      </c>
    </row>
    <row r="1548" hidden="1">
      <c r="B1548" s="64">
        <v>45790</v>
      </c>
      <c r="C1548" s="9" t="s">
        <v>1282</v>
      </c>
      <c r="D1548" s="6" t="s">
        <v>2436</v>
      </c>
      <c r="E1548" s="6" t="s">
        <v>3789</v>
      </c>
      <c r="F1548" s="6" t="s">
        <v>2226</v>
      </c>
      <c r="G1548" s="6" t="s">
        <v>2227</v>
      </c>
      <c r="H1548" s="7">
        <v>4320</v>
      </c>
      <c r="I1548" s="8">
        <f>SUMIF(Cargas!$C$6:$C$1064,C1548,Cargas!$O$6:$O$1064)</f>
        <v>4320</v>
      </c>
      <c r="J1548" s="17">
        <f t="shared" si="28"/>
        <v>0</v>
      </c>
      <c r="K1548" s="34">
        <v>1523935</v>
      </c>
      <c r="L1548" s="34">
        <v>105839</v>
      </c>
    </row>
    <row r="1549" hidden="1">
      <c r="B1549" s="64">
        <v>45797</v>
      </c>
      <c r="C1549" s="9" t="s">
        <v>1297</v>
      </c>
      <c r="D1549" s="6" t="s">
        <v>2848</v>
      </c>
      <c r="E1549" s="6" t="s">
        <v>3789</v>
      </c>
      <c r="F1549" s="6" t="s">
        <v>2226</v>
      </c>
      <c r="G1549" s="6" t="s">
        <v>2227</v>
      </c>
      <c r="H1549" s="7">
        <v>4320</v>
      </c>
      <c r="I1549" s="8">
        <f>SUMIF(Cargas!$C$6:$C$1064,C1549,Cargas!$O$6:$O$1064)</f>
        <v>4320</v>
      </c>
      <c r="J1549" s="17">
        <f t="shared" si="28"/>
        <v>0</v>
      </c>
      <c r="K1549" s="34">
        <v>1525290</v>
      </c>
      <c r="L1549" s="34">
        <v>112102</v>
      </c>
    </row>
    <row r="1550" hidden="1">
      <c r="B1550" s="64">
        <v>45804</v>
      </c>
      <c r="C1550" s="9" t="s">
        <v>1302</v>
      </c>
      <c r="D1550" s="6" t="s">
        <v>2462</v>
      </c>
      <c r="E1550" s="6" t="s">
        <v>3789</v>
      </c>
      <c r="F1550" s="6" t="s">
        <v>2226</v>
      </c>
      <c r="G1550" s="6" t="s">
        <v>2227</v>
      </c>
      <c r="H1550" s="7">
        <v>4320</v>
      </c>
      <c r="I1550" s="8">
        <f>SUMIF(Cargas!$C$6:$C$1064,C1550,Cargas!$O$6:$O$1064)</f>
        <v>4320</v>
      </c>
      <c r="J1550" s="17">
        <f t="shared" si="28"/>
        <v>0</v>
      </c>
      <c r="K1550" s="34">
        <v>1525905</v>
      </c>
      <c r="L1550" s="34">
        <v>115457</v>
      </c>
    </row>
    <row r="1551" hidden="1">
      <c r="B1551" s="64">
        <v>306</v>
      </c>
      <c r="C1551" s="9" t="s">
        <v>1315</v>
      </c>
      <c r="D1551" s="6" t="s">
        <v>2473</v>
      </c>
      <c r="E1551" s="6" t="s">
        <v>3789</v>
      </c>
      <c r="F1551" s="6" t="s">
        <v>2226</v>
      </c>
      <c r="G1551" s="6" t="s">
        <v>2227</v>
      </c>
      <c r="H1551" s="7">
        <v>4320</v>
      </c>
      <c r="I1551" s="8">
        <f>SUMIF(Cargas!$C$6:$C$1064,C1551,Cargas!$O$6:$O$1064)</f>
        <v>4320</v>
      </c>
      <c r="J1551" s="17">
        <f t="shared" si="28"/>
        <v>0</v>
      </c>
      <c r="K1551" s="34">
        <v>1526486</v>
      </c>
      <c r="L1551" s="34">
        <v>122552</v>
      </c>
    </row>
    <row r="1552" hidden="1" ht="15.75">
      <c r="B1552" s="64">
        <v>45848</v>
      </c>
      <c r="C1552" s="9" t="s">
        <v>1481</v>
      </c>
      <c r="D1552" s="6" t="s">
        <v>3281</v>
      </c>
      <c r="E1552" s="6" t="s">
        <v>3891</v>
      </c>
      <c r="F1552" s="6" t="s">
        <v>2226</v>
      </c>
      <c r="G1552" s="6" t="s">
        <v>3493</v>
      </c>
      <c r="H1552" s="7">
        <v>2112</v>
      </c>
      <c r="I1552" s="8">
        <f>SUMIF(Cargas!$C$6:$C$1064,C1552,Cargas!$O$6:$O$1064)</f>
        <v>2112</v>
      </c>
      <c r="J1552" s="17">
        <f t="shared" si="28"/>
        <v>0</v>
      </c>
      <c r="K1552" s="34">
        <v>1539356</v>
      </c>
      <c r="L1552" s="119">
        <v>205993</v>
      </c>
    </row>
    <row r="1553" hidden="1" ht="15.75">
      <c r="B1553" s="64">
        <v>45910</v>
      </c>
      <c r="C1553" s="9" t="s">
        <v>1484</v>
      </c>
      <c r="D1553" s="6" t="s">
        <v>3286</v>
      </c>
      <c r="E1553" s="6" t="s">
        <v>60</v>
      </c>
      <c r="F1553" s="6" t="s">
        <v>2226</v>
      </c>
      <c r="G1553" s="6" t="s">
        <v>3493</v>
      </c>
      <c r="H1553" s="7">
        <v>2112</v>
      </c>
      <c r="I1553" s="8">
        <f>SUMIF(Cargas!$C$6:$C$1064,C1553,Cargas!$O$6:$O$1064)</f>
        <v>2112</v>
      </c>
      <c r="J1553" s="17">
        <f t="shared" si="28"/>
        <v>0</v>
      </c>
      <c r="K1553" s="34">
        <v>1538173</v>
      </c>
      <c r="L1553" s="119">
        <v>205851</v>
      </c>
    </row>
    <row r="1554" hidden="1" ht="15.75">
      <c r="B1554" s="64">
        <v>45958</v>
      </c>
      <c r="C1554" s="9" t="s">
        <v>1531</v>
      </c>
      <c r="D1554" s="6" t="s">
        <v>3909</v>
      </c>
      <c r="E1554" s="6" t="s">
        <v>3885</v>
      </c>
      <c r="F1554" s="6" t="s">
        <v>978</v>
      </c>
      <c r="G1554" s="6" t="s">
        <v>3500</v>
      </c>
      <c r="H1554" s="7">
        <v>1100</v>
      </c>
      <c r="I1554" s="8">
        <f>SUMIF(Cargas!$C$6:$C$1064,C1554,Cargas!$O$6:$O$1064)</f>
        <v>1100</v>
      </c>
      <c r="J1554" s="17">
        <f t="shared" si="28"/>
        <v>0</v>
      </c>
      <c r="K1554" s="34"/>
      <c r="L1554" s="119">
        <v>227537</v>
      </c>
    </row>
    <row r="1555" hidden="1" ht="15.75">
      <c r="B1555" s="64">
        <v>46048</v>
      </c>
      <c r="C1555" s="9" t="s">
        <v>1786</v>
      </c>
      <c r="D1555" s="6" t="s">
        <v>3910</v>
      </c>
      <c r="E1555" s="6" t="s">
        <v>3888</v>
      </c>
      <c r="F1555" s="6" t="s">
        <v>978</v>
      </c>
      <c r="G1555" s="6" t="s">
        <v>3870</v>
      </c>
      <c r="H1555" s="7">
        <v>1050</v>
      </c>
      <c r="I1555" s="8">
        <f>SUMIF(Cargas!$C$6:$C$1064,C1555,Cargas!$O$6:$O$1064)</f>
        <v>1050</v>
      </c>
      <c r="J1555" s="17">
        <f t="shared" si="28"/>
        <v>0</v>
      </c>
      <c r="K1555" s="34">
        <v>1548911</v>
      </c>
      <c r="L1555" s="119">
        <v>21181</v>
      </c>
    </row>
    <row r="1556" hidden="1" ht="15.75">
      <c r="B1556" s="64">
        <v>46041</v>
      </c>
      <c r="C1556" s="9" t="s">
        <v>1782</v>
      </c>
      <c r="D1556" s="6" t="s">
        <v>3911</v>
      </c>
      <c r="E1556" s="6" t="s">
        <v>3498</v>
      </c>
      <c r="F1556" s="6" t="s">
        <v>978</v>
      </c>
      <c r="G1556" s="6" t="s">
        <v>3870</v>
      </c>
      <c r="H1556" s="7">
        <v>1050</v>
      </c>
      <c r="I1556" s="8">
        <f>SUMIF(Cargas!$C$6:$C$1064,C1556,Cargas!$O$6:$O$1064)</f>
        <v>1050</v>
      </c>
      <c r="J1556" s="17">
        <f t="shared" si="28"/>
        <v>0</v>
      </c>
      <c r="K1556" s="34">
        <v>1548055</v>
      </c>
      <c r="L1556" s="119">
        <v>18144</v>
      </c>
    </row>
    <row r="1557" hidden="1" ht="15.75">
      <c r="B1557" s="64">
        <v>46053</v>
      </c>
      <c r="C1557" s="9" t="s">
        <v>1796</v>
      </c>
      <c r="D1557" s="6" t="s">
        <v>3912</v>
      </c>
      <c r="E1557" s="6" t="s">
        <v>3498</v>
      </c>
      <c r="F1557" s="6" t="s">
        <v>978</v>
      </c>
      <c r="G1557" s="6" t="s">
        <v>3870</v>
      </c>
      <c r="H1557" s="7">
        <v>2100</v>
      </c>
      <c r="I1557" s="8">
        <f>SUMIF(Cargas!$C$6:$C$1064,C1557,Cargas!$O$6:$O$1064)</f>
        <v>2100</v>
      </c>
      <c r="J1557" s="17">
        <f t="shared" si="28"/>
        <v>0</v>
      </c>
      <c r="K1557" s="34"/>
      <c r="L1557" s="119">
        <v>25120</v>
      </c>
    </row>
    <row r="1558" hidden="1" ht="15.75">
      <c r="B1558" s="64">
        <v>46055</v>
      </c>
      <c r="C1558" s="9" t="s">
        <v>1798</v>
      </c>
      <c r="D1558" s="6" t="s">
        <v>3913</v>
      </c>
      <c r="E1558" s="6" t="s">
        <v>3845</v>
      </c>
      <c r="F1558" s="6" t="s">
        <v>978</v>
      </c>
      <c r="G1558" s="6" t="s">
        <v>3846</v>
      </c>
      <c r="H1558" s="7">
        <v>2100</v>
      </c>
      <c r="I1558" s="8">
        <f>SUMIF(Cargas!$C$6:$C$1064,C1558,Cargas!$O$6:$O$1064)</f>
        <v>2100</v>
      </c>
      <c r="J1558" s="17">
        <f t="shared" si="28"/>
        <v>0</v>
      </c>
      <c r="K1558" s="34"/>
      <c r="L1558" s="119">
        <v>25020</v>
      </c>
    </row>
    <row r="1559" hidden="1" ht="15.75">
      <c r="B1559" s="64">
        <v>46054</v>
      </c>
      <c r="C1559" s="9" t="s">
        <v>1802</v>
      </c>
      <c r="D1559" s="6" t="s">
        <v>3914</v>
      </c>
      <c r="E1559" s="6" t="s">
        <v>3915</v>
      </c>
      <c r="F1559" s="6" t="s">
        <v>978</v>
      </c>
      <c r="G1559" s="6"/>
      <c r="H1559" s="7">
        <v>1000</v>
      </c>
      <c r="I1559" s="8">
        <f>SUMIF(Cargas!$C$6:$C$1064,C1559,Cargas!$O$6:$O$1064)</f>
        <v>1000</v>
      </c>
      <c r="J1559" s="17">
        <f t="shared" si="28"/>
        <v>0</v>
      </c>
      <c r="K1559" s="34"/>
      <c r="L1559" s="119">
        <v>27432</v>
      </c>
    </row>
    <row r="1560" hidden="1" ht="15.75">
      <c r="B1560" s="64">
        <v>46063</v>
      </c>
      <c r="C1560" s="9" t="s">
        <v>1825</v>
      </c>
      <c r="D1560" s="6" t="s">
        <v>3916</v>
      </c>
      <c r="E1560" s="6" t="s">
        <v>3498</v>
      </c>
      <c r="F1560" s="6" t="s">
        <v>978</v>
      </c>
      <c r="G1560" s="6" t="s">
        <v>3917</v>
      </c>
      <c r="H1560" s="7">
        <v>1050</v>
      </c>
      <c r="I1560" s="8">
        <f>SUMIF(Cargas!$C$6:$C$1064,C1560,Cargas!$O$6:$O$1064)</f>
        <v>1050</v>
      </c>
      <c r="J1560" s="17">
        <f t="shared" si="28"/>
        <v>0</v>
      </c>
      <c r="K1560" s="34"/>
      <c r="L1560" s="119">
        <v>34588</v>
      </c>
    </row>
    <row r="1561" hidden="1" ht="15.75">
      <c r="B1561" s="64">
        <v>45992</v>
      </c>
      <c r="C1561" s="9" t="s">
        <v>1620</v>
      </c>
      <c r="D1561" s="6" t="s">
        <v>3918</v>
      </c>
      <c r="E1561" s="6" t="s">
        <v>2559</v>
      </c>
      <c r="F1561" s="6" t="s">
        <v>978</v>
      </c>
      <c r="G1561" s="6" t="s">
        <v>2560</v>
      </c>
      <c r="H1561" s="7">
        <v>2208</v>
      </c>
      <c r="I1561" s="8">
        <f>SUMIF(Cargas!$C$6:$C$1064,C1561,Cargas!$O$6:$O$1064)</f>
        <v>2208</v>
      </c>
      <c r="J1561" s="17">
        <f t="shared" si="28"/>
        <v>0</v>
      </c>
      <c r="K1561" s="34"/>
      <c r="L1561" s="119">
        <v>248366</v>
      </c>
    </row>
    <row r="1562" hidden="1" ht="15.75">
      <c r="B1562" s="64">
        <v>45994</v>
      </c>
      <c r="C1562" s="9" t="s">
        <v>1650</v>
      </c>
      <c r="D1562" s="6" t="s">
        <v>3919</v>
      </c>
      <c r="E1562" s="6" t="s">
        <v>3869</v>
      </c>
      <c r="F1562" s="6" t="s">
        <v>978</v>
      </c>
      <c r="G1562" s="6" t="s">
        <v>3870</v>
      </c>
      <c r="H1562" s="7">
        <v>1000</v>
      </c>
      <c r="I1562" s="8">
        <f>SUMIF(Cargas!$C$6:$C$1064,C1562,Cargas!$O$6:$O$1064)</f>
        <v>1000</v>
      </c>
      <c r="J1562" s="17">
        <f t="shared" si="28"/>
        <v>0</v>
      </c>
      <c r="K1562" s="34"/>
      <c r="L1562" s="119">
        <v>255316</v>
      </c>
    </row>
    <row r="1563" hidden="1" ht="15.75">
      <c r="B1563" s="64">
        <v>45961</v>
      </c>
      <c r="C1563" s="9" t="s">
        <v>1538</v>
      </c>
      <c r="D1563" s="6" t="s">
        <v>3920</v>
      </c>
      <c r="E1563" s="6" t="s">
        <v>2559</v>
      </c>
      <c r="F1563" s="6" t="s">
        <v>978</v>
      </c>
      <c r="G1563" s="6" t="s">
        <v>2560</v>
      </c>
      <c r="H1563" s="7">
        <v>1104</v>
      </c>
      <c r="I1563" s="8">
        <f>SUMIF(Cargas!$C$6:$C$1064,C1563,Cargas!$O$6:$O$1064)</f>
        <v>1104</v>
      </c>
      <c r="J1563" s="17">
        <f t="shared" si="28"/>
        <v>0</v>
      </c>
      <c r="K1563" s="34"/>
      <c r="L1563" s="119">
        <v>230763</v>
      </c>
    </row>
    <row r="1564" hidden="1" ht="15.75">
      <c r="B1564" s="64">
        <v>45992</v>
      </c>
      <c r="C1564" s="9" t="s">
        <v>1646</v>
      </c>
      <c r="D1564" s="6" t="s">
        <v>3921</v>
      </c>
      <c r="E1564" s="6" t="s">
        <v>3498</v>
      </c>
      <c r="F1564" s="6" t="s">
        <v>978</v>
      </c>
      <c r="G1564" s="6" t="s">
        <v>3500</v>
      </c>
      <c r="H1564" s="7">
        <v>2100</v>
      </c>
      <c r="I1564" s="8">
        <f>SUMIF(Cargas!$C$6:$C$1064,C1564,Cargas!$O$6:$O$1064)</f>
        <v>2100</v>
      </c>
      <c r="J1564" s="17">
        <f t="shared" si="28"/>
        <v>0</v>
      </c>
      <c r="K1564" s="34"/>
      <c r="L1564" s="119">
        <v>253102</v>
      </c>
    </row>
    <row r="1565" hidden="1" ht="15.75">
      <c r="B1565" s="64">
        <v>45997</v>
      </c>
      <c r="C1565" s="9" t="s">
        <v>1674</v>
      </c>
      <c r="D1565" s="6" t="s">
        <v>3922</v>
      </c>
      <c r="E1565" s="6" t="s">
        <v>3498</v>
      </c>
      <c r="F1565" s="6" t="s">
        <v>978</v>
      </c>
      <c r="G1565" s="6" t="s">
        <v>3923</v>
      </c>
      <c r="H1565" s="7">
        <v>2100</v>
      </c>
      <c r="I1565" s="8">
        <f>SUMIF(Cargas!$C$6:$C$1064,C1565,Cargas!$O$6:$O$1064)</f>
        <v>2100</v>
      </c>
      <c r="J1565" s="17">
        <f t="shared" si="28"/>
        <v>0</v>
      </c>
      <c r="K1565" s="34"/>
      <c r="L1565" s="119">
        <v>260470</v>
      </c>
    </row>
    <row r="1566" hidden="1" ht="15.75">
      <c r="B1566" s="64">
        <v>46003</v>
      </c>
      <c r="C1566" s="9" t="s">
        <v>1676</v>
      </c>
      <c r="D1566" s="6" t="s">
        <v>3924</v>
      </c>
      <c r="E1566" s="6" t="s">
        <v>3888</v>
      </c>
      <c r="F1566" s="6" t="s">
        <v>978</v>
      </c>
      <c r="G1566" s="6" t="s">
        <v>3500</v>
      </c>
      <c r="H1566" s="7">
        <v>2100</v>
      </c>
      <c r="I1566" s="8">
        <f>SUMIF(Cargas!$C$6:$C$1064,C1566,Cargas!$O$6:$O$1064)</f>
        <v>2100</v>
      </c>
      <c r="J1566" s="17">
        <f t="shared" si="28"/>
        <v>0</v>
      </c>
      <c r="K1566" s="34"/>
      <c r="L1566" s="119">
        <v>260460</v>
      </c>
    </row>
    <row r="1567" hidden="1" ht="15.75">
      <c r="B1567" s="64">
        <v>46008</v>
      </c>
      <c r="C1567" s="9" t="s">
        <v>1707</v>
      </c>
      <c r="D1567" s="6" t="s">
        <v>3925</v>
      </c>
      <c r="E1567" s="6" t="s">
        <v>3915</v>
      </c>
      <c r="F1567" s="6" t="s">
        <v>978</v>
      </c>
      <c r="G1567" s="6" t="s">
        <v>3500</v>
      </c>
      <c r="H1567" s="7">
        <v>1000</v>
      </c>
      <c r="I1567" s="8">
        <f>SUMIF(Cargas!$C$6:$C$1064,C1567,Cargas!$O$6:$O$1064)</f>
        <v>1000</v>
      </c>
      <c r="J1567" s="17">
        <f t="shared" si="28"/>
        <v>0</v>
      </c>
      <c r="K1567" s="34"/>
      <c r="L1567" s="119">
        <v>265620</v>
      </c>
    </row>
    <row r="1568" hidden="1" ht="15.75">
      <c r="B1568" s="64">
        <v>45966</v>
      </c>
      <c r="C1568" s="9" t="s">
        <v>1534</v>
      </c>
      <c r="D1568" s="6" t="s">
        <v>3926</v>
      </c>
      <c r="E1568" s="6" t="s">
        <v>3885</v>
      </c>
      <c r="F1568" s="6" t="s">
        <v>978</v>
      </c>
      <c r="G1568" s="6" t="s">
        <v>3500</v>
      </c>
      <c r="H1568" s="7">
        <v>1100</v>
      </c>
      <c r="I1568" s="8">
        <f>SUMIF(Cargas!$C$6:$C$1064,C1568,Cargas!$O$6:$O$1064)</f>
        <v>1100</v>
      </c>
      <c r="J1568" s="17">
        <f t="shared" si="28"/>
        <v>0</v>
      </c>
      <c r="K1568" s="34"/>
      <c r="L1568" s="119">
        <v>231131</v>
      </c>
    </row>
    <row r="1569" hidden="1" ht="15.75">
      <c r="B1569" s="64">
        <v>45966</v>
      </c>
      <c r="C1569" s="9" t="s">
        <v>1543</v>
      </c>
      <c r="D1569" s="6" t="s">
        <v>3927</v>
      </c>
      <c r="E1569" s="6" t="s">
        <v>3885</v>
      </c>
      <c r="F1569" s="6" t="s">
        <v>978</v>
      </c>
      <c r="G1569" s="6" t="s">
        <v>3500</v>
      </c>
      <c r="H1569" s="7">
        <v>1100</v>
      </c>
      <c r="I1569" s="8">
        <f>SUMIF(Cargas!$C$6:$C$1064,C1569,Cargas!$O$6:$O$1064)</f>
        <v>1100</v>
      </c>
      <c r="J1569" s="17">
        <f t="shared" si="28"/>
        <v>0</v>
      </c>
      <c r="K1569" s="34"/>
      <c r="L1569" s="119">
        <v>232227</v>
      </c>
    </row>
    <row r="1570" hidden="1" ht="15.75">
      <c r="B1570" s="64">
        <v>45972</v>
      </c>
      <c r="C1570" s="9" t="s">
        <v>1550</v>
      </c>
      <c r="D1570" s="6" t="s">
        <v>3928</v>
      </c>
      <c r="E1570" s="6" t="s">
        <v>3498</v>
      </c>
      <c r="F1570" s="6" t="s">
        <v>978</v>
      </c>
      <c r="G1570" s="6" t="s">
        <v>3500</v>
      </c>
      <c r="H1570" s="7">
        <v>1050</v>
      </c>
      <c r="I1570" s="8">
        <f>SUMIF(Cargas!$C$6:$C$1064,C1570,Cargas!$O$6:$O$1064)</f>
        <v>1050</v>
      </c>
      <c r="J1570" s="17">
        <f t="shared" si="28"/>
        <v>0</v>
      </c>
      <c r="K1570" s="34"/>
      <c r="L1570" s="119">
        <v>234396</v>
      </c>
    </row>
    <row r="1571" hidden="1" ht="15.75">
      <c r="B1571" s="64">
        <v>45967</v>
      </c>
      <c r="C1571" s="9" t="s">
        <v>1561</v>
      </c>
      <c r="D1571" s="6" t="s">
        <v>3929</v>
      </c>
      <c r="E1571" s="6" t="s">
        <v>2559</v>
      </c>
      <c r="F1571" s="6" t="s">
        <v>978</v>
      </c>
      <c r="G1571" s="6" t="s">
        <v>2560</v>
      </c>
      <c r="H1571" s="7">
        <v>1104</v>
      </c>
      <c r="I1571" s="8">
        <f>SUMIF(Cargas!$C$6:$C$1064,C1571,Cargas!$O$6:$O$1064)</f>
        <v>1104</v>
      </c>
      <c r="J1571" s="17">
        <f t="shared" si="28"/>
        <v>0</v>
      </c>
      <c r="K1571" s="34"/>
      <c r="L1571" s="119">
        <v>237801</v>
      </c>
    </row>
    <row r="1572" hidden="1" ht="15.75">
      <c r="B1572" s="64">
        <v>45974</v>
      </c>
      <c r="C1572" s="9" t="s">
        <v>1586</v>
      </c>
      <c r="D1572" s="6" t="s">
        <v>3930</v>
      </c>
      <c r="E1572" s="6" t="s">
        <v>2559</v>
      </c>
      <c r="F1572" s="6" t="s">
        <v>978</v>
      </c>
      <c r="G1572" s="6" t="s">
        <v>2560</v>
      </c>
      <c r="H1572" s="7">
        <v>2208</v>
      </c>
      <c r="I1572" s="8">
        <f>SUMIF(Cargas!$C$6:$C$1064,C1572,Cargas!$O$6:$O$1064)</f>
        <v>2208</v>
      </c>
      <c r="J1572" s="17">
        <f t="shared" si="28"/>
        <v>0</v>
      </c>
      <c r="K1572" s="34"/>
      <c r="L1572" s="119">
        <v>243649</v>
      </c>
    </row>
    <row r="1573" hidden="1" ht="15.75">
      <c r="B1573" s="64">
        <v>45973</v>
      </c>
      <c r="C1573" s="9" t="s">
        <v>1582</v>
      </c>
      <c r="D1573" s="6" t="s">
        <v>3931</v>
      </c>
      <c r="E1573" s="6" t="s">
        <v>3498</v>
      </c>
      <c r="F1573" s="6" t="s">
        <v>978</v>
      </c>
      <c r="G1573" s="6" t="s">
        <v>3500</v>
      </c>
      <c r="H1573" s="7">
        <v>1050</v>
      </c>
      <c r="I1573" s="8">
        <f>SUMIF(Cargas!$C$6:$C$1064,C1573,Cargas!$O$6:$O$1064)</f>
        <v>1050</v>
      </c>
      <c r="J1573" s="17">
        <f t="shared" si="28"/>
        <v>0</v>
      </c>
      <c r="K1573" s="34"/>
      <c r="L1573" s="119">
        <v>240136</v>
      </c>
    </row>
    <row r="1574" hidden="1" ht="15.75">
      <c r="B1574" s="64">
        <v>45979</v>
      </c>
      <c r="C1574" s="9" t="s">
        <v>1580</v>
      </c>
      <c r="D1574" s="6" t="s">
        <v>3932</v>
      </c>
      <c r="E1574" s="6" t="s">
        <v>3498</v>
      </c>
      <c r="F1574" s="6" t="s">
        <v>978</v>
      </c>
      <c r="G1574" s="6" t="s">
        <v>3500</v>
      </c>
      <c r="H1574" s="7">
        <v>2100</v>
      </c>
      <c r="I1574" s="8">
        <f>SUMIF(Cargas!$C$6:$C$1064,C1574,Cargas!$O$6:$O$1064)</f>
        <v>2100</v>
      </c>
      <c r="J1574" s="17">
        <f t="shared" si="28"/>
        <v>0</v>
      </c>
      <c r="K1574" s="34"/>
      <c r="L1574" s="119">
        <v>240147</v>
      </c>
    </row>
    <row r="1575" hidden="1" ht="15.75">
      <c r="B1575" s="64">
        <v>45979</v>
      </c>
      <c r="C1575" s="9" t="s">
        <v>1588</v>
      </c>
      <c r="D1575" s="6" t="s">
        <v>3933</v>
      </c>
      <c r="E1575" s="6" t="s">
        <v>3869</v>
      </c>
      <c r="F1575" s="6" t="s">
        <v>978</v>
      </c>
      <c r="G1575" s="6" t="s">
        <v>3870</v>
      </c>
      <c r="H1575" s="7">
        <v>1000</v>
      </c>
      <c r="I1575" s="8">
        <f>SUMIF(Cargas!$C$6:$C$1064,C1575,Cargas!$O$6:$O$1064)</f>
        <v>1000</v>
      </c>
      <c r="J1575" s="17">
        <f t="shared" si="28"/>
        <v>0</v>
      </c>
      <c r="K1575" s="34"/>
      <c r="L1575" s="119">
        <v>243499</v>
      </c>
    </row>
    <row r="1576" hidden="1" ht="15.75">
      <c r="B1576" s="64">
        <v>45987</v>
      </c>
      <c r="C1576" s="9" t="s">
        <v>1622</v>
      </c>
      <c r="D1576" s="6" t="s">
        <v>3934</v>
      </c>
      <c r="E1576" s="6" t="s">
        <v>3498</v>
      </c>
      <c r="F1576" s="6" t="s">
        <v>978</v>
      </c>
      <c r="G1576" s="6" t="s">
        <v>3500</v>
      </c>
      <c r="H1576" s="7">
        <v>2100</v>
      </c>
      <c r="I1576" s="8">
        <f>SUMIF(Cargas!$C$6:$C$1064,C1576,Cargas!$O$6:$O$1064)</f>
        <v>2100</v>
      </c>
      <c r="J1576" s="17">
        <f t="shared" si="28"/>
        <v>0</v>
      </c>
      <c r="K1576" s="34"/>
      <c r="L1576" s="119">
        <v>248339</v>
      </c>
    </row>
    <row r="1577" hidden="1" ht="15.75">
      <c r="B1577" s="64">
        <v>45972</v>
      </c>
      <c r="C1577" s="9" t="s">
        <v>1624</v>
      </c>
      <c r="D1577" s="6" t="s">
        <v>3935</v>
      </c>
      <c r="E1577" s="6" t="s">
        <v>3888</v>
      </c>
      <c r="F1577" s="6" t="s">
        <v>978</v>
      </c>
      <c r="G1577" s="6" t="s">
        <v>3500</v>
      </c>
      <c r="H1577" s="7">
        <v>2100</v>
      </c>
      <c r="I1577" s="8">
        <f>SUMIF(Cargas!$C$6:$C$1064,C1577,Cargas!$O$6:$O$1064)</f>
        <v>2100</v>
      </c>
      <c r="J1577" s="17">
        <f t="shared" si="28"/>
        <v>0</v>
      </c>
      <c r="K1577" s="34"/>
      <c r="L1577" s="119">
        <v>248210</v>
      </c>
    </row>
    <row r="1578" hidden="1" ht="15.75">
      <c r="B1578" s="64">
        <v>46006</v>
      </c>
      <c r="C1578" s="9" t="s">
        <v>1693</v>
      </c>
      <c r="D1578" s="6" t="s">
        <v>3936</v>
      </c>
      <c r="E1578" s="6" t="s">
        <v>2559</v>
      </c>
      <c r="F1578" s="6" t="s">
        <v>978</v>
      </c>
      <c r="G1578" s="6" t="s">
        <v>2560</v>
      </c>
      <c r="H1578" s="7">
        <v>1104</v>
      </c>
      <c r="I1578" s="8">
        <f>SUMIF(Cargas!$C$6:$C$1064,C1578,Cargas!$O$6:$O$1064)</f>
        <v>1104</v>
      </c>
      <c r="J1578" s="17">
        <f ref="J1578:J1641" t="shared" si="29">IF(ABS(H1578-I1578)&lt;20,0,H1578-I1578)</f>
        <v>0</v>
      </c>
      <c r="K1578" s="34"/>
      <c r="L1578" s="119">
        <v>266141</v>
      </c>
    </row>
    <row r="1579" hidden="1" ht="15.75">
      <c r="B1579" s="64">
        <v>46003</v>
      </c>
      <c r="C1579" s="9" t="s">
        <v>1694</v>
      </c>
      <c r="D1579" s="6" t="s">
        <v>3937</v>
      </c>
      <c r="E1579" s="6" t="s">
        <v>3498</v>
      </c>
      <c r="F1579" s="6" t="s">
        <v>978</v>
      </c>
      <c r="G1579" s="6" t="s">
        <v>3923</v>
      </c>
      <c r="H1579" s="7">
        <v>1050</v>
      </c>
      <c r="I1579" s="8">
        <f>SUMIF(Cargas!$C$6:$C$1064,C1579,Cargas!$O$6:$O$1064)</f>
        <v>1050</v>
      </c>
      <c r="J1579" s="17">
        <f t="shared" si="29"/>
        <v>0</v>
      </c>
      <c r="K1579" s="34"/>
      <c r="L1579" s="119">
        <v>265551</v>
      </c>
    </row>
    <row r="1580" hidden="1" ht="15.75">
      <c r="B1580" s="64">
        <v>46007</v>
      </c>
      <c r="C1580" s="9" t="s">
        <v>1696</v>
      </c>
      <c r="D1580" s="6" t="s">
        <v>3938</v>
      </c>
      <c r="E1580" s="6" t="s">
        <v>3498</v>
      </c>
      <c r="F1580" s="6" t="s">
        <v>978</v>
      </c>
      <c r="G1580" s="6" t="s">
        <v>3500</v>
      </c>
      <c r="H1580" s="7">
        <v>1050</v>
      </c>
      <c r="I1580" s="8">
        <f>SUMIF(Cargas!$C$6:$C$1064,C1580,Cargas!$O$6:$O$1064)</f>
        <v>1050</v>
      </c>
      <c r="J1580" s="17">
        <f t="shared" si="29"/>
        <v>0</v>
      </c>
      <c r="K1580" s="34"/>
      <c r="L1580" s="119">
        <v>265594</v>
      </c>
    </row>
    <row r="1581" hidden="1" ht="15.75">
      <c r="B1581" s="64">
        <v>46014</v>
      </c>
      <c r="C1581" s="9" t="s">
        <v>1713</v>
      </c>
      <c r="D1581" s="6" t="s">
        <v>3939</v>
      </c>
      <c r="E1581" s="6" t="s">
        <v>3498</v>
      </c>
      <c r="F1581" s="6" t="s">
        <v>978</v>
      </c>
      <c r="G1581" s="6" t="s">
        <v>3500</v>
      </c>
      <c r="H1581" s="7">
        <v>1050</v>
      </c>
      <c r="I1581" s="8">
        <f>SUMIF(Cargas!$C$6:$C$1064,C1581,Cargas!$O$6:$O$1064)</f>
        <v>1000</v>
      </c>
      <c r="J1581" s="17">
        <f t="shared" si="29"/>
        <v>50</v>
      </c>
      <c r="K1581" s="34"/>
      <c r="L1581" s="119">
        <v>269873</v>
      </c>
    </row>
    <row r="1582" hidden="1" ht="15.75">
      <c r="B1582" s="64">
        <v>46014</v>
      </c>
      <c r="C1582" s="9" t="s">
        <v>1715</v>
      </c>
      <c r="D1582" s="6" t="s">
        <v>3940</v>
      </c>
      <c r="E1582" s="6" t="s">
        <v>2559</v>
      </c>
      <c r="F1582" s="6" t="s">
        <v>978</v>
      </c>
      <c r="G1582" s="6" t="s">
        <v>2560</v>
      </c>
      <c r="H1582" s="7">
        <v>1104</v>
      </c>
      <c r="I1582" s="8">
        <f>SUMIF(Cargas!$C$6:$C$1064,C1582,Cargas!$O$6:$O$1064)</f>
        <v>1104</v>
      </c>
      <c r="J1582" s="17">
        <f t="shared" si="29"/>
        <v>0</v>
      </c>
      <c r="K1582" s="34"/>
      <c r="L1582" s="119">
        <v>270037</v>
      </c>
    </row>
    <row r="1583" hidden="1" ht="15.75">
      <c r="B1583" s="64">
        <v>46020</v>
      </c>
      <c r="C1583" s="9" t="s">
        <v>1730</v>
      </c>
      <c r="D1583" s="6" t="s">
        <v>3941</v>
      </c>
      <c r="E1583" s="6" t="s">
        <v>2559</v>
      </c>
      <c r="F1583" s="6" t="s">
        <v>978</v>
      </c>
      <c r="G1583" s="6" t="s">
        <v>2560</v>
      </c>
      <c r="H1583" s="7">
        <v>1104</v>
      </c>
      <c r="I1583" s="8">
        <f>SUMIF(Cargas!$C$6:$C$1064,C1583,Cargas!$O$6:$O$1064)</f>
        <v>1104</v>
      </c>
      <c r="J1583" s="17">
        <f t="shared" si="29"/>
        <v>0</v>
      </c>
      <c r="K1583" s="34"/>
      <c r="L1583" s="119">
        <v>1140</v>
      </c>
    </row>
    <row r="1584" hidden="1" ht="15.75">
      <c r="B1584" s="64">
        <v>46065</v>
      </c>
      <c r="C1584" s="9" t="s">
        <v>1829</v>
      </c>
      <c r="D1584" s="6" t="s">
        <v>3942</v>
      </c>
      <c r="E1584" s="6" t="s">
        <v>3845</v>
      </c>
      <c r="F1584" s="6" t="s">
        <v>978</v>
      </c>
      <c r="G1584" s="6" t="s">
        <v>3846</v>
      </c>
      <c r="H1584" s="7">
        <v>2100</v>
      </c>
      <c r="I1584" s="8">
        <f>SUMIF(Cargas!$C$6:$C$1064,C1584,Cargas!$O$6:$O$1064)</f>
        <v>2100</v>
      </c>
      <c r="J1584" s="17">
        <f t="shared" si="29"/>
        <v>0</v>
      </c>
      <c r="K1584" s="34">
        <v>1550314</v>
      </c>
      <c r="L1584" s="119">
        <v>35445</v>
      </c>
    </row>
    <row r="1585" hidden="1" ht="15.75">
      <c r="B1585" s="64">
        <v>46066</v>
      </c>
      <c r="C1585" s="9" t="s">
        <v>1833</v>
      </c>
      <c r="D1585" s="6" t="s">
        <v>3943</v>
      </c>
      <c r="E1585" s="6" t="s">
        <v>3498</v>
      </c>
      <c r="F1585" s="6" t="s">
        <v>978</v>
      </c>
      <c r="G1585" s="6" t="s">
        <v>3870</v>
      </c>
      <c r="H1585" s="7">
        <v>3150</v>
      </c>
      <c r="I1585" s="8">
        <f>SUMIF(Cargas!$C$6:$C$1064,C1585,Cargas!$O$6:$O$1064)</f>
        <v>3150</v>
      </c>
      <c r="J1585" s="17">
        <f t="shared" si="29"/>
        <v>0</v>
      </c>
      <c r="K1585" s="34">
        <v>1550444</v>
      </c>
      <c r="L1585" s="119">
        <v>36595</v>
      </c>
    </row>
    <row r="1586" hidden="1" ht="15.75">
      <c r="B1586" s="64" t="s">
        <v>3944</v>
      </c>
      <c r="C1586" s="9" t="s">
        <v>1733</v>
      </c>
      <c r="D1586" s="6" t="s">
        <v>3945</v>
      </c>
      <c r="E1586" s="6" t="s">
        <v>3498</v>
      </c>
      <c r="F1586" s="6" t="s">
        <v>978</v>
      </c>
      <c r="G1586" s="6" t="s">
        <v>3500</v>
      </c>
      <c r="H1586" s="7">
        <v>1050</v>
      </c>
      <c r="I1586" s="8">
        <f>SUMIF(Cargas!$C$6:$C$1064,C1586,Cargas!$O$6:$O$1064)</f>
        <v>1050</v>
      </c>
      <c r="J1586" s="17">
        <f t="shared" si="29"/>
        <v>0</v>
      </c>
      <c r="K1586" s="34"/>
      <c r="L1586" s="119">
        <v>1124</v>
      </c>
    </row>
    <row r="1587" hidden="1" ht="15.75">
      <c r="B1587" s="64">
        <v>46076</v>
      </c>
      <c r="C1587" s="9" t="s">
        <v>1854</v>
      </c>
      <c r="D1587" s="6" t="s">
        <v>3946</v>
      </c>
      <c r="E1587" s="6" t="s">
        <v>3498</v>
      </c>
      <c r="F1587" s="6" t="s">
        <v>978</v>
      </c>
      <c r="G1587" s="6" t="s">
        <v>3870</v>
      </c>
      <c r="H1587" s="7">
        <v>1050</v>
      </c>
      <c r="I1587" s="8">
        <f>SUMIF(Cargas!$C$6:$C$1064,C1587,Cargas!$O$6:$O$1064)</f>
        <v>1050</v>
      </c>
      <c r="J1587" s="17">
        <f t="shared" si="29"/>
        <v>0</v>
      </c>
      <c r="K1587" s="34"/>
      <c r="L1587" s="119">
        <v>43381</v>
      </c>
    </row>
    <row r="1588" hidden="1" ht="15.75">
      <c r="B1588" s="64">
        <v>46076</v>
      </c>
      <c r="C1588" s="9" t="s">
        <v>1862</v>
      </c>
      <c r="D1588" s="6" t="s">
        <v>3947</v>
      </c>
      <c r="E1588" s="6" t="s">
        <v>3498</v>
      </c>
      <c r="F1588" s="6" t="s">
        <v>978</v>
      </c>
      <c r="G1588" s="6" t="s">
        <v>3870</v>
      </c>
      <c r="H1588" s="7">
        <v>1050</v>
      </c>
      <c r="I1588" s="8">
        <f>SUMIF(Cargas!$C$6:$C$1064,C1588,Cargas!$O$6:$O$1064)</f>
        <v>1050</v>
      </c>
      <c r="J1588" s="17">
        <f t="shared" si="29"/>
        <v>0</v>
      </c>
      <c r="K1588" s="34"/>
      <c r="L1588" s="119">
        <v>44644</v>
      </c>
    </row>
    <row r="1589" hidden="1" ht="15.75">
      <c r="B1589" s="64">
        <v>46076</v>
      </c>
      <c r="C1589" s="9" t="s">
        <v>1851</v>
      </c>
      <c r="D1589" s="6" t="s">
        <v>3948</v>
      </c>
      <c r="E1589" s="6" t="s">
        <v>3845</v>
      </c>
      <c r="F1589" s="6" t="s">
        <v>978</v>
      </c>
      <c r="G1589" s="6" t="s">
        <v>3846</v>
      </c>
      <c r="H1589" s="7">
        <v>2100</v>
      </c>
      <c r="I1589" s="8">
        <f>SUMIF(Cargas!$C$6:$C$1064,C1589,Cargas!$O$6:$O$1064)</f>
        <v>2100</v>
      </c>
      <c r="J1589" s="17">
        <f t="shared" si="29"/>
        <v>0</v>
      </c>
      <c r="K1589" s="34"/>
      <c r="L1589" s="119">
        <v>41135</v>
      </c>
    </row>
    <row r="1590" hidden="1" ht="15.75">
      <c r="B1590" s="64">
        <v>46079</v>
      </c>
      <c r="C1590" s="9" t="s">
        <v>1858</v>
      </c>
      <c r="D1590" s="6" t="s">
        <v>3949</v>
      </c>
      <c r="E1590" s="6" t="s">
        <v>3845</v>
      </c>
      <c r="F1590" s="6" t="s">
        <v>978</v>
      </c>
      <c r="G1590" s="6" t="s">
        <v>3846</v>
      </c>
      <c r="H1590" s="7">
        <v>3150</v>
      </c>
      <c r="I1590" s="8">
        <f>SUMIF(Cargas!$C$6:$C$1064,C1590,Cargas!$O$6:$O$1064)</f>
        <v>3150</v>
      </c>
      <c r="J1590" s="17">
        <f t="shared" si="29"/>
        <v>0</v>
      </c>
      <c r="K1590" s="34"/>
      <c r="L1590" s="119">
        <v>44508</v>
      </c>
    </row>
    <row r="1591" hidden="1" ht="15.75">
      <c r="B1591" s="64">
        <v>46002</v>
      </c>
      <c r="C1591" s="9" t="s">
        <v>1665</v>
      </c>
      <c r="D1591" s="6" t="s">
        <v>3502</v>
      </c>
      <c r="E1591" s="6" t="s">
        <v>3026</v>
      </c>
      <c r="F1591" s="6" t="s">
        <v>2226</v>
      </c>
      <c r="G1591" s="6" t="s">
        <v>2258</v>
      </c>
      <c r="H1591" s="7">
        <v>1912</v>
      </c>
      <c r="I1591" s="8">
        <f>SUMIF(Cargas!$C$6:$C$1064,C1591,Cargas!$O$6:$O$1064)</f>
        <v>1912</v>
      </c>
      <c r="J1591" s="17">
        <f t="shared" si="29"/>
        <v>0</v>
      </c>
      <c r="K1591" s="34">
        <v>1545074</v>
      </c>
      <c r="L1591" s="119">
        <v>257679</v>
      </c>
    </row>
    <row r="1592" hidden="1" ht="15.75">
      <c r="B1592" s="64">
        <v>46006</v>
      </c>
      <c r="C1592" s="9" t="s">
        <v>1683</v>
      </c>
      <c r="D1592" s="6" t="s">
        <v>3047</v>
      </c>
      <c r="E1592" s="6" t="s">
        <v>1584</v>
      </c>
      <c r="F1592" s="6" t="s">
        <v>2226</v>
      </c>
      <c r="G1592" s="6" t="s">
        <v>410</v>
      </c>
      <c r="H1592" s="7">
        <v>1408</v>
      </c>
      <c r="I1592" s="8">
        <f>SUMIF(Cargas!$C$6:$C$1064,C1592,Cargas!$O$6:$O$1064)</f>
        <v>1408</v>
      </c>
      <c r="J1592" s="17">
        <f t="shared" si="29"/>
        <v>0</v>
      </c>
      <c r="K1592" s="34">
        <v>1547423</v>
      </c>
      <c r="L1592" s="119">
        <v>262902</v>
      </c>
    </row>
    <row r="1593" hidden="1" ht="15.75">
      <c r="B1593" s="64">
        <v>46056</v>
      </c>
      <c r="C1593" s="9" t="s">
        <v>1870</v>
      </c>
      <c r="D1593" s="6" t="s">
        <v>3950</v>
      </c>
      <c r="E1593" s="6" t="s">
        <v>3498</v>
      </c>
      <c r="F1593" s="6" t="s">
        <v>978</v>
      </c>
      <c r="G1593" s="6" t="s">
        <v>3870</v>
      </c>
      <c r="H1593" s="7">
        <v>1050</v>
      </c>
      <c r="I1593" s="8">
        <f>SUMIF(Cargas!$C$6:$C$1064,C1593,Cargas!$O$6:$O$1064)</f>
        <v>1050</v>
      </c>
      <c r="J1593" s="17">
        <f t="shared" si="29"/>
        <v>0</v>
      </c>
      <c r="K1593" s="34"/>
      <c r="L1593" s="119">
        <v>49601</v>
      </c>
    </row>
    <row r="1594" hidden="1" ht="15.75">
      <c r="B1594" s="64">
        <v>46056</v>
      </c>
      <c r="C1594" s="9" t="s">
        <v>1872</v>
      </c>
      <c r="D1594" s="6" t="s">
        <v>3951</v>
      </c>
      <c r="E1594" s="6" t="s">
        <v>3498</v>
      </c>
      <c r="F1594" s="6" t="s">
        <v>978</v>
      </c>
      <c r="G1594" s="6" t="s">
        <v>3870</v>
      </c>
      <c r="H1594" s="7">
        <v>1050</v>
      </c>
      <c r="I1594" s="8">
        <f>SUMIF(Cargas!$C$6:$C$1064,C1594,Cargas!$O$6:$O$1064)</f>
        <v>1050</v>
      </c>
      <c r="J1594" s="17">
        <f t="shared" si="29"/>
        <v>0</v>
      </c>
      <c r="K1594" s="34"/>
      <c r="L1594" s="119">
        <v>48627</v>
      </c>
    </row>
    <row r="1595" hidden="1" ht="15.75">
      <c r="B1595" s="64">
        <v>45992</v>
      </c>
      <c r="C1595" s="9" t="s">
        <v>1644</v>
      </c>
      <c r="D1595" s="6" t="s">
        <v>3952</v>
      </c>
      <c r="E1595" s="6" t="s">
        <v>2712</v>
      </c>
      <c r="F1595" s="6" t="s">
        <v>2226</v>
      </c>
      <c r="G1595" s="6" t="s">
        <v>410</v>
      </c>
      <c r="H1595" s="7">
        <v>2112</v>
      </c>
      <c r="I1595" s="8">
        <f>SUMIF(Cargas!$C$6:$C$1064,C1595,Cargas!$O$6:$O$1064)</f>
        <v>2112</v>
      </c>
      <c r="J1595" s="17">
        <f t="shared" si="29"/>
        <v>0</v>
      </c>
      <c r="K1595" s="34">
        <v>1544143</v>
      </c>
      <c r="L1595" s="119">
        <v>253360</v>
      </c>
    </row>
    <row r="1596" hidden="1" ht="15.75">
      <c r="B1596" s="64">
        <v>45989</v>
      </c>
      <c r="C1596" s="9" t="s">
        <v>1615</v>
      </c>
      <c r="D1596" s="6" t="s">
        <v>3501</v>
      </c>
      <c r="E1596" s="6" t="s">
        <v>3026</v>
      </c>
      <c r="F1596" s="6" t="s">
        <v>2226</v>
      </c>
      <c r="G1596" s="6" t="s">
        <v>2258</v>
      </c>
      <c r="H1596" s="7">
        <v>1728</v>
      </c>
      <c r="I1596" s="8">
        <f>SUMIF(Cargas!$C$6:$C$1064,C1596,Cargas!$O$6:$O$1064)</f>
        <v>1728</v>
      </c>
      <c r="J1596" s="17">
        <f t="shared" si="29"/>
        <v>0</v>
      </c>
      <c r="K1596" s="34">
        <v>1543195</v>
      </c>
      <c r="L1596" s="119">
        <v>246207</v>
      </c>
    </row>
    <row r="1597" hidden="1" ht="15.75">
      <c r="B1597" s="64">
        <v>45996</v>
      </c>
      <c r="C1597" s="9" t="s">
        <v>1648</v>
      </c>
      <c r="D1597" s="6" t="s">
        <v>3953</v>
      </c>
      <c r="E1597" s="6" t="s">
        <v>3893</v>
      </c>
      <c r="F1597" s="6" t="s">
        <v>2226</v>
      </c>
      <c r="G1597" s="6" t="s">
        <v>3493</v>
      </c>
      <c r="H1597" s="7">
        <v>2112</v>
      </c>
      <c r="I1597" s="8">
        <f>SUMIF(Cargas!$C$6:$C$1064,C1597,Cargas!$O$6:$O$1064)</f>
        <v>2112</v>
      </c>
      <c r="J1597" s="17">
        <f t="shared" si="29"/>
        <v>0</v>
      </c>
      <c r="K1597" s="34">
        <v>1544729</v>
      </c>
      <c r="L1597" s="119">
        <v>253045</v>
      </c>
    </row>
    <row r="1598" hidden="1" ht="15.75">
      <c r="B1598" s="64">
        <v>45988</v>
      </c>
      <c r="C1598" s="9" t="s">
        <v>1610</v>
      </c>
      <c r="D1598" s="6" t="s">
        <v>2965</v>
      </c>
      <c r="E1598" s="6" t="s">
        <v>1584</v>
      </c>
      <c r="F1598" s="6" t="s">
        <v>2226</v>
      </c>
      <c r="G1598" s="6" t="s">
        <v>412</v>
      </c>
      <c r="H1598" s="7">
        <v>1536</v>
      </c>
      <c r="I1598" s="8">
        <f>SUMIF(Cargas!$C$6:$C$1064,C1598,Cargas!$O$6:$O$1064)</f>
        <v>1536</v>
      </c>
      <c r="J1598" s="17">
        <f t="shared" si="29"/>
        <v>0</v>
      </c>
      <c r="K1598" s="34">
        <v>1543196</v>
      </c>
      <c r="L1598" s="119">
        <v>244792</v>
      </c>
    </row>
    <row r="1599" hidden="1" ht="15.75">
      <c r="B1599" s="64">
        <v>46001</v>
      </c>
      <c r="C1599" s="9" t="s">
        <v>1667</v>
      </c>
      <c r="D1599" s="6" t="s">
        <v>3954</v>
      </c>
      <c r="E1599" s="6" t="s">
        <v>2712</v>
      </c>
      <c r="F1599" s="6" t="s">
        <v>2226</v>
      </c>
      <c r="G1599" s="6" t="s">
        <v>3493</v>
      </c>
      <c r="H1599" s="7">
        <v>2112</v>
      </c>
      <c r="I1599" s="8">
        <f>SUMIF(Cargas!$C$6:$C$1064,C1599,Cargas!$O$6:$O$1064)</f>
        <v>2112</v>
      </c>
      <c r="J1599" s="17">
        <f t="shared" si="29"/>
        <v>0</v>
      </c>
      <c r="K1599" s="34"/>
      <c r="L1599" s="119">
        <v>257732</v>
      </c>
    </row>
    <row r="1600" hidden="1" ht="15.75">
      <c r="B1600" s="64">
        <v>46007</v>
      </c>
      <c r="C1600" s="9" t="s">
        <v>1687</v>
      </c>
      <c r="D1600" s="6" t="s">
        <v>3955</v>
      </c>
      <c r="E1600" s="6" t="s">
        <v>2712</v>
      </c>
      <c r="F1600" s="6" t="s">
        <v>2226</v>
      </c>
      <c r="G1600" s="6" t="s">
        <v>410</v>
      </c>
      <c r="H1600" s="7">
        <v>2112</v>
      </c>
      <c r="I1600" s="8">
        <f>SUMIF(Cargas!$C$6:$C$1064,C1600,Cargas!$O$6:$O$1064)</f>
        <v>2112</v>
      </c>
      <c r="J1600" s="17">
        <f t="shared" si="29"/>
        <v>0</v>
      </c>
      <c r="K1600" s="34">
        <v>1547423</v>
      </c>
      <c r="L1600" s="119">
        <v>264305</v>
      </c>
    </row>
    <row r="1601" hidden="1" ht="15.75">
      <c r="B1601" s="64">
        <v>46056</v>
      </c>
      <c r="C1601" s="9" t="s">
        <v>1874</v>
      </c>
      <c r="D1601" s="6" t="s">
        <v>3956</v>
      </c>
      <c r="E1601" s="6" t="s">
        <v>3498</v>
      </c>
      <c r="F1601" s="6" t="s">
        <v>978</v>
      </c>
      <c r="G1601" s="6" t="s">
        <v>3870</v>
      </c>
      <c r="H1601" s="7">
        <v>1050</v>
      </c>
      <c r="I1601" s="8">
        <f>SUMIF(Cargas!$C$6:$C$1064,C1601,Cargas!$O$6:$O$1064)</f>
        <v>1050</v>
      </c>
      <c r="J1601" s="17">
        <f t="shared" si="29"/>
        <v>0</v>
      </c>
      <c r="K1601" s="34"/>
      <c r="L1601" s="119">
        <v>48657</v>
      </c>
    </row>
    <row r="1602" hidden="1" ht="15.75">
      <c r="B1602" s="64">
        <v>46091</v>
      </c>
      <c r="C1602" s="9" t="s">
        <v>1886</v>
      </c>
      <c r="D1602" s="6" t="s">
        <v>3957</v>
      </c>
      <c r="E1602" s="6" t="s">
        <v>3498</v>
      </c>
      <c r="F1602" s="6" t="s">
        <v>978</v>
      </c>
      <c r="G1602" s="6" t="s">
        <v>3870</v>
      </c>
      <c r="H1602" s="7">
        <v>1050</v>
      </c>
      <c r="I1602" s="8">
        <f>SUMIF(Cargas!$C$6:$C$1064,C1602,Cargas!$O$6:$O$1064)</f>
        <v>1050</v>
      </c>
      <c r="J1602" s="17">
        <f t="shared" si="29"/>
        <v>0</v>
      </c>
      <c r="K1602" s="34"/>
      <c r="L1602" s="119">
        <v>55000</v>
      </c>
      <c r="N1602" s="0">
        <v>1</v>
      </c>
    </row>
    <row r="1603" hidden="1" ht="15.75">
      <c r="B1603" s="64">
        <v>46091</v>
      </c>
      <c r="C1603" s="9" t="s">
        <v>1893</v>
      </c>
      <c r="D1603" s="6" t="s">
        <v>3958</v>
      </c>
      <c r="E1603" s="6" t="s">
        <v>3498</v>
      </c>
      <c r="F1603" s="6" t="s">
        <v>978</v>
      </c>
      <c r="G1603" s="6" t="s">
        <v>3870</v>
      </c>
      <c r="H1603" s="7">
        <v>1050</v>
      </c>
      <c r="I1603" s="8">
        <f>SUMIF(Cargas!$C$6:$C$1064,C1603,Cargas!$O$6:$O$1064)</f>
        <v>1050</v>
      </c>
      <c r="J1603" s="17">
        <f t="shared" si="29"/>
        <v>0</v>
      </c>
      <c r="K1603" s="34"/>
      <c r="L1603" s="119">
        <v>55322</v>
      </c>
    </row>
    <row r="1604" hidden="1" ht="15.75">
      <c r="B1604" s="64">
        <v>46101</v>
      </c>
      <c r="C1604" s="9" t="s">
        <v>1912</v>
      </c>
      <c r="D1604" s="6" t="s">
        <v>3959</v>
      </c>
      <c r="E1604" s="6" t="s">
        <v>3498</v>
      </c>
      <c r="F1604" s="6" t="s">
        <v>978</v>
      </c>
      <c r="G1604" s="6" t="s">
        <v>3870</v>
      </c>
      <c r="H1604" s="7">
        <v>1050</v>
      </c>
      <c r="I1604" s="8">
        <f>SUMIF(Cargas!$C$6:$C$1064,C1604,Cargas!$O$6:$O$1064)</f>
        <v>1050</v>
      </c>
      <c r="J1604" s="17">
        <f t="shared" si="29"/>
        <v>0</v>
      </c>
      <c r="K1604" s="34"/>
      <c r="L1604" s="119">
        <v>61167</v>
      </c>
    </row>
    <row r="1605" hidden="1" ht="15.75">
      <c r="B1605" s="64">
        <v>46094</v>
      </c>
      <c r="C1605" s="9" t="s">
        <v>1917</v>
      </c>
      <c r="D1605" s="6" t="s">
        <v>3960</v>
      </c>
      <c r="E1605" s="6" t="s">
        <v>3888</v>
      </c>
      <c r="F1605" s="6" t="s">
        <v>978</v>
      </c>
      <c r="G1605" s="6" t="s">
        <v>3961</v>
      </c>
      <c r="H1605" s="7">
        <v>2100</v>
      </c>
      <c r="I1605" s="8">
        <f>SUMIF(Cargas!$C$6:$C$1064,C1605,Cargas!$O$6:$O$1064)</f>
        <v>2100</v>
      </c>
      <c r="J1605" s="17">
        <f t="shared" si="29"/>
        <v>0</v>
      </c>
      <c r="K1605" s="34"/>
      <c r="L1605" s="119">
        <v>60844</v>
      </c>
    </row>
    <row r="1606" hidden="1" ht="15.75">
      <c r="B1606" s="64">
        <v>46126</v>
      </c>
      <c r="C1606" s="9" t="s">
        <v>1957</v>
      </c>
      <c r="D1606" s="6" t="s">
        <v>3962</v>
      </c>
      <c r="E1606" s="6" t="s">
        <v>3498</v>
      </c>
      <c r="F1606" s="6" t="s">
        <v>978</v>
      </c>
      <c r="G1606" s="6" t="s">
        <v>3870</v>
      </c>
      <c r="H1606" s="7">
        <v>1050</v>
      </c>
      <c r="I1606" s="8">
        <f>SUMIF(Cargas!$C$6:$C$1064,C1606,Cargas!$O$6:$O$1064)</f>
        <v>1050</v>
      </c>
      <c r="J1606" s="17">
        <f t="shared" si="29"/>
        <v>0</v>
      </c>
      <c r="K1606" s="34"/>
      <c r="L1606" s="119">
        <v>79636</v>
      </c>
    </row>
    <row r="1607" hidden="1" ht="15.75">
      <c r="B1607" s="64">
        <v>46133</v>
      </c>
      <c r="C1607" s="9" t="s">
        <v>1969</v>
      </c>
      <c r="D1607" s="6" t="s">
        <v>3963</v>
      </c>
      <c r="E1607" s="6" t="s">
        <v>3498</v>
      </c>
      <c r="F1607" s="6" t="s">
        <v>978</v>
      </c>
      <c r="G1607" s="6" t="s">
        <v>3870</v>
      </c>
      <c r="H1607" s="7">
        <v>1050</v>
      </c>
      <c r="I1607" s="8">
        <f>SUMIF(Cargas!$C$6:$C$1064,C1607,Cargas!$O$6:$O$1064)</f>
        <v>1050</v>
      </c>
      <c r="J1607" s="17">
        <f t="shared" si="29"/>
        <v>0</v>
      </c>
      <c r="K1607" s="34"/>
      <c r="L1607" s="119">
        <v>85059</v>
      </c>
    </row>
    <row r="1608" hidden="1" ht="15.75">
      <c r="B1608" s="64">
        <v>46136</v>
      </c>
      <c r="C1608" s="9" t="s">
        <v>1979</v>
      </c>
      <c r="D1608" s="6" t="s">
        <v>3964</v>
      </c>
      <c r="E1608" s="6" t="s">
        <v>3888</v>
      </c>
      <c r="F1608" s="6" t="s">
        <v>978</v>
      </c>
      <c r="G1608" s="6" t="s">
        <v>3961</v>
      </c>
      <c r="H1608" s="7">
        <v>1050</v>
      </c>
      <c r="I1608" s="8">
        <f>SUMIF(Cargas!$C$6:$C$1064,C1608,Cargas!$O$6:$O$1064)</f>
        <v>1050</v>
      </c>
      <c r="J1608" s="17">
        <f t="shared" si="29"/>
        <v>0</v>
      </c>
      <c r="K1608" s="34"/>
      <c r="L1608" s="119">
        <v>87680</v>
      </c>
    </row>
    <row r="1609" hidden="1" ht="15.75">
      <c r="B1609" s="64">
        <v>46142</v>
      </c>
      <c r="C1609" s="9" t="s">
        <v>1987</v>
      </c>
      <c r="D1609" s="6" t="s">
        <v>3965</v>
      </c>
      <c r="E1609" s="6" t="s">
        <v>3888</v>
      </c>
      <c r="F1609" s="6" t="s">
        <v>978</v>
      </c>
      <c r="G1609" s="6" t="s">
        <v>3846</v>
      </c>
      <c r="H1609" s="7">
        <v>2100</v>
      </c>
      <c r="I1609" s="8">
        <f>SUMIF(Cargas!$C$6:$C$1064,C1609,Cargas!$O$6:$O$1064)</f>
        <v>2100</v>
      </c>
      <c r="J1609" s="17">
        <f t="shared" si="29"/>
        <v>0</v>
      </c>
      <c r="K1609" s="34"/>
      <c r="L1609" s="119">
        <v>90520</v>
      </c>
    </row>
    <row r="1610" hidden="1" ht="15.75">
      <c r="B1610" s="64">
        <v>46142</v>
      </c>
      <c r="C1610" s="9" t="s">
        <v>1994</v>
      </c>
      <c r="D1610" s="6" t="s">
        <v>3966</v>
      </c>
      <c r="E1610" s="6" t="s">
        <v>3498</v>
      </c>
      <c r="F1610" s="6" t="s">
        <v>978</v>
      </c>
      <c r="G1610" s="6" t="s">
        <v>3870</v>
      </c>
      <c r="H1610" s="7">
        <v>1050</v>
      </c>
      <c r="I1610" s="8">
        <f>SUMIF(Cargas!$C$6:$C$1064,C1610,Cargas!$O$6:$O$1064)</f>
        <v>1050</v>
      </c>
      <c r="J1610" s="17">
        <f t="shared" si="29"/>
        <v>0</v>
      </c>
      <c r="K1610" s="34"/>
      <c r="L1610" s="119">
        <v>94143</v>
      </c>
    </row>
    <row r="1611" hidden="1">
      <c r="B1611" s="64">
        <v>46091</v>
      </c>
      <c r="C1611" s="9" t="s">
        <v>1898</v>
      </c>
      <c r="D1611" s="6" t="s">
        <v>3967</v>
      </c>
      <c r="E1611" s="6" t="s">
        <v>2225</v>
      </c>
      <c r="F1611" s="6" t="s">
        <v>2226</v>
      </c>
      <c r="G1611" s="6" t="s">
        <v>2227</v>
      </c>
      <c r="H1611" s="7">
        <v>1680</v>
      </c>
      <c r="I1611" s="8">
        <f>SUMIF(Cargas!$C$6:$C$1064,C1611,Cargas!$O$6:$O$1064)</f>
        <v>1680</v>
      </c>
      <c r="J1611" s="17">
        <f t="shared" si="29"/>
        <v>0</v>
      </c>
      <c r="K1611" s="34">
        <v>1551624</v>
      </c>
      <c r="L1611" s="34">
        <v>57455</v>
      </c>
    </row>
    <row r="1612" hidden="1">
      <c r="B1612" s="64">
        <v>46105</v>
      </c>
      <c r="C1612" s="9" t="s">
        <v>1935</v>
      </c>
      <c r="D1612" s="6" t="s">
        <v>3968</v>
      </c>
      <c r="E1612" s="6" t="s">
        <v>2225</v>
      </c>
      <c r="F1612" s="6" t="s">
        <v>2226</v>
      </c>
      <c r="G1612" s="6" t="s">
        <v>2227</v>
      </c>
      <c r="H1612" s="7">
        <v>1680</v>
      </c>
      <c r="I1612" s="8">
        <f>SUMIF(Cargas!$C$6:$C$1064,C1612,Cargas!$O$6:$O$1064)</f>
        <v>1680</v>
      </c>
      <c r="J1612" s="17">
        <f t="shared" si="29"/>
        <v>0</v>
      </c>
      <c r="K1612" s="34">
        <v>1552705</v>
      </c>
      <c r="L1612" s="34">
        <v>67321</v>
      </c>
    </row>
    <row r="1613" hidden="1" ht="15.75">
      <c r="B1613" s="64">
        <v>46024</v>
      </c>
      <c r="C1613" s="9" t="s">
        <v>1728</v>
      </c>
      <c r="D1613" s="6" t="s">
        <v>3969</v>
      </c>
      <c r="E1613" s="6" t="s">
        <v>3757</v>
      </c>
      <c r="F1613" s="6" t="s">
        <v>2226</v>
      </c>
      <c r="G1613" s="6" t="s">
        <v>410</v>
      </c>
      <c r="H1613" s="7">
        <v>7260</v>
      </c>
      <c r="I1613" s="8">
        <f>SUMIF(Cargas!$C$6:$C$1064,C1613,Cargas!$O$6:$O$1064)</f>
        <v>7260</v>
      </c>
      <c r="J1613" s="17">
        <f t="shared" si="29"/>
        <v>0</v>
      </c>
      <c r="K1613" s="34"/>
      <c r="L1613" s="119">
        <v>950</v>
      </c>
    </row>
    <row r="1614" hidden="1" ht="15.75">
      <c r="B1614" s="64">
        <v>46044</v>
      </c>
      <c r="C1614" s="9" t="s">
        <v>1784</v>
      </c>
      <c r="D1614" s="6" t="s">
        <v>3970</v>
      </c>
      <c r="E1614" s="6" t="s">
        <v>3757</v>
      </c>
      <c r="F1614" s="6" t="s">
        <v>2226</v>
      </c>
      <c r="G1614" s="6" t="s">
        <v>410</v>
      </c>
      <c r="H1614" s="7">
        <v>7260</v>
      </c>
      <c r="I1614" s="8">
        <f>SUMIF(Cargas!$C$6:$C$1064,C1614,Cargas!$O$6:$O$1064)</f>
        <v>7260</v>
      </c>
      <c r="J1614" s="17">
        <f t="shared" si="29"/>
        <v>0</v>
      </c>
      <c r="K1614" s="34">
        <v>1547187</v>
      </c>
      <c r="L1614" s="119">
        <v>15473</v>
      </c>
    </row>
    <row r="1615" hidden="1" ht="15.75">
      <c r="B1615" s="64">
        <v>46038</v>
      </c>
      <c r="C1615" s="9" t="s">
        <v>1778</v>
      </c>
      <c r="D1615" s="6" t="s">
        <v>3971</v>
      </c>
      <c r="E1615" s="6" t="s">
        <v>3893</v>
      </c>
      <c r="F1615" s="6" t="s">
        <v>2226</v>
      </c>
      <c r="G1615" s="6" t="s">
        <v>3493</v>
      </c>
      <c r="H1615" s="7">
        <v>2112</v>
      </c>
      <c r="I1615" s="8">
        <f>SUMIF(Cargas!$C$6:$C$1064,C1615,Cargas!$O$6:$O$1064)</f>
        <v>2112</v>
      </c>
      <c r="J1615" s="17">
        <f t="shared" si="29"/>
        <v>0</v>
      </c>
      <c r="K1615" s="34">
        <v>1547639</v>
      </c>
      <c r="L1615" s="119">
        <v>14880</v>
      </c>
    </row>
    <row r="1616" hidden="1" ht="15.75">
      <c r="B1616" s="64">
        <v>46035</v>
      </c>
      <c r="C1616" s="9" t="s">
        <v>1756</v>
      </c>
      <c r="D1616" s="6" t="s">
        <v>3972</v>
      </c>
      <c r="E1616" s="6" t="s">
        <v>2712</v>
      </c>
      <c r="F1616" s="6" t="s">
        <v>2226</v>
      </c>
      <c r="G1616" s="6" t="s">
        <v>2258</v>
      </c>
      <c r="H1616" s="7">
        <v>2112</v>
      </c>
      <c r="I1616" s="8">
        <f>SUMIF(Cargas!$C$6:$C$1064,C1616,Cargas!$O$6:$O$1064)</f>
        <v>2112</v>
      </c>
      <c r="J1616" s="17">
        <f t="shared" si="29"/>
        <v>0</v>
      </c>
      <c r="K1616" s="34">
        <v>1547423</v>
      </c>
      <c r="L1616" s="119">
        <v>9563</v>
      </c>
    </row>
    <row r="1617" hidden="1" ht="15.75">
      <c r="B1617" s="64">
        <v>46069</v>
      </c>
      <c r="C1617" s="9" t="s">
        <v>1823</v>
      </c>
      <c r="D1617" s="6" t="s">
        <v>3973</v>
      </c>
      <c r="E1617" s="6" t="s">
        <v>2712</v>
      </c>
      <c r="F1617" s="6" t="s">
        <v>2226</v>
      </c>
      <c r="G1617" s="6" t="s">
        <v>2258</v>
      </c>
      <c r="H1617" s="7">
        <v>2112</v>
      </c>
      <c r="I1617" s="8">
        <f>SUMIF(Cargas!$C$6:$C$1064,C1617,Cargas!$O$6:$O$1064)</f>
        <v>2112</v>
      </c>
      <c r="J1617" s="17">
        <f t="shared" si="29"/>
        <v>0</v>
      </c>
      <c r="K1617" s="34">
        <v>1550114</v>
      </c>
      <c r="L1617" s="119">
        <v>33308</v>
      </c>
    </row>
    <row r="1618" hidden="1">
      <c r="B1618" s="64">
        <v>46029</v>
      </c>
      <c r="C1618" s="9" t="s">
        <v>1772</v>
      </c>
      <c r="D1618" s="6" t="s">
        <v>3974</v>
      </c>
      <c r="E1618" s="6" t="s">
        <v>2225</v>
      </c>
      <c r="F1618" s="6" t="s">
        <v>2226</v>
      </c>
      <c r="G1618" s="6" t="s">
        <v>2227</v>
      </c>
      <c r="H1618" s="7">
        <v>1680</v>
      </c>
      <c r="I1618" s="8">
        <f>SUMIF(Cargas!$C$6:$C$1064,C1618,Cargas!$O$6:$O$1064)</f>
        <v>1680</v>
      </c>
      <c r="J1618" s="17">
        <f t="shared" si="29"/>
        <v>0</v>
      </c>
      <c r="K1618" s="34">
        <v>1546562</v>
      </c>
      <c r="L1618" s="34">
        <v>13652</v>
      </c>
    </row>
    <row r="1619" hidden="1">
      <c r="B1619" s="64">
        <v>46041</v>
      </c>
      <c r="C1619" s="9" t="s">
        <v>1790</v>
      </c>
      <c r="D1619" s="6" t="s">
        <v>3975</v>
      </c>
      <c r="E1619" s="6" t="s">
        <v>2225</v>
      </c>
      <c r="F1619" s="6" t="s">
        <v>2226</v>
      </c>
      <c r="G1619" s="6" t="s">
        <v>2227</v>
      </c>
      <c r="H1619" s="7">
        <v>1680</v>
      </c>
      <c r="I1619" s="8">
        <f>SUMIF(Cargas!$C$6:$C$1064,C1619,Cargas!$O$6:$O$1064)</f>
        <v>1680</v>
      </c>
      <c r="J1619" s="17">
        <f t="shared" si="29"/>
        <v>0</v>
      </c>
      <c r="K1619" s="34">
        <v>1547318</v>
      </c>
      <c r="L1619" s="34">
        <v>20570</v>
      </c>
    </row>
    <row r="1620" hidden="1" ht="15.75">
      <c r="B1620" s="64">
        <v>46009</v>
      </c>
      <c r="C1620" s="9" t="s">
        <v>1717</v>
      </c>
      <c r="D1620" s="6" t="s">
        <v>3976</v>
      </c>
      <c r="E1620" s="6" t="s">
        <v>3893</v>
      </c>
      <c r="F1620" s="6" t="s">
        <v>2226</v>
      </c>
      <c r="G1620" s="6" t="s">
        <v>401</v>
      </c>
      <c r="H1620" s="7">
        <v>2112</v>
      </c>
      <c r="I1620" s="8">
        <f>SUMIF(Cargas!$C$6:$C$1064,C1620,Cargas!$O$6:$O$1064)</f>
        <v>2112</v>
      </c>
      <c r="J1620" s="17">
        <f t="shared" si="29"/>
        <v>0</v>
      </c>
      <c r="K1620" s="34"/>
      <c r="L1620" s="119">
        <v>277</v>
      </c>
    </row>
    <row r="1621" hidden="1" ht="15.75">
      <c r="B1621" s="64">
        <v>45943</v>
      </c>
      <c r="C1621" s="9" t="s">
        <v>1499</v>
      </c>
      <c r="D1621" s="6" t="s">
        <v>3289</v>
      </c>
      <c r="E1621" s="6" t="s">
        <v>3893</v>
      </c>
      <c r="F1621" s="6" t="s">
        <v>2226</v>
      </c>
      <c r="G1621" s="6" t="s">
        <v>412</v>
      </c>
      <c r="H1621" s="7">
        <v>2112</v>
      </c>
      <c r="I1621" s="8">
        <f>SUMIF(Cargas!$C$6:$C$1064,C1621,Cargas!$O$6:$O$1064)</f>
        <v>2112</v>
      </c>
      <c r="J1621" s="17">
        <f t="shared" si="29"/>
        <v>0</v>
      </c>
      <c r="K1621" s="34">
        <v>1532160</v>
      </c>
      <c r="L1621" s="119">
        <v>209222</v>
      </c>
    </row>
    <row r="1622" hidden="1" ht="15.75">
      <c r="B1622" s="64">
        <v>45959</v>
      </c>
      <c r="C1622" s="9" t="s">
        <v>1520</v>
      </c>
      <c r="D1622" s="6" t="s">
        <v>3291</v>
      </c>
      <c r="E1622" s="6" t="s">
        <v>2712</v>
      </c>
      <c r="F1622" s="6" t="s">
        <v>2226</v>
      </c>
      <c r="G1622" s="6" t="s">
        <v>412</v>
      </c>
      <c r="H1622" s="7">
        <f>1056+780</f>
        <v>1836</v>
      </c>
      <c r="I1622" s="8">
        <f>SUMIF(Cargas!$C$6:$C$1064,C1622,Cargas!$O$6:$O$1064)</f>
        <v>1836</v>
      </c>
      <c r="J1622" s="17">
        <f t="shared" si="29"/>
        <v>0</v>
      </c>
      <c r="K1622" s="34"/>
      <c r="L1622" s="119">
        <v>225859</v>
      </c>
    </row>
    <row r="1623" hidden="1">
      <c r="B1623" s="64">
        <v>45907</v>
      </c>
      <c r="C1623" s="9" t="s">
        <v>1468</v>
      </c>
      <c r="D1623" s="6" t="s">
        <v>3781</v>
      </c>
      <c r="E1623" s="6" t="s">
        <v>3766</v>
      </c>
      <c r="F1623" s="6" t="s">
        <v>2226</v>
      </c>
      <c r="G1623" s="6" t="s">
        <v>2227</v>
      </c>
      <c r="H1623" s="7">
        <v>1080</v>
      </c>
      <c r="I1623" s="8">
        <f>SUMIF(Cargas!$C$6:$C$1064,C1623,Cargas!$O$6:$O$1064)</f>
        <v>1080</v>
      </c>
      <c r="J1623" s="17">
        <f t="shared" si="29"/>
        <v>0</v>
      </c>
      <c r="K1623" s="34">
        <v>1532156</v>
      </c>
      <c r="L1623" s="34">
        <v>200490</v>
      </c>
    </row>
    <row r="1624" hidden="1">
      <c r="B1624" s="64">
        <v>45846</v>
      </c>
      <c r="C1624" s="9" t="s">
        <v>1351</v>
      </c>
      <c r="D1624" s="6" t="s">
        <v>2602</v>
      </c>
      <c r="E1624" s="6" t="s">
        <v>2225</v>
      </c>
      <c r="F1624" s="6" t="s">
        <v>2226</v>
      </c>
      <c r="G1624" s="6" t="s">
        <v>2227</v>
      </c>
      <c r="H1624" s="7">
        <v>1680</v>
      </c>
      <c r="I1624" s="8">
        <f>SUMIF(Cargas!$C$6:$C$1064,C1624,Cargas!$O$6:$O$1064)</f>
        <v>1680</v>
      </c>
      <c r="J1624" s="17">
        <f t="shared" si="29"/>
        <v>0</v>
      </c>
      <c r="K1624" s="34">
        <v>1529065</v>
      </c>
      <c r="L1624" s="34">
        <v>144948</v>
      </c>
    </row>
    <row r="1625" hidden="1">
      <c r="B1625" s="64">
        <v>45867</v>
      </c>
      <c r="C1625" s="9" t="s">
        <v>1376</v>
      </c>
      <c r="D1625" s="6" t="s">
        <v>2618</v>
      </c>
      <c r="E1625" s="6" t="s">
        <v>2225</v>
      </c>
      <c r="F1625" s="6" t="s">
        <v>2226</v>
      </c>
      <c r="G1625" s="6" t="s">
        <v>2227</v>
      </c>
      <c r="H1625" s="7">
        <v>1680</v>
      </c>
      <c r="I1625" s="8">
        <f>SUMIF(Cargas!$C$6:$C$1064,C1625,Cargas!$O$6:$O$1064)</f>
        <v>1680</v>
      </c>
      <c r="J1625" s="17">
        <f t="shared" si="29"/>
        <v>0</v>
      </c>
      <c r="K1625" s="34">
        <v>1531024</v>
      </c>
      <c r="L1625" s="34">
        <v>160587</v>
      </c>
    </row>
    <row r="1626" hidden="1">
      <c r="B1626" s="64">
        <v>45922</v>
      </c>
      <c r="C1626" s="9" t="s">
        <v>1492</v>
      </c>
      <c r="D1626" s="6" t="s">
        <v>3784</v>
      </c>
      <c r="E1626" s="6" t="s">
        <v>3766</v>
      </c>
      <c r="F1626" s="6" t="s">
        <v>2226</v>
      </c>
      <c r="G1626" s="6" t="s">
        <v>2227</v>
      </c>
      <c r="H1626" s="7">
        <v>1080</v>
      </c>
      <c r="I1626" s="8">
        <f>SUMIF(Cargas!$C$6:$C$1064,C1626,Cargas!$O$6:$O$1064)</f>
        <v>1080</v>
      </c>
      <c r="J1626" s="17">
        <f t="shared" si="29"/>
        <v>0</v>
      </c>
      <c r="K1626" s="34">
        <v>1532157</v>
      </c>
      <c r="L1626" s="34">
        <v>210483</v>
      </c>
    </row>
    <row r="1627" hidden="1" ht="15.75">
      <c r="B1627" s="64">
        <v>45959</v>
      </c>
      <c r="C1627" s="9" t="s">
        <v>1519</v>
      </c>
      <c r="D1627" s="6" t="s">
        <v>3977</v>
      </c>
      <c r="E1627" s="6" t="s">
        <v>3893</v>
      </c>
      <c r="F1627" s="6" t="s">
        <v>2226</v>
      </c>
      <c r="G1627" s="6" t="s">
        <v>412</v>
      </c>
      <c r="H1627" s="7">
        <v>2112</v>
      </c>
      <c r="I1627" s="8">
        <f>SUMIF(Cargas!$C$6:$C$1064,C1627,Cargas!$O$6:$O$1064)</f>
        <v>2112</v>
      </c>
      <c r="J1627" s="17">
        <f t="shared" si="29"/>
        <v>0</v>
      </c>
      <c r="K1627" s="34"/>
      <c r="L1627" s="119">
        <v>222578</v>
      </c>
    </row>
    <row r="1628" hidden="1" ht="15.75">
      <c r="B1628" s="64">
        <v>45965</v>
      </c>
      <c r="C1628" s="9" t="s">
        <v>1529</v>
      </c>
      <c r="D1628" s="6" t="s">
        <v>3978</v>
      </c>
      <c r="E1628" s="6" t="s">
        <v>3891</v>
      </c>
      <c r="F1628" s="6" t="s">
        <v>2226</v>
      </c>
      <c r="G1628" s="6" t="s">
        <v>412</v>
      </c>
      <c r="H1628" s="7">
        <v>2112</v>
      </c>
      <c r="I1628" s="8">
        <f>SUMIF(Cargas!$C$6:$C$1064,C1628,Cargas!$O$6:$O$1064)</f>
        <v>2112</v>
      </c>
      <c r="J1628" s="17">
        <f t="shared" si="29"/>
        <v>0</v>
      </c>
      <c r="K1628" s="34"/>
      <c r="L1628" s="119">
        <v>227268</v>
      </c>
    </row>
    <row r="1629" hidden="1" ht="15.75">
      <c r="B1629" s="64">
        <v>45977</v>
      </c>
      <c r="C1629" s="9" t="s">
        <v>1578</v>
      </c>
      <c r="D1629" s="6" t="s">
        <v>3979</v>
      </c>
      <c r="E1629" s="6" t="s">
        <v>1584</v>
      </c>
      <c r="F1629" s="6" t="s">
        <v>2226</v>
      </c>
      <c r="G1629" s="6" t="s">
        <v>410</v>
      </c>
      <c r="H1629" s="7">
        <v>2112</v>
      </c>
      <c r="I1629" s="8">
        <f>SUMIF(Cargas!$C$6:$C$1064,C1629,Cargas!$O$6:$O$1064)</f>
        <v>2112</v>
      </c>
      <c r="J1629" s="17">
        <f t="shared" si="29"/>
        <v>0</v>
      </c>
      <c r="K1629" s="34">
        <v>1539814</v>
      </c>
      <c r="L1629" s="119">
        <v>238119</v>
      </c>
    </row>
    <row r="1630" hidden="1">
      <c r="B1630" s="64">
        <v>46056</v>
      </c>
      <c r="C1630" s="9" t="s">
        <v>1821</v>
      </c>
      <c r="D1630" s="6" t="s">
        <v>3980</v>
      </c>
      <c r="E1630" s="6" t="s">
        <v>2225</v>
      </c>
      <c r="F1630" s="6" t="s">
        <v>2226</v>
      </c>
      <c r="G1630" s="6" t="s">
        <v>2227</v>
      </c>
      <c r="H1630" s="7">
        <v>1680</v>
      </c>
      <c r="I1630" s="8">
        <f>SUMIF(Cargas!$C$6:$C$1064,C1630,Cargas!$O$6:$O$1064)</f>
        <v>1680</v>
      </c>
      <c r="J1630" s="17">
        <f t="shared" si="29"/>
        <v>0</v>
      </c>
      <c r="K1630" s="34">
        <v>1547836</v>
      </c>
      <c r="L1630" s="34">
        <v>32700</v>
      </c>
    </row>
    <row r="1631" hidden="1">
      <c r="B1631" s="64">
        <v>46070</v>
      </c>
      <c r="C1631" s="9" t="s">
        <v>1847</v>
      </c>
      <c r="D1631" s="6" t="s">
        <v>3981</v>
      </c>
      <c r="E1631" s="6" t="s">
        <v>2225</v>
      </c>
      <c r="F1631" s="6" t="s">
        <v>2226</v>
      </c>
      <c r="G1631" s="6" t="s">
        <v>2227</v>
      </c>
      <c r="H1631" s="7">
        <v>1680</v>
      </c>
      <c r="I1631" s="8">
        <f>SUMIF(Cargas!$C$6:$C$1064,C1631,Cargas!$O$6:$O$1064)</f>
        <v>1680</v>
      </c>
      <c r="J1631" s="17">
        <f t="shared" si="29"/>
        <v>0</v>
      </c>
      <c r="K1631" s="34">
        <v>1547837</v>
      </c>
      <c r="L1631" s="34">
        <v>41095</v>
      </c>
    </row>
    <row r="1632" hidden="1">
      <c r="B1632" s="64">
        <v>46000</v>
      </c>
      <c r="C1632" s="9" t="s">
        <v>1698</v>
      </c>
      <c r="D1632" s="6" t="s">
        <v>3982</v>
      </c>
      <c r="E1632" s="6" t="s">
        <v>2225</v>
      </c>
      <c r="F1632" s="6" t="s">
        <v>2226</v>
      </c>
      <c r="G1632" s="6" t="s">
        <v>2227</v>
      </c>
      <c r="H1632" s="7">
        <v>1680</v>
      </c>
      <c r="I1632" s="8">
        <f>SUMIF(Cargas!$C$6:$C$1064,C1632,Cargas!$O$6:$O$1064)</f>
        <v>1680</v>
      </c>
      <c r="J1632" s="17">
        <f t="shared" si="29"/>
        <v>0</v>
      </c>
      <c r="K1632" s="34">
        <v>1543302</v>
      </c>
      <c r="L1632" s="34">
        <v>267119</v>
      </c>
    </row>
    <row r="1633" hidden="1">
      <c r="B1633" s="64">
        <v>46007</v>
      </c>
      <c r="C1633" s="9" t="s">
        <v>1719</v>
      </c>
      <c r="D1633" s="6" t="s">
        <v>3983</v>
      </c>
      <c r="E1633" s="6" t="s">
        <v>2225</v>
      </c>
      <c r="F1633" s="6" t="s">
        <v>2226</v>
      </c>
      <c r="G1633" s="6" t="s">
        <v>2227</v>
      </c>
      <c r="H1633" s="7">
        <v>1680</v>
      </c>
      <c r="I1633" s="8">
        <f>SUMIF(Cargas!$C$6:$C$1064,C1633,Cargas!$O$6:$O$1064)</f>
        <v>1680</v>
      </c>
      <c r="J1633" s="17">
        <f t="shared" si="29"/>
        <v>0</v>
      </c>
      <c r="K1633" s="34">
        <v>1544788</v>
      </c>
      <c r="L1633" s="34">
        <v>1113</v>
      </c>
    </row>
    <row r="1634" hidden="1">
      <c r="B1634" s="64">
        <v>45881</v>
      </c>
      <c r="C1634" s="9" t="s">
        <v>1393</v>
      </c>
      <c r="D1634" s="6" t="s">
        <v>2645</v>
      </c>
      <c r="E1634" s="6" t="s">
        <v>2225</v>
      </c>
      <c r="F1634" s="6" t="s">
        <v>2226</v>
      </c>
      <c r="G1634" s="6" t="s">
        <v>2227</v>
      </c>
      <c r="H1634" s="7">
        <v>1680</v>
      </c>
      <c r="I1634" s="8">
        <f>SUMIF(Cargas!$C$6:$C$1064,C1634,Cargas!$O$6:$O$1064)</f>
        <v>1680</v>
      </c>
      <c r="J1634" s="17">
        <f t="shared" si="29"/>
        <v>0</v>
      </c>
      <c r="K1634" s="34">
        <v>1532396</v>
      </c>
      <c r="L1634" s="34">
        <v>169649</v>
      </c>
    </row>
    <row r="1635" hidden="1">
      <c r="B1635" s="64">
        <v>45818</v>
      </c>
      <c r="C1635" s="9" t="s">
        <v>1315</v>
      </c>
      <c r="D1635" s="6" t="s">
        <v>2473</v>
      </c>
      <c r="E1635" s="6" t="s">
        <v>3789</v>
      </c>
      <c r="F1635" s="6" t="s">
        <v>2226</v>
      </c>
      <c r="G1635" s="6" t="s">
        <v>2227</v>
      </c>
      <c r="H1635" s="7">
        <v>4320</v>
      </c>
      <c r="I1635" s="8">
        <f>SUMIF(Cargas!$C$6:$C$1064,C1635,Cargas!$O$6:$O$1064)</f>
        <v>4320</v>
      </c>
      <c r="J1635" s="17">
        <f t="shared" si="29"/>
        <v>0</v>
      </c>
      <c r="K1635" s="34">
        <v>1526486</v>
      </c>
      <c r="L1635" s="34">
        <v>122552</v>
      </c>
    </row>
    <row r="1636" hidden="1" ht="26.25">
      <c r="B1636" s="64">
        <v>45818</v>
      </c>
      <c r="C1636" s="9" t="s">
        <v>1321</v>
      </c>
      <c r="D1636" s="6" t="s">
        <v>2482</v>
      </c>
      <c r="E1636" s="139" t="s">
        <v>3789</v>
      </c>
      <c r="F1636" s="6" t="s">
        <v>2226</v>
      </c>
      <c r="G1636" s="6" t="s">
        <v>2227</v>
      </c>
      <c r="H1636" s="7">
        <v>4320</v>
      </c>
      <c r="I1636" s="8">
        <f>SUMIF(Cargas!$C$6:$C$1064,C1636,Cargas!$O$6:$O$1064)</f>
        <v>4320</v>
      </c>
      <c r="J1636" s="17">
        <f t="shared" si="29"/>
        <v>0</v>
      </c>
      <c r="K1636" s="34">
        <v>1527012</v>
      </c>
      <c r="L1636" s="34">
        <v>126972</v>
      </c>
    </row>
    <row r="1637" hidden="1">
      <c r="B1637" s="64">
        <v>45723</v>
      </c>
      <c r="C1637" s="9" t="s">
        <v>1140</v>
      </c>
      <c r="D1637" s="6" t="s">
        <v>3678</v>
      </c>
      <c r="E1637" s="6" t="s">
        <v>2780</v>
      </c>
      <c r="F1637" s="6" t="s">
        <v>2226</v>
      </c>
      <c r="G1637" s="6" t="s">
        <v>2227</v>
      </c>
      <c r="H1637" s="7">
        <v>2548</v>
      </c>
      <c r="I1637" s="8">
        <f>SUMIF(Cargas!$C$6:$C$1064,C1637,Cargas!$O$6:$O$1064)</f>
        <v>2548</v>
      </c>
      <c r="J1637" s="17">
        <f t="shared" si="29"/>
        <v>0</v>
      </c>
      <c r="K1637" s="34" t="s">
        <v>3984</v>
      </c>
      <c r="L1637" s="34">
        <v>56853</v>
      </c>
    </row>
    <row r="1638" hidden="1">
      <c r="B1638" s="64">
        <v>45748</v>
      </c>
      <c r="C1638" s="9" t="s">
        <v>1212</v>
      </c>
      <c r="D1638" s="6" t="s">
        <v>2408</v>
      </c>
      <c r="E1638" s="6" t="s">
        <v>2220</v>
      </c>
      <c r="F1638" s="6" t="s">
        <v>2226</v>
      </c>
      <c r="G1638" s="6" t="s">
        <v>2227</v>
      </c>
      <c r="H1638" s="7">
        <v>1112</v>
      </c>
      <c r="I1638" s="8">
        <f>SUMIF(Cargas!$C$6:$C$1064,C1638,Cargas!$O$6:$O$1064)</f>
        <v>1112</v>
      </c>
      <c r="J1638" s="17">
        <f t="shared" si="29"/>
        <v>0</v>
      </c>
      <c r="K1638" s="34">
        <v>1520609</v>
      </c>
      <c r="L1638" s="34">
        <v>74941</v>
      </c>
    </row>
    <row r="1639" hidden="1">
      <c r="B1639" s="64">
        <v>45754</v>
      </c>
      <c r="C1639" s="9" t="s">
        <v>1234</v>
      </c>
      <c r="D1639" s="6" t="s">
        <v>2414</v>
      </c>
      <c r="E1639" s="6" t="s">
        <v>2220</v>
      </c>
      <c r="F1639" s="6" t="s">
        <v>2226</v>
      </c>
      <c r="G1639" s="6" t="s">
        <v>2227</v>
      </c>
      <c r="H1639" s="7">
        <v>3240</v>
      </c>
      <c r="I1639" s="8">
        <f>SUMIF(Cargas!$C$6:$C$1064,C1639,Cargas!$O$6:$O$1064)</f>
        <v>3240</v>
      </c>
      <c r="J1639" s="17">
        <f t="shared" si="29"/>
        <v>0</v>
      </c>
      <c r="K1639" s="34">
        <v>1511463</v>
      </c>
      <c r="L1639" s="34">
        <v>79147</v>
      </c>
    </row>
    <row r="1640" hidden="1">
      <c r="B1640" s="64">
        <v>45754</v>
      </c>
      <c r="C1640" s="9" t="s">
        <v>1229</v>
      </c>
      <c r="D1640" s="6" t="s">
        <v>2420</v>
      </c>
      <c r="E1640" s="6" t="s">
        <v>2220</v>
      </c>
      <c r="F1640" s="6" t="s">
        <v>2226</v>
      </c>
      <c r="G1640" s="6" t="s">
        <v>2227</v>
      </c>
      <c r="H1640" s="7">
        <v>1112</v>
      </c>
      <c r="I1640" s="8">
        <f>SUMIF(Cargas!$C$6:$C$1064,C1640,Cargas!$O$6:$O$1064)</f>
        <v>1128</v>
      </c>
      <c r="J1640" s="17">
        <f t="shared" si="29"/>
        <v>0</v>
      </c>
      <c r="K1640" s="34">
        <v>1411463</v>
      </c>
      <c r="L1640" s="34">
        <v>79235</v>
      </c>
    </row>
    <row r="1641" hidden="1">
      <c r="B1641" s="64">
        <v>45762</v>
      </c>
      <c r="C1641" s="9" t="s">
        <v>1246</v>
      </c>
      <c r="D1641" s="6" t="s">
        <v>2428</v>
      </c>
      <c r="E1641" s="6" t="s">
        <v>2220</v>
      </c>
      <c r="F1641" s="6" t="s">
        <v>2226</v>
      </c>
      <c r="G1641" s="6" t="s">
        <v>2227</v>
      </c>
      <c r="H1641" s="7">
        <v>4320</v>
      </c>
      <c r="I1641" s="8">
        <f>SUMIF(Cargas!$C$6:$C$1064,C1641,Cargas!$O$6:$O$1064)</f>
        <v>4320</v>
      </c>
      <c r="J1641" s="17">
        <f t="shared" si="29"/>
        <v>0</v>
      </c>
      <c r="K1641" s="34">
        <v>1521909</v>
      </c>
      <c r="L1641" s="34">
        <v>83812</v>
      </c>
    </row>
    <row r="1642" hidden="1">
      <c r="B1642" s="64">
        <v>45762</v>
      </c>
      <c r="C1642" s="9" t="s">
        <v>1238</v>
      </c>
      <c r="D1642" s="6" t="s">
        <v>2840</v>
      </c>
      <c r="E1642" s="6" t="s">
        <v>2220</v>
      </c>
      <c r="F1642" s="6" t="s">
        <v>2226</v>
      </c>
      <c r="G1642" s="6" t="s">
        <v>2227</v>
      </c>
      <c r="H1642" s="7">
        <v>1112</v>
      </c>
      <c r="I1642" s="8">
        <f>SUMIF(Cargas!$C$6:$C$1064,C1642,Cargas!$O$6:$O$1064)</f>
        <v>1112</v>
      </c>
      <c r="J1642" s="17">
        <f ref="J1642:J1705" t="shared" si="30">IF(ABS(H1642-I1642)&lt;20,0,H1642-I1642)</f>
        <v>0</v>
      </c>
      <c r="K1642" s="34">
        <v>1521908</v>
      </c>
      <c r="L1642" s="34">
        <v>83959</v>
      </c>
    </row>
    <row r="1643" hidden="1">
      <c r="B1643" s="64">
        <v>45769</v>
      </c>
      <c r="C1643" s="9" t="s">
        <v>1252</v>
      </c>
      <c r="D1643" s="6" t="s">
        <v>2440</v>
      </c>
      <c r="E1643" s="6" t="s">
        <v>2220</v>
      </c>
      <c r="F1643" s="6" t="s">
        <v>2226</v>
      </c>
      <c r="G1643" s="6" t="s">
        <v>2227</v>
      </c>
      <c r="H1643" s="7">
        <v>3240</v>
      </c>
      <c r="I1643" s="8">
        <f>SUMIF(Cargas!$C$6:$C$1064,C1643,Cargas!$O$6:$O$1064)</f>
        <v>3240</v>
      </c>
      <c r="J1643" s="17">
        <f t="shared" si="30"/>
        <v>0</v>
      </c>
      <c r="K1643" s="34">
        <v>1522696</v>
      </c>
      <c r="L1643" s="34">
        <v>88305</v>
      </c>
    </row>
    <row r="1644" hidden="1">
      <c r="B1644" s="64">
        <v>45769</v>
      </c>
      <c r="C1644" s="9" t="s">
        <v>1249</v>
      </c>
      <c r="D1644" s="6" t="s">
        <v>2444</v>
      </c>
      <c r="E1644" s="6" t="s">
        <v>2220</v>
      </c>
      <c r="F1644" s="6" t="s">
        <v>2226</v>
      </c>
      <c r="G1644" s="6" t="s">
        <v>2227</v>
      </c>
      <c r="H1644" s="7">
        <v>1112</v>
      </c>
      <c r="I1644" s="8">
        <f>SUMIF(Cargas!$C$6:$C$1064,C1644,Cargas!$O$6:$O$1064)</f>
        <v>1112</v>
      </c>
      <c r="J1644" s="17">
        <f t="shared" si="30"/>
        <v>0</v>
      </c>
      <c r="K1644" s="34">
        <v>1522697</v>
      </c>
      <c r="L1644" s="34">
        <v>88230</v>
      </c>
    </row>
    <row r="1645" hidden="1">
      <c r="B1645" s="64">
        <v>45776</v>
      </c>
      <c r="C1645" s="9" t="s">
        <v>1260</v>
      </c>
      <c r="D1645" s="6" t="s">
        <v>2446</v>
      </c>
      <c r="E1645" s="6" t="s">
        <v>2220</v>
      </c>
      <c r="F1645" s="6" t="s">
        <v>2226</v>
      </c>
      <c r="G1645" s="6" t="s">
        <v>2227</v>
      </c>
      <c r="H1645" s="7">
        <v>1144</v>
      </c>
      <c r="I1645" s="8">
        <f>SUMIF(Cargas!$C$6:$C$1064,C1645,Cargas!$O$6:$O$1064)</f>
        <v>1144</v>
      </c>
      <c r="J1645" s="17">
        <f t="shared" si="30"/>
        <v>0</v>
      </c>
      <c r="K1645" s="34">
        <v>1522953</v>
      </c>
      <c r="L1645" s="34">
        <v>94531</v>
      </c>
    </row>
    <row r="1646" hidden="1">
      <c r="B1646" s="64">
        <v>45783</v>
      </c>
      <c r="C1646" s="9" t="s">
        <v>1280</v>
      </c>
      <c r="D1646" s="6" t="s">
        <v>2454</v>
      </c>
      <c r="E1646" s="6" t="s">
        <v>2220</v>
      </c>
      <c r="F1646" s="6" t="s">
        <v>2226</v>
      </c>
      <c r="G1646" s="6" t="s">
        <v>2227</v>
      </c>
      <c r="H1646" s="7">
        <v>1144</v>
      </c>
      <c r="I1646" s="8">
        <f>SUMIF(Cargas!$C$6:$C$1064,C1646,Cargas!$O$6:$O$1064)</f>
        <v>1144</v>
      </c>
      <c r="J1646" s="17">
        <f t="shared" si="30"/>
        <v>0</v>
      </c>
      <c r="K1646" s="34">
        <v>1523566</v>
      </c>
      <c r="L1646" s="34">
        <v>103596</v>
      </c>
    </row>
    <row r="1647" hidden="1">
      <c r="B1647" s="64">
        <v>45790</v>
      </c>
      <c r="C1647" s="9" t="s">
        <v>1287</v>
      </c>
      <c r="D1647" s="6" t="s">
        <v>2456</v>
      </c>
      <c r="E1647" s="6" t="s">
        <v>2220</v>
      </c>
      <c r="F1647" s="6" t="s">
        <v>2226</v>
      </c>
      <c r="G1647" s="6" t="s">
        <v>2227</v>
      </c>
      <c r="H1647" s="7">
        <v>1144</v>
      </c>
      <c r="I1647" s="8">
        <f>SUMIF(Cargas!$C$6:$C$1064,C1647,Cargas!$O$6:$O$1064)</f>
        <v>1144</v>
      </c>
      <c r="J1647" s="17">
        <f t="shared" si="30"/>
        <v>0</v>
      </c>
      <c r="K1647" s="34">
        <v>1523936</v>
      </c>
      <c r="L1647" s="34">
        <v>105930</v>
      </c>
    </row>
    <row r="1648" hidden="1">
      <c r="B1648" s="64">
        <v>45797</v>
      </c>
      <c r="C1648" s="9" t="s">
        <v>1294</v>
      </c>
      <c r="D1648" s="6" t="s">
        <v>2458</v>
      </c>
      <c r="E1648" s="6" t="s">
        <v>2220</v>
      </c>
      <c r="F1648" s="6" t="s">
        <v>2226</v>
      </c>
      <c r="G1648" s="6" t="s">
        <v>2227</v>
      </c>
      <c r="H1648" s="7">
        <v>1144</v>
      </c>
      <c r="I1648" s="8">
        <f>SUMIF(Cargas!$C$6:$C$1064,C1648,Cargas!$O$6:$O$1064)</f>
        <v>1144</v>
      </c>
      <c r="J1648" s="17">
        <f t="shared" si="30"/>
        <v>0</v>
      </c>
      <c r="K1648" s="34">
        <v>1525297</v>
      </c>
      <c r="L1648" s="34">
        <v>111108</v>
      </c>
    </row>
    <row r="1649" hidden="1">
      <c r="B1649" s="64">
        <v>45804</v>
      </c>
      <c r="C1649" s="9" t="s">
        <v>1304</v>
      </c>
      <c r="D1649" s="6" t="s">
        <v>2460</v>
      </c>
      <c r="E1649" s="6" t="s">
        <v>2220</v>
      </c>
      <c r="F1649" s="6" t="s">
        <v>2226</v>
      </c>
      <c r="G1649" s="6" t="s">
        <v>2227</v>
      </c>
      <c r="H1649" s="7">
        <v>1144</v>
      </c>
      <c r="I1649" s="8">
        <f>SUMIF(Cargas!$C$6:$C$1064,C1649,Cargas!$O$6:$O$1064)</f>
        <v>1144</v>
      </c>
      <c r="J1649" s="17">
        <f t="shared" si="30"/>
        <v>0</v>
      </c>
      <c r="K1649" s="34">
        <v>1525904</v>
      </c>
      <c r="L1649" s="34">
        <v>115447</v>
      </c>
    </row>
    <row r="1650" hidden="1" ht="26.25">
      <c r="B1650" s="64">
        <v>45825</v>
      </c>
      <c r="C1650" s="9" t="s">
        <v>1331</v>
      </c>
      <c r="D1650" s="6" t="s">
        <v>2488</v>
      </c>
      <c r="E1650" s="139" t="s">
        <v>3789</v>
      </c>
      <c r="F1650" s="6" t="s">
        <v>2226</v>
      </c>
      <c r="G1650" s="6" t="s">
        <v>2227</v>
      </c>
      <c r="H1650" s="7">
        <v>4320</v>
      </c>
      <c r="I1650" s="8">
        <f>SUMIF(Cargas!$C$6:$C$1064,C1650,Cargas!$O$6:$O$1064)</f>
        <v>4320</v>
      </c>
      <c r="J1650" s="17">
        <f t="shared" si="30"/>
        <v>0</v>
      </c>
      <c r="K1650" s="34">
        <v>1527589</v>
      </c>
      <c r="L1650" s="34">
        <v>132175</v>
      </c>
    </row>
    <row r="1651" hidden="1" ht="26.25">
      <c r="B1651" s="64">
        <v>45832</v>
      </c>
      <c r="C1651" s="9" t="s">
        <v>1339</v>
      </c>
      <c r="D1651" s="6" t="s">
        <v>2496</v>
      </c>
      <c r="E1651" s="139" t="s">
        <v>3789</v>
      </c>
      <c r="F1651" s="6" t="s">
        <v>2226</v>
      </c>
      <c r="G1651" s="6" t="s">
        <v>2227</v>
      </c>
      <c r="H1651" s="7">
        <v>4320</v>
      </c>
      <c r="I1651" s="8">
        <f>SUMIF(Cargas!$C$6:$C$1064,C1651,Cargas!$O$6:$O$1064)</f>
        <v>4320</v>
      </c>
      <c r="J1651" s="17">
        <f t="shared" si="30"/>
        <v>0</v>
      </c>
      <c r="K1651" s="34">
        <v>1528133</v>
      </c>
      <c r="L1651" s="34">
        <v>135972</v>
      </c>
    </row>
    <row r="1652" hidden="1" ht="26.25">
      <c r="B1652" s="64">
        <v>45839</v>
      </c>
      <c r="C1652" s="9" t="s">
        <v>1342</v>
      </c>
      <c r="D1652" s="6" t="s">
        <v>2506</v>
      </c>
      <c r="E1652" s="139" t="s">
        <v>3789</v>
      </c>
      <c r="F1652" s="6" t="s">
        <v>2226</v>
      </c>
      <c r="G1652" s="6" t="s">
        <v>2227</v>
      </c>
      <c r="H1652" s="7">
        <v>4320</v>
      </c>
      <c r="I1652" s="8">
        <f>SUMIF(Cargas!$C$6:$C$1064,C1652,Cargas!$O$6:$O$1064)</f>
        <v>4320</v>
      </c>
      <c r="J1652" s="17">
        <f t="shared" si="30"/>
        <v>0</v>
      </c>
      <c r="K1652" s="34">
        <v>1528614</v>
      </c>
      <c r="L1652" s="34">
        <v>142660</v>
      </c>
    </row>
    <row r="1653" hidden="1" ht="26.25">
      <c r="B1653" s="64">
        <v>45846</v>
      </c>
      <c r="C1653" s="9" t="s">
        <v>1352</v>
      </c>
      <c r="D1653" s="6" t="s">
        <v>2512</v>
      </c>
      <c r="E1653" s="139" t="s">
        <v>3789</v>
      </c>
      <c r="F1653" s="6" t="s">
        <v>2226</v>
      </c>
      <c r="G1653" s="6" t="s">
        <v>2227</v>
      </c>
      <c r="H1653" s="7">
        <v>4320</v>
      </c>
      <c r="I1653" s="8">
        <f>SUMIF(Cargas!$C$6:$C$1064,C1653,Cargas!$O$6:$O$1064)</f>
        <v>4320</v>
      </c>
      <c r="J1653" s="17">
        <f t="shared" si="30"/>
        <v>0</v>
      </c>
      <c r="K1653" s="34">
        <v>1529066</v>
      </c>
      <c r="L1653" s="34">
        <v>146304</v>
      </c>
    </row>
    <row r="1654" hidden="1" ht="26.25">
      <c r="B1654" s="64">
        <v>45853</v>
      </c>
      <c r="C1654" s="9" t="s">
        <v>1359</v>
      </c>
      <c r="D1654" s="6" t="s">
        <v>2522</v>
      </c>
      <c r="E1654" s="139" t="s">
        <v>3789</v>
      </c>
      <c r="F1654" s="6" t="s">
        <v>2226</v>
      </c>
      <c r="G1654" s="6" t="s">
        <v>2227</v>
      </c>
      <c r="H1654" s="7">
        <v>4320</v>
      </c>
      <c r="I1654" s="8">
        <f>SUMIF(Cargas!$C$6:$C$1064,C1654,Cargas!$O$6:$O$1064)</f>
        <v>4320</v>
      </c>
      <c r="J1654" s="17">
        <f t="shared" si="30"/>
        <v>0</v>
      </c>
      <c r="K1654" s="34">
        <v>1529726</v>
      </c>
      <c r="L1654" s="34">
        <v>154845</v>
      </c>
    </row>
    <row r="1655" hidden="1" ht="26.25">
      <c r="B1655" s="64">
        <v>45860</v>
      </c>
      <c r="C1655" s="9" t="s">
        <v>1365</v>
      </c>
      <c r="D1655" s="6" t="s">
        <v>2534</v>
      </c>
      <c r="E1655" s="139" t="s">
        <v>3789</v>
      </c>
      <c r="F1655" s="6" t="s">
        <v>2226</v>
      </c>
      <c r="G1655" s="6" t="s">
        <v>2227</v>
      </c>
      <c r="H1655" s="7">
        <v>4320</v>
      </c>
      <c r="I1655" s="8">
        <f>SUMIF(Cargas!$C$6:$C$1064,C1655,Cargas!$O$6:$O$1064)</f>
        <v>4320</v>
      </c>
      <c r="J1655" s="17">
        <f t="shared" si="30"/>
        <v>0</v>
      </c>
      <c r="K1655" s="34">
        <v>1530577</v>
      </c>
      <c r="L1655" s="34">
        <v>157530</v>
      </c>
    </row>
    <row r="1656" hidden="1" ht="26.25">
      <c r="B1656" s="64">
        <v>45867</v>
      </c>
      <c r="C1656" s="9" t="s">
        <v>1378</v>
      </c>
      <c r="D1656" s="6" t="s">
        <v>2548</v>
      </c>
      <c r="E1656" s="139" t="s">
        <v>3789</v>
      </c>
      <c r="F1656" s="6" t="s">
        <v>2226</v>
      </c>
      <c r="G1656" s="6" t="s">
        <v>2227</v>
      </c>
      <c r="H1656" s="7">
        <v>4320</v>
      </c>
      <c r="I1656" s="8">
        <f>SUMIF(Cargas!$C$6:$C$1064,C1656,Cargas!$O$6:$O$1064)</f>
        <v>4320</v>
      </c>
      <c r="J1656" s="17">
        <f t="shared" si="30"/>
        <v>0</v>
      </c>
      <c r="K1656" s="34">
        <v>1531022</v>
      </c>
      <c r="L1656" s="34">
        <v>160616</v>
      </c>
    </row>
    <row r="1657" hidden="1" ht="26.25">
      <c r="B1657" s="64">
        <v>45874</v>
      </c>
      <c r="C1657" s="9" t="s">
        <v>1389</v>
      </c>
      <c r="D1657" s="6" t="s">
        <v>2556</v>
      </c>
      <c r="E1657" s="139" t="s">
        <v>3789</v>
      </c>
      <c r="F1657" s="6" t="s">
        <v>2226</v>
      </c>
      <c r="G1657" s="6" t="s">
        <v>2227</v>
      </c>
      <c r="H1657" s="7">
        <v>4320</v>
      </c>
      <c r="I1657" s="8">
        <f>SUMIF(Cargas!$C$6:$C$1064,C1657,Cargas!$O$6:$O$1064)</f>
        <v>4320</v>
      </c>
      <c r="J1657" s="17">
        <f t="shared" si="30"/>
        <v>0</v>
      </c>
      <c r="K1657" s="34">
        <v>1531625</v>
      </c>
      <c r="L1657" s="34">
        <v>169051</v>
      </c>
    </row>
    <row r="1658" hidden="1" ht="26.25">
      <c r="B1658" s="64">
        <v>45881</v>
      </c>
      <c r="C1658" s="9" t="s">
        <v>1395</v>
      </c>
      <c r="D1658" s="6" t="s">
        <v>2564</v>
      </c>
      <c r="E1658" s="139" t="s">
        <v>3789</v>
      </c>
      <c r="F1658" s="6" t="s">
        <v>2226</v>
      </c>
      <c r="G1658" s="6" t="s">
        <v>2227</v>
      </c>
      <c r="H1658" s="7">
        <v>3240</v>
      </c>
      <c r="I1658" s="8">
        <f>SUMIF(Cargas!$C$6:$C$1064,C1658,Cargas!$O$6:$O$1064)</f>
        <v>3240</v>
      </c>
      <c r="J1658" s="17">
        <f t="shared" si="30"/>
        <v>0</v>
      </c>
      <c r="K1658" s="34">
        <v>1532402</v>
      </c>
      <c r="L1658" s="34">
        <v>170342</v>
      </c>
    </row>
    <row r="1659" hidden="1" ht="26.25">
      <c r="B1659" s="64">
        <v>45888</v>
      </c>
      <c r="C1659" s="9" t="s">
        <v>1408</v>
      </c>
      <c r="D1659" s="6" t="s">
        <v>2579</v>
      </c>
      <c r="E1659" s="139" t="s">
        <v>3789</v>
      </c>
      <c r="F1659" s="6" t="s">
        <v>2226</v>
      </c>
      <c r="G1659" s="6" t="s">
        <v>2227</v>
      </c>
      <c r="H1659" s="7">
        <v>4320</v>
      </c>
      <c r="I1659" s="8">
        <f>SUMIF(Cargas!$C$6:$C$1064,C1659,Cargas!$O$6:$O$1064)</f>
        <v>4320</v>
      </c>
      <c r="J1659" s="17">
        <f t="shared" si="30"/>
        <v>0</v>
      </c>
      <c r="K1659" s="34">
        <v>1532991</v>
      </c>
      <c r="L1659" s="34">
        <v>177259</v>
      </c>
    </row>
    <row r="1660" hidden="1" ht="26.25">
      <c r="B1660" s="64">
        <v>45895</v>
      </c>
      <c r="C1660" s="9" t="s">
        <v>1418</v>
      </c>
      <c r="D1660" s="6" t="s">
        <v>2592</v>
      </c>
      <c r="E1660" s="139" t="s">
        <v>3789</v>
      </c>
      <c r="F1660" s="6" t="s">
        <v>2226</v>
      </c>
      <c r="G1660" s="6" t="s">
        <v>2227</v>
      </c>
      <c r="H1660" s="7">
        <v>4320</v>
      </c>
      <c r="I1660" s="8">
        <f>SUMIF(Cargas!$C$6:$C$1064,C1660,Cargas!$O$6:$O$1064)</f>
        <v>4320</v>
      </c>
      <c r="J1660" s="17">
        <f t="shared" si="30"/>
        <v>0</v>
      </c>
      <c r="K1660" s="34">
        <v>1533585</v>
      </c>
      <c r="L1660" s="34">
        <v>180924</v>
      </c>
    </row>
    <row r="1661" hidden="1">
      <c r="B1661" s="64">
        <v>45895</v>
      </c>
      <c r="C1661" s="9" t="s">
        <v>1424</v>
      </c>
      <c r="D1661" s="6" t="s">
        <v>2655</v>
      </c>
      <c r="E1661" s="6" t="s">
        <v>2225</v>
      </c>
      <c r="F1661" s="6" t="s">
        <v>2226</v>
      </c>
      <c r="G1661" s="6" t="s">
        <v>2227</v>
      </c>
      <c r="H1661" s="7">
        <v>1680</v>
      </c>
      <c r="I1661" s="8">
        <f>SUMIF(Cargas!$C$6:$C$1064,C1661,Cargas!$O$6:$O$1064)</f>
        <v>1680</v>
      </c>
      <c r="J1661" s="17">
        <f t="shared" si="30"/>
        <v>0</v>
      </c>
      <c r="K1661" s="34">
        <v>1533587</v>
      </c>
      <c r="L1661" s="34">
        <v>180863</v>
      </c>
    </row>
    <row r="1662" hidden="1">
      <c r="B1662" s="64">
        <v>45907</v>
      </c>
      <c r="C1662" s="9" t="s">
        <v>1452</v>
      </c>
      <c r="D1662" s="6" t="s">
        <v>2676</v>
      </c>
      <c r="E1662" s="6" t="s">
        <v>2225</v>
      </c>
      <c r="F1662" s="6" t="s">
        <v>2226</v>
      </c>
      <c r="G1662" s="6" t="s">
        <v>2227</v>
      </c>
      <c r="H1662" s="7">
        <v>1680</v>
      </c>
      <c r="I1662" s="8">
        <f>SUMIF(Cargas!$C$6:$C$1064,C1662,Cargas!$O$6:$O$1064)</f>
        <v>1680</v>
      </c>
      <c r="J1662" s="17">
        <f t="shared" si="30"/>
        <v>0</v>
      </c>
      <c r="K1662" s="34" t="s">
        <v>0</v>
      </c>
      <c r="L1662" s="34">
        <v>195581</v>
      </c>
    </row>
    <row r="1663" hidden="1">
      <c r="B1663" s="64">
        <v>45937</v>
      </c>
      <c r="C1663" s="9" t="s">
        <v>1512</v>
      </c>
      <c r="D1663" s="6" t="s">
        <v>3788</v>
      </c>
      <c r="E1663" s="6" t="s">
        <v>3766</v>
      </c>
      <c r="F1663" s="6" t="s">
        <v>2226</v>
      </c>
      <c r="G1663" s="6" t="s">
        <v>2227</v>
      </c>
      <c r="H1663" s="7">
        <v>1080</v>
      </c>
      <c r="I1663" s="8">
        <f>SUMIF(Cargas!$C$6:$C$1064,C1663,Cargas!$O$6:$O$1064)</f>
        <v>1080</v>
      </c>
      <c r="J1663" s="17">
        <f t="shared" si="30"/>
        <v>0</v>
      </c>
      <c r="K1663" s="34">
        <v>1532157</v>
      </c>
      <c r="L1663" s="34">
        <v>219221</v>
      </c>
    </row>
    <row r="1664" hidden="1">
      <c r="B1664" s="64">
        <v>45944</v>
      </c>
      <c r="C1664" s="9" t="s">
        <v>1527</v>
      </c>
      <c r="D1664" s="6" t="s">
        <v>3804</v>
      </c>
      <c r="E1664" s="6" t="s">
        <v>3766</v>
      </c>
      <c r="F1664" s="6" t="s">
        <v>2226</v>
      </c>
      <c r="G1664" s="6" t="s">
        <v>2227</v>
      </c>
      <c r="H1664" s="7">
        <v>1080</v>
      </c>
      <c r="I1664" s="8">
        <f>SUMIF(Cargas!$C$6:$C$1064,C1664,Cargas!$O$6:$O$1064)</f>
        <v>1080</v>
      </c>
      <c r="J1664" s="17">
        <f t="shared" si="30"/>
        <v>0</v>
      </c>
      <c r="K1664" s="34"/>
      <c r="L1664" s="34">
        <v>225840</v>
      </c>
    </row>
    <row r="1665" hidden="1">
      <c r="B1665" s="64">
        <v>45922</v>
      </c>
      <c r="C1665" s="9" t="s">
        <v>1478</v>
      </c>
      <c r="D1665" s="6" t="s">
        <v>2694</v>
      </c>
      <c r="E1665" s="6" t="s">
        <v>2225</v>
      </c>
      <c r="F1665" s="6" t="s">
        <v>2226</v>
      </c>
      <c r="G1665" s="6" t="s">
        <v>2227</v>
      </c>
      <c r="H1665" s="7">
        <v>1680</v>
      </c>
      <c r="I1665" s="8">
        <f>SUMIF(Cargas!$C$6:$C$1064,C1665,Cargas!$O$6:$O$1064)</f>
        <v>1680</v>
      </c>
      <c r="J1665" s="17">
        <f t="shared" si="30"/>
        <v>0</v>
      </c>
      <c r="K1665" s="34">
        <v>1535699</v>
      </c>
      <c r="L1665" s="34">
        <v>206024</v>
      </c>
    </row>
    <row r="1666" hidden="1" ht="26.25">
      <c r="B1666" s="64">
        <v>45901</v>
      </c>
      <c r="C1666" s="9" t="s">
        <v>1432</v>
      </c>
      <c r="D1666" s="6" t="s">
        <v>2604</v>
      </c>
      <c r="E1666" s="139" t="s">
        <v>3789</v>
      </c>
      <c r="F1666" s="6" t="s">
        <v>2226</v>
      </c>
      <c r="G1666" s="6" t="s">
        <v>2227</v>
      </c>
      <c r="H1666" s="7">
        <v>4320</v>
      </c>
      <c r="I1666" s="8">
        <f>SUMIF(Cargas!$C$6:$C$1064,C1666,Cargas!$O$6:$O$1064)</f>
        <v>4320</v>
      </c>
      <c r="J1666" s="17">
        <f t="shared" si="30"/>
        <v>0</v>
      </c>
      <c r="K1666" s="34">
        <v>1534308</v>
      </c>
      <c r="L1666" s="34">
        <v>185378</v>
      </c>
    </row>
    <row r="1667" hidden="1" ht="26.25">
      <c r="B1667" s="64">
        <v>45907</v>
      </c>
      <c r="C1667" s="9" t="s">
        <v>1455</v>
      </c>
      <c r="D1667" s="6" t="s">
        <v>2612</v>
      </c>
      <c r="E1667" s="139" t="s">
        <v>3789</v>
      </c>
      <c r="F1667" s="6" t="s">
        <v>2226</v>
      </c>
      <c r="G1667" s="6" t="s">
        <v>2227</v>
      </c>
      <c r="H1667" s="7">
        <v>4320</v>
      </c>
      <c r="I1667" s="8">
        <f>SUMIF(Cargas!$C$6:$C$1064,C1667,Cargas!$O$6:$O$1064)</f>
        <v>4320</v>
      </c>
      <c r="J1667" s="17">
        <f t="shared" si="30"/>
        <v>0</v>
      </c>
      <c r="K1667" s="34">
        <v>1534790</v>
      </c>
      <c r="L1667" s="34">
        <v>195555</v>
      </c>
    </row>
    <row r="1668" hidden="1">
      <c r="B1668" s="64">
        <v>45811</v>
      </c>
      <c r="C1668" s="9" t="s">
        <v>1310</v>
      </c>
      <c r="D1668" s="6" t="s">
        <v>2475</v>
      </c>
      <c r="E1668" s="6" t="s">
        <v>2220</v>
      </c>
      <c r="F1668" s="6" t="s">
        <v>2226</v>
      </c>
      <c r="G1668" s="6" t="s">
        <v>2227</v>
      </c>
      <c r="H1668" s="7">
        <v>1144</v>
      </c>
      <c r="I1668" s="8">
        <f>SUMIF(Cargas!$C$6:$C$1064,C1668,Cargas!$O$6:$O$1064)</f>
        <v>1144</v>
      </c>
      <c r="J1668" s="17">
        <f t="shared" si="30"/>
        <v>0</v>
      </c>
      <c r="K1668" s="34">
        <v>1523485</v>
      </c>
      <c r="L1668" s="34">
        <v>120825</v>
      </c>
    </row>
    <row r="1669" hidden="1">
      <c r="B1669" s="64">
        <v>45860</v>
      </c>
      <c r="C1669" s="9" t="s">
        <v>1363</v>
      </c>
      <c r="D1669" s="6" t="s">
        <v>2486</v>
      </c>
      <c r="E1669" s="6" t="s">
        <v>2220</v>
      </c>
      <c r="F1669" s="6" t="s">
        <v>2226</v>
      </c>
      <c r="G1669" s="6" t="s">
        <v>2227</v>
      </c>
      <c r="H1669" s="7">
        <v>1080</v>
      </c>
      <c r="I1669" s="8">
        <f>SUMIF(Cargas!$C$6:$C$1064,C1669,Cargas!$O$6:$O$1064)</f>
        <v>1080</v>
      </c>
      <c r="J1669" s="17">
        <f t="shared" si="30"/>
        <v>0</v>
      </c>
      <c r="K1669" s="34">
        <v>1530578</v>
      </c>
      <c r="L1669" s="34">
        <v>156510</v>
      </c>
    </row>
    <row r="1670" hidden="1">
      <c r="B1670" s="64">
        <v>45867</v>
      </c>
      <c r="C1670" s="9" t="s">
        <v>1370</v>
      </c>
      <c r="D1670" s="6" t="s">
        <v>2492</v>
      </c>
      <c r="E1670" s="6" t="s">
        <v>2220</v>
      </c>
      <c r="F1670" s="6" t="s">
        <v>2226</v>
      </c>
      <c r="G1670" s="6" t="s">
        <v>2227</v>
      </c>
      <c r="H1670" s="7">
        <v>2160</v>
      </c>
      <c r="I1670" s="8">
        <f>SUMIF(Cargas!$C$6:$C$1064,C1670,Cargas!$O$6:$O$1064)</f>
        <v>2160</v>
      </c>
      <c r="J1670" s="17">
        <f t="shared" si="30"/>
        <v>0</v>
      </c>
      <c r="K1670" s="34">
        <v>1531192</v>
      </c>
      <c r="L1670" s="34">
        <v>160638</v>
      </c>
    </row>
    <row r="1671" hidden="1" ht="26.25">
      <c r="B1671" s="64">
        <v>45915</v>
      </c>
      <c r="C1671" s="9" t="s">
        <v>1464</v>
      </c>
      <c r="D1671" s="6" t="s">
        <v>2622</v>
      </c>
      <c r="E1671" s="139" t="s">
        <v>3789</v>
      </c>
      <c r="F1671" s="6" t="s">
        <v>2226</v>
      </c>
      <c r="G1671" s="6" t="s">
        <v>2227</v>
      </c>
      <c r="H1671" s="7">
        <v>4320</v>
      </c>
      <c r="I1671" s="8">
        <f>SUMIF(Cargas!$C$6:$C$1064,C1671,Cargas!$O$6:$O$1064)</f>
        <v>4320</v>
      </c>
      <c r="J1671" s="17">
        <f t="shared" si="30"/>
        <v>0</v>
      </c>
      <c r="K1671" s="34">
        <v>1535698</v>
      </c>
      <c r="L1671" s="34">
        <v>200596</v>
      </c>
    </row>
    <row r="1672" hidden="1">
      <c r="B1672" s="64">
        <v>45874</v>
      </c>
      <c r="C1672" s="9" t="s">
        <v>1386</v>
      </c>
      <c r="D1672" s="6" t="s">
        <v>2500</v>
      </c>
      <c r="E1672" s="6" t="s">
        <v>2220</v>
      </c>
      <c r="F1672" s="6" t="s">
        <v>2226</v>
      </c>
      <c r="G1672" s="6" t="s">
        <v>2227</v>
      </c>
      <c r="H1672" s="7">
        <v>2192</v>
      </c>
      <c r="I1672" s="8">
        <f>SUMIF(Cargas!$C$6:$C$1064,C1672,Cargas!$O$6:$O$1064)</f>
        <v>2192</v>
      </c>
      <c r="J1672" s="17">
        <f t="shared" si="30"/>
        <v>0</v>
      </c>
      <c r="K1672" s="34">
        <v>1531626</v>
      </c>
      <c r="L1672" s="34">
        <v>169484</v>
      </c>
    </row>
    <row r="1673" hidden="1">
      <c r="B1673" s="64">
        <v>45881</v>
      </c>
      <c r="C1673" s="9" t="s">
        <v>1405</v>
      </c>
      <c r="D1673" s="6" t="s">
        <v>2502</v>
      </c>
      <c r="E1673" s="6" t="s">
        <v>2220</v>
      </c>
      <c r="F1673" s="6" t="s">
        <v>2226</v>
      </c>
      <c r="G1673" s="6" t="s">
        <v>2227</v>
      </c>
      <c r="H1673" s="7">
        <v>2192</v>
      </c>
      <c r="I1673" s="8">
        <f>SUMIF(Cargas!$C$6:$C$1064,C1673,Cargas!$O$6:$O$1064)</f>
        <v>2192</v>
      </c>
      <c r="J1673" s="17">
        <f t="shared" si="30"/>
        <v>0</v>
      </c>
      <c r="K1673" s="34">
        <v>1532468</v>
      </c>
      <c r="L1673" s="34">
        <v>171992</v>
      </c>
    </row>
    <row r="1674" hidden="1">
      <c r="B1674" s="64">
        <v>45888</v>
      </c>
      <c r="C1674" s="9" t="s">
        <v>1412</v>
      </c>
      <c r="D1674" s="6" t="s">
        <v>2508</v>
      </c>
      <c r="E1674" s="6" t="s">
        <v>2220</v>
      </c>
      <c r="F1674" s="6" t="s">
        <v>2226</v>
      </c>
      <c r="G1674" s="6" t="s">
        <v>2227</v>
      </c>
      <c r="H1674" s="7">
        <v>2192</v>
      </c>
      <c r="I1674" s="8">
        <f>SUMIF(Cargas!$C$6:$C$1064,C1674,Cargas!$O$6:$O$1064)</f>
        <v>2192</v>
      </c>
      <c r="J1674" s="17">
        <f t="shared" si="30"/>
        <v>0</v>
      </c>
      <c r="K1674" s="34">
        <v>1532992</v>
      </c>
      <c r="L1674" s="34">
        <v>177448</v>
      </c>
    </row>
    <row r="1675" hidden="1">
      <c r="B1675" s="64">
        <v>45895</v>
      </c>
      <c r="C1675" s="9" t="s">
        <v>1421</v>
      </c>
      <c r="D1675" s="6" t="s">
        <v>2514</v>
      </c>
      <c r="E1675" s="6" t="s">
        <v>2220</v>
      </c>
      <c r="F1675" s="6" t="s">
        <v>2226</v>
      </c>
      <c r="G1675" s="6" t="s">
        <v>2227</v>
      </c>
      <c r="H1675" s="7">
        <v>2192</v>
      </c>
      <c r="I1675" s="8">
        <f>SUMIF(Cargas!$C$6:$C$1064,C1675,Cargas!$O$6:$O$1064)</f>
        <v>2192</v>
      </c>
      <c r="J1675" s="17">
        <f t="shared" si="30"/>
        <v>0</v>
      </c>
      <c r="K1675" s="34">
        <v>153356</v>
      </c>
      <c r="L1675" s="34">
        <v>180895</v>
      </c>
    </row>
    <row r="1676" hidden="1" ht="26.25">
      <c r="B1676" s="64">
        <v>45922</v>
      </c>
      <c r="C1676" s="9" t="s">
        <v>1473</v>
      </c>
      <c r="D1676" s="6" t="s">
        <v>2630</v>
      </c>
      <c r="E1676" s="139" t="s">
        <v>3789</v>
      </c>
      <c r="F1676" s="6" t="s">
        <v>2226</v>
      </c>
      <c r="G1676" s="6" t="s">
        <v>2227</v>
      </c>
      <c r="H1676" s="7">
        <v>4320</v>
      </c>
      <c r="I1676" s="8">
        <f>SUMIF(Cargas!$C$6:$C$1064,C1676,Cargas!$O$6:$O$1064)</f>
        <v>4320</v>
      </c>
      <c r="J1676" s="17">
        <f t="shared" si="30"/>
        <v>0</v>
      </c>
      <c r="K1676" s="34">
        <v>1536452</v>
      </c>
      <c r="L1676" s="34">
        <v>204775</v>
      </c>
    </row>
    <row r="1677" hidden="1" ht="26.25">
      <c r="B1677" s="64">
        <v>45929</v>
      </c>
      <c r="C1677" s="9" t="s">
        <v>1489</v>
      </c>
      <c r="D1677" s="6" t="s">
        <v>2632</v>
      </c>
      <c r="E1677" s="139" t="s">
        <v>3789</v>
      </c>
      <c r="F1677" s="6" t="s">
        <v>2226</v>
      </c>
      <c r="G1677" s="6" t="s">
        <v>2227</v>
      </c>
      <c r="H1677" s="7">
        <v>4320</v>
      </c>
      <c r="I1677" s="8">
        <f>SUMIF(Cargas!$C$6:$C$1064,C1677,Cargas!$O$6:$O$1064)</f>
        <v>4320</v>
      </c>
      <c r="J1677" s="17">
        <f t="shared" si="30"/>
        <v>0</v>
      </c>
      <c r="K1677" s="34">
        <v>1537064</v>
      </c>
      <c r="L1677" s="34">
        <v>209105</v>
      </c>
    </row>
    <row r="1678" hidden="1">
      <c r="B1678" s="64">
        <v>45929</v>
      </c>
      <c r="C1678" s="9" t="s">
        <v>1498</v>
      </c>
      <c r="D1678" s="6" t="s">
        <v>3333</v>
      </c>
      <c r="E1678" s="6" t="s">
        <v>2225</v>
      </c>
      <c r="F1678" s="6" t="s">
        <v>2226</v>
      </c>
      <c r="G1678" s="6" t="s">
        <v>2227</v>
      </c>
      <c r="H1678" s="7">
        <v>1680</v>
      </c>
      <c r="I1678" s="8">
        <f>SUMIF(Cargas!$C$6:$C$1064,C1678,Cargas!$O$6:$O$1064)</f>
        <v>1680</v>
      </c>
      <c r="J1678" s="17">
        <f t="shared" si="30"/>
        <v>0</v>
      </c>
      <c r="K1678" s="34">
        <v>1537090</v>
      </c>
      <c r="L1678" s="34">
        <v>210420</v>
      </c>
    </row>
    <row r="1679" hidden="1">
      <c r="B1679" s="64">
        <v>45942</v>
      </c>
      <c r="C1679" s="9" t="s">
        <v>1515</v>
      </c>
      <c r="D1679" s="6" t="s">
        <v>3361</v>
      </c>
      <c r="E1679" s="6" t="s">
        <v>2225</v>
      </c>
      <c r="F1679" s="6" t="s">
        <v>2226</v>
      </c>
      <c r="G1679" s="6" t="s">
        <v>2227</v>
      </c>
      <c r="H1679" s="7">
        <v>1680</v>
      </c>
      <c r="I1679" s="8">
        <f>SUMIF(Cargas!$C$6:$C$1064,C1679,Cargas!$O$6:$O$1064)</f>
        <v>1680</v>
      </c>
      <c r="J1679" s="17">
        <f t="shared" si="30"/>
        <v>0</v>
      </c>
      <c r="K1679" s="34">
        <v>1538491</v>
      </c>
      <c r="L1679" s="34">
        <v>220068</v>
      </c>
    </row>
    <row r="1680" hidden="1">
      <c r="B1680" s="64">
        <v>46014</v>
      </c>
      <c r="C1680" s="9" t="s">
        <v>1736</v>
      </c>
      <c r="D1680" s="6" t="s">
        <v>3985</v>
      </c>
      <c r="E1680" s="6" t="s">
        <v>2225</v>
      </c>
      <c r="F1680" s="6" t="s">
        <v>2226</v>
      </c>
      <c r="G1680" s="6" t="s">
        <v>2227</v>
      </c>
      <c r="H1680" s="7">
        <v>1680</v>
      </c>
      <c r="I1680" s="8">
        <f>SUMIF(Cargas!$C$6:$C$1064,C1680,Cargas!$O$6:$O$1064)</f>
        <v>1680</v>
      </c>
      <c r="J1680" s="17">
        <f t="shared" si="30"/>
        <v>0</v>
      </c>
      <c r="K1680" s="34">
        <v>1545305</v>
      </c>
      <c r="L1680" s="34">
        <v>4162</v>
      </c>
    </row>
    <row r="1681" hidden="1">
      <c r="B1681" s="64">
        <v>45948</v>
      </c>
      <c r="C1681" s="9" t="s">
        <v>1526</v>
      </c>
      <c r="D1681" s="6" t="s">
        <v>2985</v>
      </c>
      <c r="E1681" s="6" t="s">
        <v>2225</v>
      </c>
      <c r="F1681" s="6" t="s">
        <v>2226</v>
      </c>
      <c r="G1681" s="6" t="s">
        <v>2227</v>
      </c>
      <c r="H1681" s="7">
        <v>1680</v>
      </c>
      <c r="I1681" s="8">
        <f>SUMIF(Cargas!$C$6:$C$1064,C1681,Cargas!$O$6:$O$1064)</f>
        <v>1680</v>
      </c>
      <c r="J1681" s="17">
        <f t="shared" si="30"/>
        <v>0</v>
      </c>
      <c r="K1681" s="34">
        <v>1538491</v>
      </c>
      <c r="L1681" s="34">
        <v>225728</v>
      </c>
    </row>
    <row r="1682" hidden="1">
      <c r="B1682" s="64">
        <v>45955</v>
      </c>
      <c r="C1682" s="9" t="s">
        <v>1546</v>
      </c>
      <c r="D1682" s="6" t="s">
        <v>3030</v>
      </c>
      <c r="E1682" s="6" t="s">
        <v>2225</v>
      </c>
      <c r="F1682" s="6" t="s">
        <v>2226</v>
      </c>
      <c r="G1682" s="6" t="s">
        <v>2227</v>
      </c>
      <c r="H1682" s="7">
        <v>1680</v>
      </c>
      <c r="I1682" s="8">
        <f>SUMIF(Cargas!$C$6:$C$1064,C1682,Cargas!$O$6:$O$1064)</f>
        <v>1680</v>
      </c>
      <c r="J1682" s="17">
        <f t="shared" si="30"/>
        <v>0</v>
      </c>
      <c r="K1682" s="34">
        <v>1539922</v>
      </c>
      <c r="L1682" s="34">
        <v>233259</v>
      </c>
    </row>
    <row r="1683" hidden="1">
      <c r="B1683" s="64"/>
      <c r="C1683" s="9" t="s">
        <v>3986</v>
      </c>
      <c r="D1683" s="6" t="s">
        <v>2244</v>
      </c>
      <c r="E1683" s="6" t="s">
        <v>2778</v>
      </c>
      <c r="F1683" s="6" t="s">
        <v>2226</v>
      </c>
      <c r="G1683" s="6"/>
      <c r="H1683" s="7">
        <v>1080</v>
      </c>
      <c r="I1683" s="8">
        <f>SUMIF(Cargas!$C$6:$C$1064,C1683,Cargas!$O$6:$O$1064)</f>
        <v>0</v>
      </c>
      <c r="J1683" s="17">
        <f t="shared" si="30"/>
        <v>1080</v>
      </c>
      <c r="K1683" s="34" t="s">
        <v>3987</v>
      </c>
      <c r="L1683" s="34" t="s">
        <v>29</v>
      </c>
    </row>
    <row r="1684" hidden="1">
      <c r="B1684" s="64"/>
      <c r="C1684" s="9" t="s">
        <v>3988</v>
      </c>
      <c r="D1684" s="6" t="s">
        <v>3117</v>
      </c>
      <c r="E1684" s="6" t="s">
        <v>2778</v>
      </c>
      <c r="F1684" s="6" t="s">
        <v>2226</v>
      </c>
      <c r="G1684" s="6"/>
      <c r="H1684" s="7">
        <v>1080</v>
      </c>
      <c r="I1684" s="8">
        <f>SUMIF(Cargas!$C$6:$C$1064,C1684,Cargas!$O$6:$O$1064)</f>
        <v>0</v>
      </c>
      <c r="J1684" s="17">
        <f t="shared" si="30"/>
        <v>1080</v>
      </c>
      <c r="K1684" s="34" t="s">
        <v>3989</v>
      </c>
      <c r="L1684" s="34" t="s">
        <v>29</v>
      </c>
    </row>
    <row r="1685" hidden="1" ht="26.25">
      <c r="B1685" s="64">
        <v>45936</v>
      </c>
      <c r="C1685" s="9" t="s">
        <v>1502</v>
      </c>
      <c r="D1685" s="6" t="s">
        <v>2647</v>
      </c>
      <c r="E1685" s="139" t="s">
        <v>3789</v>
      </c>
      <c r="F1685" s="6" t="s">
        <v>2226</v>
      </c>
      <c r="G1685" s="6" t="s">
        <v>2227</v>
      </c>
      <c r="H1685" s="7">
        <v>4320</v>
      </c>
      <c r="I1685" s="8">
        <f>SUMIF(Cargas!$C$6:$C$1064,C1685,Cargas!$O$6:$O$1064)</f>
        <v>4320</v>
      </c>
      <c r="J1685" s="17">
        <f t="shared" si="30"/>
        <v>0</v>
      </c>
      <c r="K1685" s="34">
        <v>1537820</v>
      </c>
      <c r="L1685" s="34">
        <v>214606</v>
      </c>
    </row>
    <row r="1686" hidden="1" ht="26.25">
      <c r="B1686" s="64">
        <v>45942</v>
      </c>
      <c r="C1686" s="9" t="s">
        <v>1509</v>
      </c>
      <c r="D1686" s="6" t="s">
        <v>2657</v>
      </c>
      <c r="E1686" s="139" t="s">
        <v>3789</v>
      </c>
      <c r="F1686" s="6" t="s">
        <v>2226</v>
      </c>
      <c r="G1686" s="6" t="s">
        <v>2227</v>
      </c>
      <c r="H1686" s="7">
        <v>4320</v>
      </c>
      <c r="I1686" s="8">
        <f>SUMIF(Cargas!$C$6:$C$1064,C1686,Cargas!$O$6:$O$1064)</f>
        <v>4320</v>
      </c>
      <c r="J1686" s="17">
        <f t="shared" si="30"/>
        <v>0</v>
      </c>
      <c r="K1686" s="34">
        <v>1538500</v>
      </c>
      <c r="L1686" s="34">
        <v>216819</v>
      </c>
    </row>
    <row r="1687" hidden="1" ht="26.25">
      <c r="B1687" s="64">
        <v>45948</v>
      </c>
      <c r="C1687" s="9" t="s">
        <v>1522</v>
      </c>
      <c r="D1687" s="6" t="s">
        <v>2665</v>
      </c>
      <c r="E1687" s="139" t="s">
        <v>3789</v>
      </c>
      <c r="F1687" s="6" t="s">
        <v>2226</v>
      </c>
      <c r="G1687" s="6" t="s">
        <v>2227</v>
      </c>
      <c r="H1687" s="7">
        <v>4320</v>
      </c>
      <c r="I1687" s="8">
        <f>SUMIF(Cargas!$C$6:$C$1064,C1687,Cargas!$O$6:$O$1064)</f>
        <v>4320</v>
      </c>
      <c r="J1687" s="17">
        <f t="shared" si="30"/>
        <v>0</v>
      </c>
      <c r="K1687" s="34">
        <v>1539401</v>
      </c>
      <c r="L1687" s="34">
        <v>225736</v>
      </c>
    </row>
    <row r="1688" hidden="1">
      <c r="B1688" s="64">
        <v>45901</v>
      </c>
      <c r="C1688" s="9" t="s">
        <v>1435</v>
      </c>
      <c r="D1688" s="6" t="s">
        <v>2520</v>
      </c>
      <c r="E1688" s="6" t="s">
        <v>2220</v>
      </c>
      <c r="F1688" s="6" t="s">
        <v>2226</v>
      </c>
      <c r="G1688" s="6" t="s">
        <v>2227</v>
      </c>
      <c r="H1688" s="7">
        <v>2192</v>
      </c>
      <c r="I1688" s="8">
        <f>SUMIF(Cargas!$C$6:$C$1064,C1688,Cargas!$O$6:$O$1064)</f>
        <v>2160</v>
      </c>
      <c r="J1688" s="17">
        <f t="shared" si="30"/>
        <v>32</v>
      </c>
      <c r="K1688" s="34">
        <v>1534314</v>
      </c>
      <c r="L1688" s="34">
        <v>185301</v>
      </c>
    </row>
    <row r="1689" hidden="1">
      <c r="B1689" s="64">
        <v>45907</v>
      </c>
      <c r="C1689" s="9" t="s">
        <v>1457</v>
      </c>
      <c r="D1689" s="6" t="s">
        <v>2524</v>
      </c>
      <c r="E1689" s="6" t="s">
        <v>2220</v>
      </c>
      <c r="F1689" s="6" t="s">
        <v>2226</v>
      </c>
      <c r="G1689" s="6" t="s">
        <v>2227</v>
      </c>
      <c r="H1689" s="7">
        <v>2192</v>
      </c>
      <c r="I1689" s="8">
        <f>SUMIF(Cargas!$C$6:$C$1064,C1689,Cargas!$O$6:$O$1064)</f>
        <v>2192</v>
      </c>
      <c r="J1689" s="17">
        <f t="shared" si="30"/>
        <v>0</v>
      </c>
      <c r="K1689" s="34">
        <v>1534790</v>
      </c>
      <c r="L1689" s="34">
        <v>195596</v>
      </c>
    </row>
    <row r="1690" hidden="1">
      <c r="B1690" s="64">
        <v>45765</v>
      </c>
      <c r="C1690" s="9" t="s">
        <v>1237</v>
      </c>
      <c r="D1690" s="6" t="s">
        <v>3680</v>
      </c>
      <c r="E1690" s="6" t="s">
        <v>3990</v>
      </c>
      <c r="F1690" s="6" t="s">
        <v>2226</v>
      </c>
      <c r="G1690" s="6" t="s">
        <v>2227</v>
      </c>
      <c r="H1690" s="7">
        <v>7800</v>
      </c>
      <c r="I1690" s="8">
        <f>SUMIF(Cargas!$C$6:$C$1064,C1690,Cargas!$O$6:$O$1064)</f>
        <v>7800</v>
      </c>
      <c r="J1690" s="17">
        <f t="shared" si="30"/>
        <v>0</v>
      </c>
      <c r="K1690" s="34">
        <v>1521238</v>
      </c>
      <c r="L1690" s="34">
        <v>80574</v>
      </c>
    </row>
    <row r="1691" hidden="1">
      <c r="B1691" s="64">
        <v>45793</v>
      </c>
      <c r="C1691" s="9" t="s">
        <v>1268</v>
      </c>
      <c r="D1691" s="6" t="s">
        <v>3682</v>
      </c>
      <c r="E1691" s="6" t="s">
        <v>3990</v>
      </c>
      <c r="F1691" s="6" t="s">
        <v>2226</v>
      </c>
      <c r="G1691" s="6" t="s">
        <v>2227</v>
      </c>
      <c r="H1691" s="7">
        <v>7800</v>
      </c>
      <c r="I1691" s="8">
        <f>SUMIF(Cargas!$C$6:$C$1064,C1691,Cargas!$O$6:$O$1064)</f>
        <v>7800</v>
      </c>
      <c r="J1691" s="17">
        <f t="shared" si="30"/>
        <v>0</v>
      </c>
      <c r="K1691" s="34">
        <v>1523816</v>
      </c>
      <c r="L1691" s="34">
        <v>102820</v>
      </c>
    </row>
    <row r="1692" hidden="1">
      <c r="B1692" s="64">
        <v>45734</v>
      </c>
      <c r="C1692" s="9" t="s">
        <v>1159</v>
      </c>
      <c r="D1692" s="6" t="s">
        <v>3460</v>
      </c>
      <c r="E1692" s="6" t="s">
        <v>2916</v>
      </c>
      <c r="F1692" s="6" t="s">
        <v>2226</v>
      </c>
      <c r="G1692" s="6" t="s">
        <v>2227</v>
      </c>
      <c r="H1692" s="7">
        <v>1920</v>
      </c>
      <c r="I1692" s="8">
        <f>SUMIF(Cargas!$C$6:$C$1064,C1692,Cargas!$O$6:$O$1064)</f>
        <v>1920</v>
      </c>
      <c r="J1692" s="17">
        <f t="shared" si="30"/>
        <v>0</v>
      </c>
      <c r="K1692" s="34">
        <v>1519150</v>
      </c>
      <c r="L1692" s="34" t="s">
        <v>29</v>
      </c>
    </row>
    <row r="1693" hidden="1">
      <c r="B1693" s="64">
        <v>45745</v>
      </c>
      <c r="C1693" s="9" t="s">
        <v>1187</v>
      </c>
      <c r="D1693" s="6" t="s">
        <v>3002</v>
      </c>
      <c r="E1693" s="6" t="s">
        <v>2916</v>
      </c>
      <c r="F1693" s="6" t="s">
        <v>2226</v>
      </c>
      <c r="G1693" s="6" t="s">
        <v>2227</v>
      </c>
      <c r="H1693" s="7">
        <v>1920</v>
      </c>
      <c r="I1693" s="8">
        <f>SUMIF(Cargas!$C$6:$C$1064,C1693,Cargas!$O$6:$O$1064)</f>
        <v>1920</v>
      </c>
      <c r="J1693" s="17">
        <f t="shared" si="30"/>
        <v>0</v>
      </c>
      <c r="K1693" s="34"/>
      <c r="L1693" s="34">
        <v>69366</v>
      </c>
    </row>
    <row r="1694" hidden="1">
      <c r="B1694" s="64">
        <v>45752</v>
      </c>
      <c r="C1694" s="9" t="s">
        <v>1205</v>
      </c>
      <c r="D1694" s="6" t="s">
        <v>3991</v>
      </c>
      <c r="E1694" s="6" t="s">
        <v>2871</v>
      </c>
      <c r="F1694" s="6" t="s">
        <v>2226</v>
      </c>
      <c r="G1694" s="6" t="s">
        <v>2227</v>
      </c>
      <c r="H1694" s="7">
        <v>1920</v>
      </c>
      <c r="I1694" s="8">
        <f>SUMIF(Cargas!$C$6:$C$1064,C1694,Cargas!$O$6:$O$1064)</f>
        <v>1920</v>
      </c>
      <c r="J1694" s="17">
        <f t="shared" si="30"/>
        <v>0</v>
      </c>
      <c r="K1694" s="34"/>
      <c r="L1694" s="34">
        <v>74354</v>
      </c>
    </row>
    <row r="1695" hidden="1">
      <c r="B1695" s="64">
        <v>45752</v>
      </c>
      <c r="C1695" s="9" t="s">
        <v>1208</v>
      </c>
      <c r="D1695" s="6" t="s">
        <v>3992</v>
      </c>
      <c r="E1695" s="6" t="s">
        <v>2871</v>
      </c>
      <c r="F1695" s="6" t="s">
        <v>2226</v>
      </c>
      <c r="G1695" s="6" t="s">
        <v>2227</v>
      </c>
      <c r="H1695" s="7">
        <v>1920</v>
      </c>
      <c r="I1695" s="8">
        <f>SUMIF(Cargas!$C$6:$C$1064,C1695,Cargas!$O$6:$O$1064)</f>
        <v>1920</v>
      </c>
      <c r="J1695" s="17">
        <f t="shared" si="30"/>
        <v>0</v>
      </c>
      <c r="K1695" s="34"/>
      <c r="L1695" s="34">
        <v>74802</v>
      </c>
    </row>
    <row r="1696" hidden="1">
      <c r="B1696" s="64">
        <v>45754</v>
      </c>
      <c r="C1696" s="9" t="s">
        <v>1225</v>
      </c>
      <c r="D1696" s="6" t="s">
        <v>3993</v>
      </c>
      <c r="E1696" s="6" t="s">
        <v>2871</v>
      </c>
      <c r="F1696" s="6" t="s">
        <v>2226</v>
      </c>
      <c r="G1696" s="6" t="s">
        <v>2227</v>
      </c>
      <c r="H1696" s="7">
        <v>1920</v>
      </c>
      <c r="I1696" s="8">
        <f>SUMIF(Cargas!$C$6:$C$1064,C1696,Cargas!$O$6:$O$1064)</f>
        <v>1920</v>
      </c>
      <c r="J1696" s="17">
        <f t="shared" si="30"/>
        <v>0</v>
      </c>
      <c r="K1696" s="34"/>
      <c r="L1696" s="34">
        <v>76005</v>
      </c>
    </row>
    <row r="1697" hidden="1">
      <c r="B1697" s="64">
        <v>45754</v>
      </c>
      <c r="C1697" s="9" t="s">
        <v>1227</v>
      </c>
      <c r="D1697" s="6" t="s">
        <v>3994</v>
      </c>
      <c r="E1697" s="6" t="s">
        <v>2871</v>
      </c>
      <c r="F1697" s="6" t="s">
        <v>2226</v>
      </c>
      <c r="G1697" s="6" t="s">
        <v>2227</v>
      </c>
      <c r="H1697" s="7">
        <v>1920</v>
      </c>
      <c r="I1697" s="8">
        <f>SUMIF(Cargas!$C$6:$C$1064,C1697,Cargas!$O$6:$O$1064)</f>
        <v>1920</v>
      </c>
      <c r="J1697" s="17">
        <f t="shared" si="30"/>
        <v>0</v>
      </c>
      <c r="K1697" s="34"/>
      <c r="L1697" s="34">
        <v>76009</v>
      </c>
    </row>
    <row r="1698" hidden="1">
      <c r="B1698" s="64">
        <v>45787</v>
      </c>
      <c r="C1698" s="9" t="s">
        <v>1273</v>
      </c>
      <c r="D1698" s="6" t="s">
        <v>3995</v>
      </c>
      <c r="E1698" s="6" t="s">
        <v>2916</v>
      </c>
      <c r="F1698" s="6" t="s">
        <v>2226</v>
      </c>
      <c r="G1698" s="6" t="s">
        <v>2227</v>
      </c>
      <c r="H1698" s="7">
        <v>1920</v>
      </c>
      <c r="I1698" s="8">
        <f>SUMIF(Cargas!$C$6:$C$1064,C1698,Cargas!$O$6:$O$1064)</f>
        <v>1920</v>
      </c>
      <c r="J1698" s="17">
        <f t="shared" si="30"/>
        <v>0</v>
      </c>
      <c r="K1698" s="34"/>
      <c r="L1698" s="34">
        <v>103116</v>
      </c>
    </row>
    <row r="1699" hidden="1">
      <c r="B1699" s="64">
        <v>45831</v>
      </c>
      <c r="C1699" s="9" t="s">
        <v>1320</v>
      </c>
      <c r="D1699" s="6" t="s">
        <v>3996</v>
      </c>
      <c r="E1699" s="6" t="s">
        <v>3997</v>
      </c>
      <c r="F1699" s="6" t="s">
        <v>3901</v>
      </c>
      <c r="G1699" s="6" t="s">
        <v>2222</v>
      </c>
      <c r="H1699" s="7">
        <v>100</v>
      </c>
      <c r="I1699" s="8">
        <f>SUMIF(Cargas!$C$6:$C$1064,C1699,Cargas!$O$6:$O$1064)</f>
        <v>100</v>
      </c>
      <c r="J1699" s="17">
        <f t="shared" si="30"/>
        <v>0</v>
      </c>
      <c r="K1699" s="34"/>
      <c r="L1699" s="34">
        <v>1245670</v>
      </c>
    </row>
    <row r="1700" hidden="1" ht="15.75">
      <c r="B1700" s="64">
        <v>45834</v>
      </c>
      <c r="C1700" s="9" t="s">
        <v>1355</v>
      </c>
      <c r="D1700" s="6" t="s">
        <v>3111</v>
      </c>
      <c r="E1700" s="6" t="s">
        <v>3998</v>
      </c>
      <c r="F1700" s="6" t="s">
        <v>3999</v>
      </c>
      <c r="G1700" s="6" t="s">
        <v>2222</v>
      </c>
      <c r="H1700" s="7">
        <v>2324</v>
      </c>
      <c r="I1700" s="8">
        <f>SUMIF(Cargas!$C$6:$C$1064,C1700,Cargas!$O$6:$O$1064)</f>
        <v>2324</v>
      </c>
      <c r="J1700" s="17">
        <f t="shared" si="30"/>
        <v>0</v>
      </c>
      <c r="K1700" s="34"/>
      <c r="L1700" s="119">
        <v>146740</v>
      </c>
    </row>
    <row r="1701" hidden="1">
      <c r="B1701" s="64">
        <v>45915</v>
      </c>
      <c r="C1701" s="9" t="s">
        <v>1466</v>
      </c>
      <c r="D1701" s="6" t="s">
        <v>2530</v>
      </c>
      <c r="E1701" s="6" t="s">
        <v>2220</v>
      </c>
      <c r="F1701" s="6" t="s">
        <v>2226</v>
      </c>
      <c r="G1701" s="6" t="s">
        <v>2227</v>
      </c>
      <c r="H1701" s="7">
        <v>2192</v>
      </c>
      <c r="I1701" s="8">
        <v>2192</v>
      </c>
      <c r="J1701" s="17">
        <f t="shared" si="30"/>
        <v>0</v>
      </c>
      <c r="K1701" s="34">
        <v>1535697</v>
      </c>
      <c r="L1701" s="34">
        <v>200639</v>
      </c>
    </row>
    <row r="1702" hidden="1" ht="15.75">
      <c r="B1702" s="64">
        <v>45873</v>
      </c>
      <c r="C1702" s="9" t="s">
        <v>1397</v>
      </c>
      <c r="D1702" s="6" t="s">
        <v>3457</v>
      </c>
      <c r="E1702" s="6" t="s">
        <v>3998</v>
      </c>
      <c r="F1702" s="6" t="s">
        <v>3999</v>
      </c>
      <c r="G1702" s="6" t="s">
        <v>2222</v>
      </c>
      <c r="H1702" s="7">
        <v>2324</v>
      </c>
      <c r="I1702" s="8">
        <f>SUMIF(Cargas!$C$6:$C$1064,C1702,Cargas!$O$6:$O$1064)</f>
        <v>2324</v>
      </c>
      <c r="J1702" s="17">
        <f t="shared" si="30"/>
        <v>0</v>
      </c>
      <c r="K1702" s="34"/>
      <c r="L1702" s="119" t="s">
        <v>29</v>
      </c>
    </row>
    <row r="1703" hidden="1">
      <c r="B1703" s="64">
        <v>45922</v>
      </c>
      <c r="C1703" s="9" t="s">
        <v>1476</v>
      </c>
      <c r="D1703" s="6" t="s">
        <v>2532</v>
      </c>
      <c r="E1703" s="6" t="s">
        <v>2220</v>
      </c>
      <c r="F1703" s="6" t="s">
        <v>2226</v>
      </c>
      <c r="G1703" s="6" t="s">
        <v>2227</v>
      </c>
      <c r="H1703" s="7">
        <v>1112</v>
      </c>
      <c r="I1703" s="8">
        <f>SUMIF(Cargas!$C$6:$C$1064,C1703,Cargas!$O$6:$O$1064)</f>
        <v>1112</v>
      </c>
      <c r="J1703" s="17">
        <f t="shared" si="30"/>
        <v>0</v>
      </c>
      <c r="K1703" s="34">
        <v>1536455</v>
      </c>
      <c r="L1703" s="34">
        <v>205068</v>
      </c>
    </row>
    <row r="1704" hidden="1">
      <c r="B1704" s="64">
        <v>45922</v>
      </c>
      <c r="C1704" s="9" t="s">
        <v>1474</v>
      </c>
      <c r="D1704" s="6" t="s">
        <v>2528</v>
      </c>
      <c r="E1704" s="6" t="s">
        <v>2220</v>
      </c>
      <c r="F1704" s="6" t="s">
        <v>2226</v>
      </c>
      <c r="G1704" s="6" t="s">
        <v>2227</v>
      </c>
      <c r="H1704" s="7">
        <v>2160</v>
      </c>
      <c r="I1704" s="8">
        <f>SUMIF(Cargas!$C$6:$C$1064,C1704,Cargas!$O$6:$O$1064)</f>
        <v>2160</v>
      </c>
      <c r="J1704" s="17">
        <f t="shared" si="30"/>
        <v>0</v>
      </c>
      <c r="K1704" s="34">
        <v>1536453</v>
      </c>
      <c r="L1704" s="34">
        <v>205957</v>
      </c>
    </row>
    <row r="1705" hidden="1">
      <c r="B1705" s="64">
        <v>45929</v>
      </c>
      <c r="C1705" s="9" t="s">
        <v>1494</v>
      </c>
      <c r="D1705" s="6" t="s">
        <v>2542</v>
      </c>
      <c r="E1705" s="6" t="s">
        <v>2220</v>
      </c>
      <c r="F1705" s="6" t="s">
        <v>2226</v>
      </c>
      <c r="G1705" s="6" t="s">
        <v>2227</v>
      </c>
      <c r="H1705" s="7">
        <v>1112</v>
      </c>
      <c r="I1705" s="8">
        <f>SUMIF(Cargas!$C$6:$C$1064,C1705,Cargas!$O$6:$O$1064)</f>
        <v>1112</v>
      </c>
      <c r="J1705" s="17">
        <f t="shared" si="30"/>
        <v>0</v>
      </c>
      <c r="K1705" s="34">
        <v>1537084</v>
      </c>
      <c r="L1705" s="34">
        <v>210306</v>
      </c>
    </row>
    <row r="1706" hidden="1">
      <c r="B1706" s="64">
        <v>45929</v>
      </c>
      <c r="C1706" s="9" t="s">
        <v>1496</v>
      </c>
      <c r="D1706" s="6" t="s">
        <v>2550</v>
      </c>
      <c r="E1706" s="6" t="s">
        <v>2220</v>
      </c>
      <c r="F1706" s="6" t="s">
        <v>2226</v>
      </c>
      <c r="G1706" s="6" t="s">
        <v>2227</v>
      </c>
      <c r="H1706" s="7">
        <v>2160</v>
      </c>
      <c r="I1706" s="8">
        <f>SUMIF(Cargas!$C$6:$C$1064,C1706,Cargas!$O$6:$O$1064)</f>
        <v>2160</v>
      </c>
      <c r="J1706" s="17">
        <f ref="J1706:J1771" t="shared" si="31">IF(ABS(H1706-I1706)&lt;20,0,H1706-I1706)</f>
        <v>0</v>
      </c>
      <c r="K1706" s="34">
        <v>1537063</v>
      </c>
      <c r="L1706" s="34">
        <v>210340</v>
      </c>
    </row>
    <row r="1707" hidden="1" ht="26.25">
      <c r="B1707" s="64">
        <v>45955</v>
      </c>
      <c r="C1707" s="9" t="s">
        <v>1536</v>
      </c>
      <c r="D1707" s="6" t="s">
        <v>2678</v>
      </c>
      <c r="E1707" s="139" t="s">
        <v>3789</v>
      </c>
      <c r="F1707" s="6" t="s">
        <v>2226</v>
      </c>
      <c r="G1707" s="6" t="s">
        <v>2227</v>
      </c>
      <c r="H1707" s="7">
        <v>4320</v>
      </c>
      <c r="I1707" s="8">
        <f>SUMIF(Cargas!$C$6:$C$1064,C1707,Cargas!$O$6:$O$1064)</f>
        <v>4320</v>
      </c>
      <c r="J1707" s="17">
        <f t="shared" si="31"/>
        <v>0</v>
      </c>
      <c r="K1707" s="34">
        <v>1539927</v>
      </c>
      <c r="L1707" s="34">
        <v>230766</v>
      </c>
    </row>
    <row r="1708" hidden="1" ht="26.25">
      <c r="B1708" s="64">
        <v>45955</v>
      </c>
      <c r="C1708" s="9" t="s">
        <v>1540</v>
      </c>
      <c r="D1708" s="6" t="s">
        <v>2688</v>
      </c>
      <c r="E1708" s="139" t="s">
        <v>3789</v>
      </c>
      <c r="F1708" s="6" t="s">
        <v>2226</v>
      </c>
      <c r="G1708" s="6" t="s">
        <v>2227</v>
      </c>
      <c r="H1708" s="7">
        <v>1080</v>
      </c>
      <c r="I1708" s="8">
        <f>SUMIF(Cargas!$C$6:$C$1064,C1708,Cargas!$O$6:$O$1064)</f>
        <v>1080</v>
      </c>
      <c r="J1708" s="17">
        <f t="shared" si="31"/>
        <v>0</v>
      </c>
      <c r="K1708" s="34">
        <v>1539926</v>
      </c>
      <c r="L1708" s="34">
        <v>232381</v>
      </c>
    </row>
    <row r="1709" hidden="1">
      <c r="B1709" s="64">
        <v>45965</v>
      </c>
      <c r="C1709" s="9" t="s">
        <v>1564</v>
      </c>
      <c r="D1709" s="6" t="s">
        <v>3365</v>
      </c>
      <c r="E1709" s="6" t="s">
        <v>2225</v>
      </c>
      <c r="F1709" s="6" t="s">
        <v>2226</v>
      </c>
      <c r="G1709" s="6" t="s">
        <v>2227</v>
      </c>
      <c r="H1709" s="7">
        <v>1680</v>
      </c>
      <c r="I1709" s="8">
        <f>SUMIF(Cargas!$C$6:$C$1064,C1709,Cargas!$O$6:$O$1064)</f>
        <v>1680</v>
      </c>
      <c r="J1709" s="17">
        <f t="shared" si="31"/>
        <v>0</v>
      </c>
      <c r="K1709" s="34">
        <v>1540640</v>
      </c>
      <c r="L1709" s="34">
        <v>237933</v>
      </c>
    </row>
    <row r="1710" hidden="1">
      <c r="B1710" s="64">
        <v>45972</v>
      </c>
      <c r="C1710" s="9" t="s">
        <v>1600</v>
      </c>
      <c r="D1710" s="6" t="s">
        <v>3829</v>
      </c>
      <c r="E1710" s="6" t="s">
        <v>2225</v>
      </c>
      <c r="F1710" s="6" t="s">
        <v>2226</v>
      </c>
      <c r="G1710" s="6" t="s">
        <v>2227</v>
      </c>
      <c r="H1710" s="7">
        <v>1680</v>
      </c>
      <c r="I1710" s="8">
        <f>SUMIF(Cargas!$C$6:$C$1064,C1710,Cargas!$O$6:$O$1064)</f>
        <v>1680</v>
      </c>
      <c r="J1710" s="17">
        <f t="shared" si="31"/>
        <v>0</v>
      </c>
      <c r="K1710" s="34">
        <v>1541234</v>
      </c>
      <c r="L1710" s="34">
        <v>243558</v>
      </c>
    </row>
    <row r="1711" hidden="1">
      <c r="B1711" s="64">
        <v>46021</v>
      </c>
      <c r="C1711" s="9" t="s">
        <v>1748</v>
      </c>
      <c r="D1711" s="6" t="s">
        <v>4000</v>
      </c>
      <c r="E1711" s="6" t="s">
        <v>2225</v>
      </c>
      <c r="F1711" s="6" t="s">
        <v>2226</v>
      </c>
      <c r="G1711" s="6" t="s">
        <v>2227</v>
      </c>
      <c r="H1711" s="7">
        <v>1680</v>
      </c>
      <c r="I1711" s="8">
        <f>SUMIF(Cargas!$C$6:$C$1064,C1711,Cargas!$O$6:$O$1064)</f>
        <v>1680</v>
      </c>
      <c r="J1711" s="17">
        <f t="shared" si="31"/>
        <v>0</v>
      </c>
      <c r="K1711" s="34">
        <v>1546119</v>
      </c>
      <c r="L1711" s="34">
        <v>8509</v>
      </c>
    </row>
    <row r="1712" hidden="1">
      <c r="B1712" s="64">
        <v>45979</v>
      </c>
      <c r="C1712" s="9" t="s">
        <v>1618</v>
      </c>
      <c r="D1712" s="6" t="s">
        <v>3871</v>
      </c>
      <c r="E1712" s="6" t="s">
        <v>2225</v>
      </c>
      <c r="F1712" s="6" t="s">
        <v>2226</v>
      </c>
      <c r="G1712" s="6" t="s">
        <v>2227</v>
      </c>
      <c r="H1712" s="7">
        <v>1680</v>
      </c>
      <c r="I1712" s="8">
        <f>SUMIF(Cargas!$C$6:$C$1064,C1712,Cargas!$O$6:$O$1064)</f>
        <v>1680</v>
      </c>
      <c r="J1712" s="17">
        <f t="shared" si="31"/>
        <v>0</v>
      </c>
      <c r="K1712" s="34">
        <v>1540862</v>
      </c>
      <c r="L1712" s="34">
        <v>248448</v>
      </c>
    </row>
    <row r="1713" hidden="1">
      <c r="B1713" s="64">
        <v>45986</v>
      </c>
      <c r="C1713" s="9" t="s">
        <v>1661</v>
      </c>
      <c r="D1713" s="6" t="s">
        <v>3872</v>
      </c>
      <c r="E1713" s="6" t="s">
        <v>2225</v>
      </c>
      <c r="F1713" s="6" t="s">
        <v>2226</v>
      </c>
      <c r="G1713" s="6" t="s">
        <v>2227</v>
      </c>
      <c r="H1713" s="7">
        <v>1680</v>
      </c>
      <c r="I1713" s="8">
        <f>SUMIF(Cargas!$C$6:$C$1064,C1713,Cargas!$O$6:$O$1064)</f>
        <v>1680</v>
      </c>
      <c r="J1713" s="17">
        <f t="shared" si="31"/>
        <v>0</v>
      </c>
      <c r="K1713" s="34">
        <v>1542693</v>
      </c>
      <c r="L1713" s="34">
        <v>255355</v>
      </c>
    </row>
    <row r="1714" hidden="1">
      <c r="B1714" s="64">
        <v>46070</v>
      </c>
      <c r="C1714" s="9" t="s">
        <v>1868</v>
      </c>
      <c r="D1714" s="6" t="s">
        <v>4001</v>
      </c>
      <c r="E1714" s="6" t="s">
        <v>2225</v>
      </c>
      <c r="F1714" s="6" t="s">
        <v>2226</v>
      </c>
      <c r="G1714" s="6" t="s">
        <v>2227</v>
      </c>
      <c r="H1714" s="7">
        <v>1680</v>
      </c>
      <c r="I1714" s="8">
        <f>SUMIF(Cargas!$C$6:$C$1064,C1714,Cargas!$O$6:$O$1064)</f>
        <v>1680</v>
      </c>
      <c r="J1714" s="17">
        <f t="shared" si="31"/>
        <v>0</v>
      </c>
      <c r="K1714" s="34">
        <v>1550490</v>
      </c>
      <c r="L1714" s="34">
        <v>47630</v>
      </c>
    </row>
    <row r="1715" hidden="1">
      <c r="B1715" s="64">
        <v>46170</v>
      </c>
      <c r="C1715" s="9" t="s">
        <v>2029</v>
      </c>
      <c r="D1715" s="6" t="s">
        <v>4002</v>
      </c>
      <c r="E1715" s="6" t="s">
        <v>3498</v>
      </c>
      <c r="F1715" s="6" t="s">
        <v>978</v>
      </c>
      <c r="G1715" s="6" t="s">
        <v>3870</v>
      </c>
      <c r="H1715" s="7">
        <v>1050</v>
      </c>
      <c r="I1715" s="8">
        <f>SUMIF(Cargas!$C$6:$C$1064,C1715,Cargas!$O$6:$O$1064)</f>
        <v>1050</v>
      </c>
      <c r="J1715" s="17">
        <f t="shared" si="31"/>
        <v>0</v>
      </c>
      <c r="K1715" s="34">
        <v>1559205</v>
      </c>
      <c r="L1715" s="34">
        <v>116474</v>
      </c>
    </row>
    <row r="1716" hidden="1">
      <c r="B1716" s="64">
        <v>46181</v>
      </c>
      <c r="C1716" s="9" t="s">
        <v>2044</v>
      </c>
      <c r="D1716" s="6" t="s">
        <v>4003</v>
      </c>
      <c r="E1716" s="6" t="s">
        <v>3498</v>
      </c>
      <c r="F1716" s="6" t="s">
        <v>978</v>
      </c>
      <c r="G1716" s="6" t="s">
        <v>4004</v>
      </c>
      <c r="H1716" s="7">
        <v>1050</v>
      </c>
      <c r="I1716" s="8">
        <f>SUMIF(Cargas!$C$6:$C$1064,C1716,Cargas!$O$6:$O$1064)</f>
        <v>1050</v>
      </c>
      <c r="J1716" s="17">
        <f t="shared" si="31"/>
        <v>0</v>
      </c>
      <c r="K1716" s="34">
        <v>1560372</v>
      </c>
      <c r="L1716" s="34">
        <v>127301</v>
      </c>
    </row>
    <row r="1717" hidden="1">
      <c r="B1717" s="64">
        <v>46210</v>
      </c>
      <c r="C1717" s="9" t="s">
        <v>2058</v>
      </c>
      <c r="D1717" s="6" t="s">
        <v>4005</v>
      </c>
      <c r="E1717" s="6" t="s">
        <v>3498</v>
      </c>
      <c r="F1717" s="6" t="s">
        <v>978</v>
      </c>
      <c r="G1717" s="6" t="s">
        <v>4004</v>
      </c>
      <c r="H1717" s="7">
        <v>1050</v>
      </c>
      <c r="I1717" s="8">
        <f>SUMIF(Cargas!$C$6:$C$1064,C1717,Cargas!$O$6:$O$1064)</f>
        <v>1050</v>
      </c>
      <c r="J1717" s="17">
        <f t="shared" si="31"/>
        <v>0</v>
      </c>
      <c r="K1717" s="34">
        <v>1562401</v>
      </c>
      <c r="L1717" s="34">
        <v>138580</v>
      </c>
    </row>
    <row r="1718" hidden="1">
      <c r="B1718" s="64">
        <v>46226</v>
      </c>
      <c r="C1718" s="9" t="s">
        <v>2070</v>
      </c>
      <c r="D1718" s="6" t="s">
        <v>4006</v>
      </c>
      <c r="E1718" s="6" t="s">
        <v>3498</v>
      </c>
      <c r="F1718" s="6" t="s">
        <v>978</v>
      </c>
      <c r="G1718" s="6" t="s">
        <v>4004</v>
      </c>
      <c r="H1718" s="7">
        <v>1050</v>
      </c>
      <c r="I1718" s="8">
        <f>SUMIF(Cargas!$C$6:$C$1064,C1718,Cargas!$O$6:$O$1064)</f>
        <v>1050</v>
      </c>
      <c r="J1718" s="17">
        <f t="shared" si="31"/>
        <v>0</v>
      </c>
      <c r="K1718" s="34">
        <v>1563901</v>
      </c>
      <c r="L1718" s="34">
        <v>147377</v>
      </c>
    </row>
    <row r="1719" hidden="1">
      <c r="B1719" s="64">
        <v>46230</v>
      </c>
      <c r="C1719" s="9" t="s">
        <v>2074</v>
      </c>
      <c r="D1719" s="6" t="s">
        <v>4007</v>
      </c>
      <c r="E1719" s="6" t="s">
        <v>3845</v>
      </c>
      <c r="F1719" s="6" t="s">
        <v>978</v>
      </c>
      <c r="G1719" s="6" t="s">
        <v>3870</v>
      </c>
      <c r="H1719" s="7">
        <v>1050</v>
      </c>
      <c r="I1719" s="8">
        <f>SUMIF(Cargas!$C$6:$C$1064,C1719,Cargas!$O$6:$O$1064)</f>
        <v>1050</v>
      </c>
      <c r="J1719" s="17">
        <f t="shared" si="31"/>
        <v>0</v>
      </c>
      <c r="K1719" s="34"/>
      <c r="L1719" s="34">
        <v>152021</v>
      </c>
    </row>
    <row r="1720" hidden="1">
      <c r="B1720" s="64">
        <v>46127</v>
      </c>
      <c r="C1720" s="9" t="s">
        <v>1952</v>
      </c>
      <c r="D1720" s="6" t="s">
        <v>4008</v>
      </c>
      <c r="E1720" s="6" t="s">
        <v>2377</v>
      </c>
      <c r="F1720" s="6" t="s">
        <v>2226</v>
      </c>
      <c r="G1720" s="6" t="s">
        <v>2258</v>
      </c>
      <c r="H1720" s="7">
        <v>2304</v>
      </c>
      <c r="I1720" s="8">
        <f>SUMIF(Cargas!$C$6:$C$1064,C1720,Cargas!$O$6:$O$1064)</f>
        <v>2304</v>
      </c>
      <c r="J1720" s="17">
        <f t="shared" si="31"/>
        <v>0</v>
      </c>
      <c r="K1720" s="34">
        <v>1554954</v>
      </c>
      <c r="L1720" s="34">
        <v>76331</v>
      </c>
    </row>
    <row r="1721" hidden="1">
      <c r="B1721" s="64">
        <v>46084</v>
      </c>
      <c r="C1721" s="9" t="s">
        <v>1888</v>
      </c>
      <c r="D1721" s="6" t="s">
        <v>4009</v>
      </c>
      <c r="E1721" s="6" t="s">
        <v>3789</v>
      </c>
      <c r="F1721" s="6" t="s">
        <v>2226</v>
      </c>
      <c r="G1721" s="6" t="s">
        <v>2227</v>
      </c>
      <c r="H1721" s="7">
        <v>5400</v>
      </c>
      <c r="I1721" s="8">
        <f>SUMIF(Cargas!$C$6:$C$1064,C1721,Cargas!$O$6:$O$1064)</f>
        <v>5400</v>
      </c>
      <c r="J1721" s="17">
        <f t="shared" si="31"/>
        <v>0</v>
      </c>
      <c r="K1721" s="34">
        <v>1551083</v>
      </c>
      <c r="L1721" s="34">
        <v>54955</v>
      </c>
    </row>
    <row r="1722" hidden="1">
      <c r="B1722" s="64">
        <v>46060</v>
      </c>
      <c r="C1722" s="9" t="s">
        <v>1774</v>
      </c>
      <c r="D1722" s="6" t="s">
        <v>4010</v>
      </c>
      <c r="E1722" s="6" t="s">
        <v>3789</v>
      </c>
      <c r="F1722" s="6" t="s">
        <v>2226</v>
      </c>
      <c r="G1722" s="6" t="s">
        <v>2227</v>
      </c>
      <c r="H1722" s="7">
        <v>3240</v>
      </c>
      <c r="I1722" s="8">
        <f>SUMIF(Cargas!$C$6:$C$1064,C1722,Cargas!$O$6:$O$1064)</f>
        <v>3240</v>
      </c>
      <c r="J1722" s="17">
        <f t="shared" si="31"/>
        <v>0</v>
      </c>
      <c r="K1722" s="34">
        <v>1546563</v>
      </c>
      <c r="L1722" s="34">
        <v>13646</v>
      </c>
    </row>
    <row r="1723" hidden="1">
      <c r="B1723" s="64">
        <v>46042</v>
      </c>
      <c r="C1723" s="9" t="s">
        <v>1794</v>
      </c>
      <c r="D1723" s="6" t="s">
        <v>4011</v>
      </c>
      <c r="E1723" s="6" t="s">
        <v>3789</v>
      </c>
      <c r="F1723" s="6" t="s">
        <v>2226</v>
      </c>
      <c r="G1723" s="6" t="s">
        <v>2227</v>
      </c>
      <c r="H1723" s="7">
        <v>4320</v>
      </c>
      <c r="I1723" s="8">
        <f>SUMIF(Cargas!$C$6:$C$1064,C1723,Cargas!$O$6:$O$1064)</f>
        <v>4320</v>
      </c>
      <c r="J1723" s="17">
        <f t="shared" si="31"/>
        <v>0</v>
      </c>
      <c r="K1723" s="34">
        <v>1547320</v>
      </c>
      <c r="L1723" s="34">
        <v>24289</v>
      </c>
    </row>
    <row r="1724" hidden="1">
      <c r="B1724" s="64">
        <v>46049</v>
      </c>
      <c r="C1724" s="9" t="s">
        <v>1800</v>
      </c>
      <c r="D1724" s="6" t="s">
        <v>4012</v>
      </c>
      <c r="E1724" s="6" t="s">
        <v>3789</v>
      </c>
      <c r="F1724" s="6" t="s">
        <v>2226</v>
      </c>
      <c r="G1724" s="6" t="s">
        <v>2227</v>
      </c>
      <c r="H1724" s="7">
        <v>4320</v>
      </c>
      <c r="I1724" s="8">
        <f>SUMIF(Cargas!$C$6:$C$1064,C1724,Cargas!$O$6:$O$1064)</f>
        <v>4320</v>
      </c>
      <c r="J1724" s="17">
        <f t="shared" si="31"/>
        <v>0</v>
      </c>
      <c r="K1724" s="34">
        <v>1547749</v>
      </c>
      <c r="L1724" s="34">
        <v>27662</v>
      </c>
    </row>
    <row r="1725" hidden="1">
      <c r="B1725" s="64">
        <v>46056</v>
      </c>
      <c r="C1725" s="9" t="s">
        <v>1817</v>
      </c>
      <c r="D1725" s="6" t="s">
        <v>4013</v>
      </c>
      <c r="E1725" s="6" t="s">
        <v>3789</v>
      </c>
      <c r="F1725" s="6" t="s">
        <v>2226</v>
      </c>
      <c r="G1725" s="6" t="s">
        <v>2227</v>
      </c>
      <c r="H1725" s="7">
        <v>5400</v>
      </c>
      <c r="I1725" s="8">
        <f>SUMIF(Cargas!$C$6:$C$1064,C1725,Cargas!$O$6:$O$1064)</f>
        <v>5400</v>
      </c>
      <c r="J1725" s="17">
        <f t="shared" si="31"/>
        <v>0</v>
      </c>
      <c r="K1725" s="34">
        <v>1547750</v>
      </c>
      <c r="L1725" s="34">
        <v>32107</v>
      </c>
    </row>
    <row r="1726" hidden="1">
      <c r="B1726" s="64">
        <v>46063</v>
      </c>
      <c r="C1726" s="9" t="s">
        <v>1831</v>
      </c>
      <c r="D1726" s="6" t="s">
        <v>4014</v>
      </c>
      <c r="E1726" s="6" t="s">
        <v>3789</v>
      </c>
      <c r="F1726" s="6" t="s">
        <v>2226</v>
      </c>
      <c r="G1726" s="6" t="s">
        <v>2227</v>
      </c>
      <c r="H1726" s="7">
        <v>5400</v>
      </c>
      <c r="I1726" s="8">
        <f>SUMIF(Cargas!$C$6:$C$1064,C1726,Cargas!$O$6:$O$1064)</f>
        <v>5400</v>
      </c>
      <c r="J1726" s="17">
        <f t="shared" si="31"/>
        <v>0</v>
      </c>
      <c r="K1726" s="34">
        <v>1547751</v>
      </c>
      <c r="L1726" s="34">
        <v>37684</v>
      </c>
    </row>
    <row r="1727" hidden="1">
      <c r="B1727" s="64">
        <v>46070</v>
      </c>
      <c r="C1727" s="9" t="s">
        <v>1844</v>
      </c>
      <c r="D1727" s="6" t="s">
        <v>4015</v>
      </c>
      <c r="E1727" s="6" t="s">
        <v>3789</v>
      </c>
      <c r="F1727" s="6" t="s">
        <v>2226</v>
      </c>
      <c r="G1727" s="6" t="s">
        <v>2227</v>
      </c>
      <c r="H1727" s="7">
        <v>5400</v>
      </c>
      <c r="I1727" s="8">
        <f>SUMIF(Cargas!$C$6:$C$1064,C1727,Cargas!$O$6:$O$1064)</f>
        <v>5400</v>
      </c>
      <c r="J1727" s="17">
        <f t="shared" si="31"/>
        <v>0</v>
      </c>
      <c r="K1727" s="34">
        <v>1549920</v>
      </c>
      <c r="L1727" s="34">
        <v>41081</v>
      </c>
    </row>
    <row r="1728" hidden="1">
      <c r="B1728" s="64">
        <v>45993</v>
      </c>
      <c r="C1728" s="9" t="s">
        <v>1685</v>
      </c>
      <c r="D1728" s="6" t="s">
        <v>3812</v>
      </c>
      <c r="E1728" s="6" t="s">
        <v>3789</v>
      </c>
      <c r="F1728" s="6" t="s">
        <v>2226</v>
      </c>
      <c r="G1728" s="6" t="s">
        <v>2227</v>
      </c>
      <c r="H1728" s="7">
        <v>6480</v>
      </c>
      <c r="I1728" s="8">
        <f>SUMIF(Cargas!$C$6:$C$1064,C1728,Cargas!$O$6:$O$1064)</f>
        <v>6480</v>
      </c>
      <c r="J1728" s="17">
        <f t="shared" si="31"/>
        <v>0</v>
      </c>
      <c r="K1728" s="34">
        <v>1543300</v>
      </c>
      <c r="L1728" s="34">
        <v>261791</v>
      </c>
    </row>
    <row r="1729" hidden="1">
      <c r="B1729" s="64"/>
      <c r="C1729" s="9" t="s">
        <v>4016</v>
      </c>
      <c r="D1729" s="6" t="s">
        <v>3119</v>
      </c>
      <c r="E1729" s="6" t="s">
        <v>2778</v>
      </c>
      <c r="F1729" s="6" t="s">
        <v>2226</v>
      </c>
      <c r="G1729" s="6"/>
      <c r="H1729" s="7">
        <v>2160</v>
      </c>
      <c r="I1729" s="8">
        <f>SUMIF(Cargas!$C$6:$C$1064,C1729,Cargas!$O$6:$O$1064)</f>
        <v>0</v>
      </c>
      <c r="J1729" s="17">
        <f t="shared" si="31"/>
        <v>2160</v>
      </c>
      <c r="K1729" s="34" t="s">
        <v>3894</v>
      </c>
      <c r="L1729" s="34" t="s">
        <v>29</v>
      </c>
    </row>
    <row r="1730" hidden="1">
      <c r="B1730" s="64">
        <v>46000</v>
      </c>
      <c r="C1730" s="9" t="s">
        <v>1702</v>
      </c>
      <c r="D1730" s="6" t="s">
        <v>3813</v>
      </c>
      <c r="E1730" s="6" t="s">
        <v>3789</v>
      </c>
      <c r="F1730" s="6" t="s">
        <v>2226</v>
      </c>
      <c r="G1730" s="6" t="s">
        <v>2227</v>
      </c>
      <c r="H1730" s="7">
        <v>6480</v>
      </c>
      <c r="I1730" s="8">
        <f>SUMIF(Cargas!$C$6:$C$1064,C1730,Cargas!$O$6:$O$1064)</f>
        <v>6480</v>
      </c>
      <c r="J1730" s="17">
        <f t="shared" si="31"/>
        <v>0</v>
      </c>
      <c r="K1730" s="34">
        <v>1544005</v>
      </c>
      <c r="L1730" s="34">
        <v>267255</v>
      </c>
    </row>
    <row r="1731" hidden="1" ht="26.25">
      <c r="B1731" s="64">
        <v>45965</v>
      </c>
      <c r="C1731" s="9" t="s">
        <v>1557</v>
      </c>
      <c r="D1731" s="6" t="s">
        <v>2696</v>
      </c>
      <c r="E1731" s="139" t="s">
        <v>3789</v>
      </c>
      <c r="F1731" s="6" t="s">
        <v>2226</v>
      </c>
      <c r="G1731" s="6" t="s">
        <v>2227</v>
      </c>
      <c r="H1731" s="7">
        <v>4320</v>
      </c>
      <c r="I1731" s="8">
        <f>SUMIF(Cargas!$C$6:$C$1064,C1731,Cargas!$O$6:$O$1064)</f>
        <v>4320</v>
      </c>
      <c r="J1731" s="17">
        <f t="shared" si="31"/>
        <v>0</v>
      </c>
      <c r="K1731" s="34">
        <v>1546038</v>
      </c>
      <c r="L1731" s="34">
        <v>236714</v>
      </c>
    </row>
    <row r="1732" hidden="1" ht="26.25">
      <c r="B1732" s="64">
        <v>45965</v>
      </c>
      <c r="C1732" s="9" t="s">
        <v>1569</v>
      </c>
      <c r="D1732" s="6" t="s">
        <v>3801</v>
      </c>
      <c r="E1732" s="139" t="s">
        <v>3789</v>
      </c>
      <c r="F1732" s="6" t="s">
        <v>2226</v>
      </c>
      <c r="G1732" s="6" t="s">
        <v>2227</v>
      </c>
      <c r="H1732" s="7">
        <v>1080</v>
      </c>
      <c r="I1732" s="8">
        <f>SUMIF(Cargas!$C$6:$C$1064,C1732,Cargas!$O$6:$O$1064)</f>
        <v>1080</v>
      </c>
      <c r="J1732" s="17">
        <f t="shared" si="31"/>
        <v>0</v>
      </c>
      <c r="K1732" s="34">
        <v>1540637</v>
      </c>
      <c r="L1732" s="34">
        <v>237997</v>
      </c>
    </row>
    <row r="1733" hidden="1">
      <c r="B1733" s="64">
        <v>45972</v>
      </c>
      <c r="C1733" s="9" t="s">
        <v>1593</v>
      </c>
      <c r="D1733" s="6" t="s">
        <v>4017</v>
      </c>
      <c r="E1733" s="6" t="s">
        <v>3789</v>
      </c>
      <c r="F1733" s="6" t="s">
        <v>2226</v>
      </c>
      <c r="G1733" s="6" t="s">
        <v>2227</v>
      </c>
      <c r="H1733" s="7">
        <v>4320</v>
      </c>
      <c r="I1733" s="8">
        <f>SUMIF(Cargas!$C$6:$C$1064,C1733,Cargas!$O$6:$O$1064)</f>
        <v>4320</v>
      </c>
      <c r="J1733" s="17">
        <f t="shared" si="31"/>
        <v>0</v>
      </c>
      <c r="K1733" s="34">
        <v>1541230</v>
      </c>
      <c r="L1733" s="34">
        <v>243587</v>
      </c>
    </row>
    <row r="1734" hidden="1">
      <c r="B1734" s="64">
        <v>45972</v>
      </c>
      <c r="C1734" s="9" t="s">
        <v>1605</v>
      </c>
      <c r="D1734" s="6" t="s">
        <v>4018</v>
      </c>
      <c r="E1734" s="6" t="s">
        <v>3789</v>
      </c>
      <c r="F1734" s="6" t="s">
        <v>2226</v>
      </c>
      <c r="G1734" s="6" t="s">
        <v>2227</v>
      </c>
      <c r="H1734" s="7">
        <v>1080</v>
      </c>
      <c r="I1734" s="8">
        <f>SUMIF(Cargas!$C$6:$C$1064,C1734,Cargas!$O$6:$O$1064)</f>
        <v>1080</v>
      </c>
      <c r="J1734" s="17">
        <f t="shared" si="31"/>
        <v>0</v>
      </c>
      <c r="K1734" s="34">
        <v>1541230</v>
      </c>
      <c r="L1734" s="34">
        <v>243597</v>
      </c>
    </row>
    <row r="1735" hidden="1">
      <c r="B1735" s="64">
        <v>45979</v>
      </c>
      <c r="C1735" s="9" t="s">
        <v>1628</v>
      </c>
      <c r="D1735" s="6" t="s">
        <v>3803</v>
      </c>
      <c r="E1735" s="6" t="s">
        <v>3789</v>
      </c>
      <c r="F1735" s="6" t="s">
        <v>2226</v>
      </c>
      <c r="G1735" s="6" t="s">
        <v>2227</v>
      </c>
      <c r="H1735" s="7">
        <v>6480</v>
      </c>
      <c r="I1735" s="8">
        <f>SUMIF(Cargas!$C$6:$C$1064,C1735,Cargas!$O$6:$O$1064)</f>
        <v>6480</v>
      </c>
      <c r="J1735" s="17">
        <f t="shared" si="31"/>
        <v>0</v>
      </c>
      <c r="K1735" s="34">
        <v>1541926</v>
      </c>
      <c r="L1735" s="34">
        <v>249551</v>
      </c>
    </row>
    <row r="1736" hidden="1">
      <c r="B1736" s="64">
        <v>45986</v>
      </c>
      <c r="C1736" s="9" t="s">
        <v>1663</v>
      </c>
      <c r="D1736" s="6" t="s">
        <v>3811</v>
      </c>
      <c r="E1736" s="6" t="s">
        <v>3789</v>
      </c>
      <c r="F1736" s="6" t="s">
        <v>2226</v>
      </c>
      <c r="G1736" s="6" t="s">
        <v>2227</v>
      </c>
      <c r="H1736" s="7">
        <v>6480</v>
      </c>
      <c r="I1736" s="8">
        <f>SUMIF(Cargas!$C$6:$C$1064,C1736,Cargas!$O$6:$O$1064)</f>
        <v>6480</v>
      </c>
      <c r="J1736" s="17">
        <f t="shared" si="31"/>
        <v>0</v>
      </c>
      <c r="K1736" s="34">
        <v>1542630</v>
      </c>
      <c r="L1736" s="34">
        <v>255963</v>
      </c>
    </row>
    <row r="1737" hidden="1">
      <c r="B1737" s="64">
        <v>46007</v>
      </c>
      <c r="C1737" s="9" t="s">
        <v>1723</v>
      </c>
      <c r="D1737" s="6" t="s">
        <v>3814</v>
      </c>
      <c r="E1737" s="6" t="s">
        <v>3789</v>
      </c>
      <c r="F1737" s="6" t="s">
        <v>2226</v>
      </c>
      <c r="G1737" s="6" t="s">
        <v>2227</v>
      </c>
      <c r="H1737" s="7">
        <v>6480</v>
      </c>
      <c r="I1737" s="8">
        <f>SUMIF(Cargas!$C$6:$C$1064,C1737,Cargas!$O$6:$O$1064)</f>
        <v>6480</v>
      </c>
      <c r="J1737" s="17">
        <f t="shared" si="31"/>
        <v>0</v>
      </c>
      <c r="K1737" s="34">
        <v>1544776</v>
      </c>
      <c r="L1737" s="34">
        <v>956</v>
      </c>
    </row>
    <row r="1738" hidden="1">
      <c r="B1738" s="64">
        <v>45936</v>
      </c>
      <c r="C1738" s="9" t="s">
        <v>1506</v>
      </c>
      <c r="D1738" s="6" t="s">
        <v>2554</v>
      </c>
      <c r="E1738" s="6" t="s">
        <v>2220</v>
      </c>
      <c r="F1738" s="6" t="s">
        <v>2226</v>
      </c>
      <c r="G1738" s="6" t="s">
        <v>2227</v>
      </c>
      <c r="H1738" s="7">
        <v>2192</v>
      </c>
      <c r="I1738" s="8">
        <f>SUMIF(Cargas!$C$6:$C$1064,C1738,Cargas!$O$6:$O$1064)</f>
        <v>2192</v>
      </c>
      <c r="J1738" s="17">
        <f t="shared" si="31"/>
        <v>0</v>
      </c>
      <c r="K1738" s="34">
        <v>1537063</v>
      </c>
      <c r="L1738" s="34">
        <v>214668</v>
      </c>
    </row>
    <row r="1739" hidden="1">
      <c r="B1739" s="64">
        <v>45942</v>
      </c>
      <c r="C1739" s="9" t="s">
        <v>1517</v>
      </c>
      <c r="D1739" s="6" t="s">
        <v>2562</v>
      </c>
      <c r="E1739" s="6" t="s">
        <v>2220</v>
      </c>
      <c r="F1739" s="6" t="s">
        <v>2226</v>
      </c>
      <c r="G1739" s="6" t="s">
        <v>2227</v>
      </c>
      <c r="H1739" s="7">
        <v>2160</v>
      </c>
      <c r="I1739" s="8">
        <f>SUMIF(Cargas!$C$6:$C$1064,C1739,Cargas!$O$6:$O$1064)</f>
        <v>2160</v>
      </c>
      <c r="J1739" s="17">
        <f t="shared" si="31"/>
        <v>0</v>
      </c>
      <c r="K1739" s="34">
        <v>1538498</v>
      </c>
      <c r="L1739" s="34">
        <v>220062</v>
      </c>
    </row>
    <row r="1740" hidden="1">
      <c r="B1740" s="64">
        <v>45942</v>
      </c>
      <c r="C1740" s="9" t="s">
        <v>1510</v>
      </c>
      <c r="D1740" s="6" t="s">
        <v>2566</v>
      </c>
      <c r="E1740" s="6" t="s">
        <v>2220</v>
      </c>
      <c r="F1740" s="6" t="s">
        <v>2226</v>
      </c>
      <c r="G1740" s="6" t="s">
        <v>2227</v>
      </c>
      <c r="H1740" s="7">
        <v>1112</v>
      </c>
      <c r="I1740" s="8">
        <f>SUMIF(Cargas!$C$6:$C$1064,C1740,Cargas!$O$6:$O$1064)</f>
        <v>1112</v>
      </c>
      <c r="J1740" s="17">
        <f t="shared" si="31"/>
        <v>0</v>
      </c>
      <c r="K1740" s="34">
        <v>1538594</v>
      </c>
      <c r="L1740" s="34">
        <v>216870</v>
      </c>
    </row>
    <row r="1741" hidden="1">
      <c r="B1741" s="64">
        <v>45948</v>
      </c>
      <c r="C1741" s="9" t="s">
        <v>1524</v>
      </c>
      <c r="D1741" s="6" t="s">
        <v>2575</v>
      </c>
      <c r="E1741" s="6" t="s">
        <v>2220</v>
      </c>
      <c r="F1741" s="6" t="s">
        <v>2226</v>
      </c>
      <c r="G1741" s="6" t="s">
        <v>2227</v>
      </c>
      <c r="H1741" s="7">
        <v>2160</v>
      </c>
      <c r="I1741" s="8">
        <f>SUMIF(Cargas!$C$6:$C$1064,C1741,Cargas!$O$6:$O$1064)</f>
        <v>2160</v>
      </c>
      <c r="J1741" s="17">
        <f t="shared" si="31"/>
        <v>0</v>
      </c>
      <c r="K1741" s="34">
        <v>1539402</v>
      </c>
      <c r="L1741" s="34">
        <v>225685</v>
      </c>
    </row>
    <row r="1742" hidden="1">
      <c r="B1742" s="64">
        <v>45948</v>
      </c>
      <c r="C1742" s="9" t="s">
        <v>1528</v>
      </c>
      <c r="D1742" s="6" t="s">
        <v>3169</v>
      </c>
      <c r="E1742" s="6" t="s">
        <v>2220</v>
      </c>
      <c r="F1742" s="6" t="s">
        <v>2226</v>
      </c>
      <c r="G1742" s="6" t="s">
        <v>2227</v>
      </c>
      <c r="H1742" s="7">
        <v>1112</v>
      </c>
      <c r="I1742" s="8">
        <f>SUMIF(Cargas!$C$6:$C$1064,C1742,Cargas!$O$6:$O$1064)</f>
        <v>1112</v>
      </c>
      <c r="J1742" s="17">
        <f t="shared" si="31"/>
        <v>0</v>
      </c>
      <c r="K1742" s="34">
        <v>1539403</v>
      </c>
      <c r="L1742" s="34">
        <v>225720</v>
      </c>
    </row>
    <row r="1743" hidden="1">
      <c r="B1743" s="64">
        <v>45955</v>
      </c>
      <c r="C1743" s="9" t="s">
        <v>1532</v>
      </c>
      <c r="D1743" s="6" t="s">
        <v>2600</v>
      </c>
      <c r="E1743" s="6" t="s">
        <v>2220</v>
      </c>
      <c r="F1743" s="6" t="s">
        <v>2226</v>
      </c>
      <c r="G1743" s="6" t="s">
        <v>2227</v>
      </c>
      <c r="H1743" s="7">
        <v>4320</v>
      </c>
      <c r="I1743" s="8">
        <f>SUMIF(Cargas!$C$6:$C$1064,C1743,Cargas!$O$6:$O$1064)</f>
        <v>4320</v>
      </c>
      <c r="J1743" s="17">
        <f t="shared" si="31"/>
        <v>0</v>
      </c>
      <c r="K1743" s="34">
        <v>1539925</v>
      </c>
      <c r="L1743" s="34">
        <v>229955</v>
      </c>
    </row>
    <row r="1744" hidden="1">
      <c r="B1744" s="64">
        <v>45955</v>
      </c>
      <c r="C1744" s="9" t="s">
        <v>1548</v>
      </c>
      <c r="D1744" s="6" t="s">
        <v>2610</v>
      </c>
      <c r="E1744" s="6" t="s">
        <v>2220</v>
      </c>
      <c r="F1744" s="6" t="s">
        <v>2226</v>
      </c>
      <c r="G1744" s="6" t="s">
        <v>2227</v>
      </c>
      <c r="H1744" s="7">
        <v>1112</v>
      </c>
      <c r="I1744" s="8">
        <f>SUMIF(Cargas!$C$6:$C$1064,C1744,Cargas!$O$6:$O$1064)</f>
        <v>1112</v>
      </c>
      <c r="J1744" s="17">
        <f t="shared" si="31"/>
        <v>0</v>
      </c>
      <c r="K1744" s="34">
        <v>1539924</v>
      </c>
      <c r="L1744" s="34">
        <v>233179</v>
      </c>
    </row>
    <row r="1745" hidden="1">
      <c r="B1745" s="64">
        <v>46014</v>
      </c>
      <c r="C1745" s="9" t="s">
        <v>1740</v>
      </c>
      <c r="D1745" s="6" t="s">
        <v>3815</v>
      </c>
      <c r="E1745" s="6" t="s">
        <v>3789</v>
      </c>
      <c r="F1745" s="6" t="s">
        <v>2226</v>
      </c>
      <c r="G1745" s="6" t="s">
        <v>2227</v>
      </c>
      <c r="H1745" s="7">
        <v>6480</v>
      </c>
      <c r="I1745" s="8">
        <f>SUMIF(Cargas!$C$6:$C$1064,C1745,Cargas!$O$6:$O$1064)</f>
        <v>6480</v>
      </c>
      <c r="J1745" s="17">
        <f t="shared" si="31"/>
        <v>0</v>
      </c>
      <c r="K1745" s="34">
        <v>1545302</v>
      </c>
      <c r="L1745" s="34">
        <v>5023</v>
      </c>
    </row>
    <row r="1746" hidden="1">
      <c r="B1746" s="64">
        <v>46077</v>
      </c>
      <c r="C1746" s="9" t="s">
        <v>1880</v>
      </c>
      <c r="D1746" s="6" t="s">
        <v>4019</v>
      </c>
      <c r="E1746" s="6" t="s">
        <v>3789</v>
      </c>
      <c r="F1746" s="6" t="s">
        <v>2226</v>
      </c>
      <c r="G1746" s="6" t="s">
        <v>2227</v>
      </c>
      <c r="H1746" s="7">
        <v>5400</v>
      </c>
      <c r="I1746" s="8">
        <f>SUMIF(Cargas!$C$6:$C$1064,C1746,Cargas!$O$6:$O$1064)</f>
        <v>5400</v>
      </c>
      <c r="J1746" s="17">
        <f t="shared" si="31"/>
        <v>0</v>
      </c>
      <c r="K1746" s="34">
        <v>1550433</v>
      </c>
      <c r="L1746" s="34">
        <v>49749</v>
      </c>
    </row>
    <row r="1747" hidden="1">
      <c r="B1747" s="64">
        <v>46091</v>
      </c>
      <c r="C1747" s="9" t="s">
        <v>1910</v>
      </c>
      <c r="D1747" s="6" t="s">
        <v>4020</v>
      </c>
      <c r="E1747" s="6" t="s">
        <v>3789</v>
      </c>
      <c r="F1747" s="6" t="s">
        <v>2226</v>
      </c>
      <c r="G1747" s="6" t="s">
        <v>2227</v>
      </c>
      <c r="H1747" s="7">
        <v>5400</v>
      </c>
      <c r="I1747" s="8">
        <f>SUMIF(Cargas!$C$6:$C$1064,C1747,Cargas!$O$6:$O$1064)</f>
        <v>5400</v>
      </c>
      <c r="J1747" s="17">
        <f t="shared" si="31"/>
        <v>0</v>
      </c>
      <c r="K1747" s="34">
        <v>1551625</v>
      </c>
      <c r="L1747" s="34">
        <v>59741</v>
      </c>
    </row>
    <row r="1748" hidden="1">
      <c r="B1748" s="64">
        <v>46098</v>
      </c>
      <c r="C1748" s="9" t="s">
        <v>1927</v>
      </c>
      <c r="D1748" s="6" t="s">
        <v>4021</v>
      </c>
      <c r="E1748" s="6" t="s">
        <v>3789</v>
      </c>
      <c r="F1748" s="6" t="s">
        <v>2226</v>
      </c>
      <c r="G1748" s="6" t="s">
        <v>2227</v>
      </c>
      <c r="H1748" s="7">
        <v>5400</v>
      </c>
      <c r="I1748" s="8">
        <f>SUMIF(Cargas!$C$6:$C$1064,C1748,Cargas!$O$6:$O$1064)</f>
        <v>5400</v>
      </c>
      <c r="J1748" s="17">
        <f t="shared" si="31"/>
        <v>0</v>
      </c>
      <c r="K1748" s="34">
        <v>1551625</v>
      </c>
      <c r="L1748" s="34">
        <v>64229</v>
      </c>
    </row>
    <row r="1749" hidden="1">
      <c r="B1749" s="64">
        <v>46105</v>
      </c>
      <c r="C1749" s="9" t="s">
        <v>1937</v>
      </c>
      <c r="D1749" s="6" t="s">
        <v>4022</v>
      </c>
      <c r="E1749" s="6" t="s">
        <v>3789</v>
      </c>
      <c r="F1749" s="6" t="s">
        <v>2226</v>
      </c>
      <c r="G1749" s="6" t="s">
        <v>2227</v>
      </c>
      <c r="H1749" s="7">
        <v>4320</v>
      </c>
      <c r="I1749" s="8">
        <f>SUMIF(Cargas!$C$6:$C$1064,C1749,Cargas!$O$6:$O$1064)</f>
        <v>4320</v>
      </c>
      <c r="J1749" s="17">
        <f t="shared" si="31"/>
        <v>0</v>
      </c>
      <c r="K1749" s="34">
        <v>1552706</v>
      </c>
      <c r="L1749" s="34">
        <v>70369</v>
      </c>
    </row>
    <row r="1750" hidden="1">
      <c r="B1750" s="64">
        <v>46112</v>
      </c>
      <c r="C1750" s="9" t="s">
        <v>1950</v>
      </c>
      <c r="D1750" s="6" t="s">
        <v>4023</v>
      </c>
      <c r="E1750" s="6" t="s">
        <v>3789</v>
      </c>
      <c r="F1750" s="6" t="s">
        <v>2226</v>
      </c>
      <c r="G1750" s="6" t="s">
        <v>2227</v>
      </c>
      <c r="H1750" s="7">
        <v>4320</v>
      </c>
      <c r="I1750" s="8">
        <f>SUMIF(Cargas!$C$6:$C$1064,C1750,Cargas!$O$6:$O$1064)</f>
        <v>4320</v>
      </c>
      <c r="J1750" s="17">
        <f t="shared" si="31"/>
        <v>0</v>
      </c>
      <c r="K1750" s="34">
        <v>1553506</v>
      </c>
      <c r="L1750" s="34">
        <v>75047</v>
      </c>
    </row>
    <row r="1751" hidden="1">
      <c r="B1751" s="64">
        <v>46063</v>
      </c>
      <c r="C1751" s="9" t="s">
        <v>1841</v>
      </c>
      <c r="D1751" s="6" t="s">
        <v>4024</v>
      </c>
      <c r="E1751" s="6" t="s">
        <v>3789</v>
      </c>
      <c r="F1751" s="6" t="s">
        <v>2226</v>
      </c>
      <c r="G1751" s="6" t="s">
        <v>2227</v>
      </c>
      <c r="H1751" s="7">
        <v>717</v>
      </c>
      <c r="I1751" s="8">
        <f>SUMIF(Cargas!$C$6:$C$1064,C1751,Cargas!$O$6:$O$1064)</f>
        <v>717</v>
      </c>
      <c r="J1751" s="17">
        <f t="shared" si="31"/>
        <v>0</v>
      </c>
      <c r="K1751" s="34">
        <v>1549563</v>
      </c>
      <c r="L1751" s="34">
        <v>37758</v>
      </c>
    </row>
    <row r="1752" hidden="1">
      <c r="B1752" s="64">
        <v>46049</v>
      </c>
      <c r="C1752" s="9" t="s">
        <v>1806</v>
      </c>
      <c r="D1752" s="6" t="s">
        <v>4025</v>
      </c>
      <c r="E1752" s="6" t="s">
        <v>2220</v>
      </c>
      <c r="F1752" s="6" t="s">
        <v>2226</v>
      </c>
      <c r="G1752" s="6" t="s">
        <v>2227</v>
      </c>
      <c r="H1752" s="7">
        <v>1128</v>
      </c>
      <c r="I1752" s="8">
        <f>SUMIF(Cargas!$C$6:$C$1064,C1752,Cargas!$O$6:$O$1064)</f>
        <v>1080</v>
      </c>
      <c r="J1752" s="17">
        <f t="shared" si="31"/>
        <v>48</v>
      </c>
      <c r="K1752" s="34">
        <v>1548268</v>
      </c>
      <c r="L1752" s="34">
        <v>29499</v>
      </c>
    </row>
    <row r="1753" hidden="1">
      <c r="B1753" s="64">
        <v>46056</v>
      </c>
      <c r="C1753" s="9" t="s">
        <v>1819</v>
      </c>
      <c r="D1753" s="6" t="s">
        <v>4026</v>
      </c>
      <c r="E1753" s="6" t="s">
        <v>2220</v>
      </c>
      <c r="F1753" s="6" t="s">
        <v>2226</v>
      </c>
      <c r="G1753" s="6" t="s">
        <v>2227</v>
      </c>
      <c r="H1753" s="7">
        <v>2208</v>
      </c>
      <c r="I1753" s="8">
        <f>SUMIF(Cargas!$C$6:$C$1064,C1753,Cargas!$O$6:$O$1064)</f>
        <v>2208</v>
      </c>
      <c r="J1753" s="17">
        <f t="shared" si="31"/>
        <v>0</v>
      </c>
      <c r="K1753" s="34">
        <v>1549048</v>
      </c>
      <c r="L1753" s="34">
        <v>32136</v>
      </c>
    </row>
    <row r="1754" hidden="1">
      <c r="B1754" s="64">
        <v>46063</v>
      </c>
      <c r="C1754" s="9" t="s">
        <v>1835</v>
      </c>
      <c r="D1754" s="6" t="s">
        <v>4027</v>
      </c>
      <c r="E1754" s="6" t="s">
        <v>2220</v>
      </c>
      <c r="F1754" s="6" t="s">
        <v>2226</v>
      </c>
      <c r="G1754" s="6" t="s">
        <v>2227</v>
      </c>
      <c r="H1754" s="7">
        <v>2160</v>
      </c>
      <c r="I1754" s="8">
        <f>SUMIF(Cargas!$C$6:$C$1064,C1754,Cargas!$O$6:$O$1064)</f>
        <v>2160</v>
      </c>
      <c r="J1754" s="17">
        <f t="shared" si="31"/>
        <v>0</v>
      </c>
      <c r="K1754" s="34">
        <v>1549667</v>
      </c>
      <c r="L1754" s="34">
        <v>37771</v>
      </c>
    </row>
    <row r="1755" hidden="1">
      <c r="B1755" s="64">
        <v>46142</v>
      </c>
      <c r="C1755" s="9" t="s">
        <v>1977</v>
      </c>
      <c r="D1755" s="6" t="s">
        <v>4028</v>
      </c>
      <c r="E1755" s="6" t="s">
        <v>2377</v>
      </c>
      <c r="F1755" s="6" t="s">
        <v>2226</v>
      </c>
      <c r="G1755" s="6" t="s">
        <v>2258</v>
      </c>
      <c r="H1755" s="7">
        <v>2304</v>
      </c>
      <c r="I1755" s="8">
        <f>SUMIF(Cargas!$C$6:$C$1064,C1755,Cargas!$O$6:$O$1064)</f>
        <v>2304</v>
      </c>
      <c r="J1755" s="17">
        <f t="shared" si="31"/>
        <v>0</v>
      </c>
      <c r="K1755" s="34">
        <v>1556953</v>
      </c>
      <c r="L1755" s="34">
        <v>87705</v>
      </c>
    </row>
    <row r="1756" hidden="1">
      <c r="B1756" s="64">
        <v>46233</v>
      </c>
      <c r="C1756" s="9" t="s">
        <v>2077</v>
      </c>
      <c r="D1756" s="6" t="s">
        <v>4029</v>
      </c>
      <c r="E1756" s="6" t="s">
        <v>3498</v>
      </c>
      <c r="F1756" s="6" t="s">
        <v>978</v>
      </c>
      <c r="G1756" s="6" t="s">
        <v>4004</v>
      </c>
      <c r="H1756" s="7">
        <v>1050</v>
      </c>
      <c r="I1756" s="8">
        <f>SUMIF(Cargas!$C$6:$C$1064,C1756,Cargas!$O$6:$O$1064)</f>
        <v>1050</v>
      </c>
      <c r="J1756" s="17">
        <f t="shared" si="31"/>
        <v>0</v>
      </c>
      <c r="K1756" s="34">
        <v>1564817</v>
      </c>
      <c r="L1756" s="34">
        <v>153994</v>
      </c>
    </row>
    <row r="1757">
      <c r="B1757" s="64">
        <v>46244</v>
      </c>
      <c r="C1757" s="9" t="s">
        <v>2088</v>
      </c>
      <c r="D1757" s="6" t="s">
        <v>4030</v>
      </c>
      <c r="E1757" s="6" t="s">
        <v>3845</v>
      </c>
      <c r="F1757" s="6" t="s">
        <v>978</v>
      </c>
      <c r="G1757" s="6" t="s">
        <v>3870</v>
      </c>
      <c r="H1757" s="7">
        <v>1050</v>
      </c>
      <c r="I1757" s="8">
        <f>SUMIF(Cargas!$C$6:$C$1064,C1757,Cargas!$O$6:$O$1064)</f>
        <v>1050</v>
      </c>
      <c r="J1757" s="17">
        <f t="shared" si="31"/>
        <v>0</v>
      </c>
      <c r="K1757" s="34"/>
      <c r="L1757" s="34">
        <v>164813</v>
      </c>
    </row>
    <row r="1758">
      <c r="B1758" s="64">
        <v>46244</v>
      </c>
      <c r="C1758" s="9" t="s">
        <v>2093</v>
      </c>
      <c r="D1758" s="6" t="s">
        <v>4031</v>
      </c>
      <c r="E1758" s="6" t="s">
        <v>3498</v>
      </c>
      <c r="F1758" s="6" t="s">
        <v>978</v>
      </c>
      <c r="G1758" s="6" t="s">
        <v>4004</v>
      </c>
      <c r="H1758" s="7">
        <v>1050</v>
      </c>
      <c r="I1758" s="8">
        <f>SUMIF(Cargas!$C$6:$C$1064,C1758,Cargas!$O$6:$O$1064)</f>
        <v>1050</v>
      </c>
      <c r="J1758" s="17">
        <f t="shared" si="31"/>
        <v>0</v>
      </c>
      <c r="K1758" s="34">
        <v>1565676</v>
      </c>
      <c r="L1758" s="34">
        <v>165904</v>
      </c>
    </row>
    <row r="1759">
      <c r="B1759" s="64">
        <v>46253</v>
      </c>
      <c r="C1759" s="9" t="s">
        <v>2105</v>
      </c>
      <c r="D1759" s="6" t="s">
        <v>4032</v>
      </c>
      <c r="E1759" s="6" t="s">
        <v>3845</v>
      </c>
      <c r="F1759" s="6" t="s">
        <v>978</v>
      </c>
      <c r="G1759" s="6" t="s">
        <v>3870</v>
      </c>
      <c r="H1759" s="7">
        <v>2100</v>
      </c>
      <c r="I1759" s="8">
        <f>SUMIF(Cargas!$C$6:$C$1064,C1759,Cargas!$O$6:$O$1064)</f>
        <v>2100</v>
      </c>
      <c r="J1759" s="17">
        <f t="shared" si="31"/>
        <v>0</v>
      </c>
      <c r="K1759" s="34">
        <v>1566579</v>
      </c>
      <c r="L1759" s="34">
        <v>167304</v>
      </c>
    </row>
    <row r="1760" hidden="1">
      <c r="B1760" s="64">
        <v>46157</v>
      </c>
      <c r="C1760" s="9" t="s">
        <v>2006</v>
      </c>
      <c r="D1760" s="6" t="s">
        <v>4033</v>
      </c>
      <c r="E1760" s="6" t="s">
        <v>2377</v>
      </c>
      <c r="F1760" s="6" t="s">
        <v>2226</v>
      </c>
      <c r="G1760" s="6" t="s">
        <v>382</v>
      </c>
      <c r="H1760" s="7">
        <v>2256</v>
      </c>
      <c r="I1760" s="8">
        <f>SUMIF(Cargas!$C$6:$C$1064,C1760,Cargas!$O$6:$O$1064)</f>
        <v>2256</v>
      </c>
      <c r="J1760" s="17">
        <f t="shared" si="31"/>
        <v>0</v>
      </c>
      <c r="K1760" s="34">
        <v>1558216</v>
      </c>
      <c r="L1760" s="34">
        <v>95927</v>
      </c>
    </row>
    <row r="1761" hidden="1">
      <c r="B1761" s="64">
        <v>46177</v>
      </c>
      <c r="C1761" s="9" t="s">
        <v>2027</v>
      </c>
      <c r="D1761" s="6" t="s">
        <v>4034</v>
      </c>
      <c r="E1761" s="6" t="s">
        <v>2377</v>
      </c>
      <c r="F1761" s="6" t="s">
        <v>2226</v>
      </c>
      <c r="G1761" s="6" t="s">
        <v>382</v>
      </c>
      <c r="H1761" s="7">
        <f>416+416+208+208+104+485+435</f>
        <v>2272</v>
      </c>
      <c r="I1761" s="8">
        <f>SUMIF(Cargas!$C$6:$C$1064,C1761,Cargas!$O$6:$O$1064)</f>
        <v>2272</v>
      </c>
      <c r="J1761" s="17">
        <f t="shared" si="31"/>
        <v>0</v>
      </c>
      <c r="K1761" s="34">
        <v>1559897</v>
      </c>
      <c r="L1761" s="34">
        <v>112404</v>
      </c>
    </row>
    <row r="1762">
      <c r="B1762" s="64">
        <v>46251</v>
      </c>
      <c r="C1762" s="9" t="s">
        <v>2113</v>
      </c>
      <c r="D1762" s="6" t="s">
        <v>4035</v>
      </c>
      <c r="E1762" s="6" t="s">
        <v>3498</v>
      </c>
      <c r="F1762" s="6" t="s">
        <v>978</v>
      </c>
      <c r="G1762" s="6" t="s">
        <v>4004</v>
      </c>
      <c r="H1762" s="7">
        <v>1050</v>
      </c>
      <c r="I1762" s="8">
        <f>SUMIF(Cargas!$C$6:$C$1064,C1762,Cargas!$O$6:$O$1064)</f>
        <v>1050</v>
      </c>
      <c r="J1762" s="17">
        <f t="shared" si="31"/>
        <v>0</v>
      </c>
      <c r="K1762" s="34">
        <v>1566770</v>
      </c>
      <c r="L1762" s="34">
        <v>173621</v>
      </c>
    </row>
    <row r="1763">
      <c r="B1763" s="64">
        <v>46270</v>
      </c>
      <c r="C1763" s="9" t="s">
        <v>2145</v>
      </c>
      <c r="D1763" s="6" t="s">
        <v>4036</v>
      </c>
      <c r="E1763" s="6" t="s">
        <v>3498</v>
      </c>
      <c r="F1763" s="6" t="s">
        <v>978</v>
      </c>
      <c r="G1763" s="6" t="s">
        <v>4004</v>
      </c>
      <c r="H1763" s="7">
        <v>1050</v>
      </c>
      <c r="I1763" s="8">
        <f>SUMIF(Cargas!$C$6:$C$1064,C1763,Cargas!$O$6:$O$1064)</f>
        <v>1050</v>
      </c>
      <c r="J1763" s="17">
        <f t="shared" si="31"/>
        <v>0</v>
      </c>
      <c r="K1763" s="34">
        <v>1569113</v>
      </c>
      <c r="L1763" s="34">
        <v>179847</v>
      </c>
    </row>
    <row r="1764" hidden="1">
      <c r="B1764" s="64">
        <v>46206</v>
      </c>
      <c r="C1764" s="9" t="s">
        <v>2050</v>
      </c>
      <c r="D1764" s="6" t="s">
        <v>4037</v>
      </c>
      <c r="E1764" s="6" t="s">
        <v>2377</v>
      </c>
      <c r="F1764" s="6" t="s">
        <v>2226</v>
      </c>
      <c r="G1764" s="6" t="s">
        <v>382</v>
      </c>
      <c r="H1764" s="7">
        <f>104+312+208+936+728</f>
        <v>2288</v>
      </c>
      <c r="I1764" s="8">
        <v>2288</v>
      </c>
      <c r="J1764" s="17">
        <f t="shared" si="31"/>
        <v>0</v>
      </c>
      <c r="K1764" s="34">
        <v>1562171</v>
      </c>
      <c r="L1764" s="34">
        <v>132696</v>
      </c>
    </row>
    <row r="1765">
      <c r="B1765" s="64">
        <v>46275</v>
      </c>
      <c r="C1765" s="9" t="s">
        <v>2153</v>
      </c>
      <c r="D1765" s="6" t="s">
        <v>4038</v>
      </c>
      <c r="E1765" s="6" t="s">
        <v>3498</v>
      </c>
      <c r="F1765" s="6" t="s">
        <v>978</v>
      </c>
      <c r="G1765" s="6" t="s">
        <v>4004</v>
      </c>
      <c r="H1765" s="7">
        <v>1050</v>
      </c>
      <c r="I1765" s="8">
        <f>SUMIF(Cargas!$C$6:$C$1064,C1765,Cargas!$O$6:$O$1064)</f>
        <v>1050</v>
      </c>
      <c r="J1765" s="17">
        <f t="shared" si="31"/>
        <v>0</v>
      </c>
      <c r="K1765" s="34">
        <v>1569196</v>
      </c>
      <c r="L1765" s="34">
        <v>183893</v>
      </c>
    </row>
    <row r="1766">
      <c r="B1766" s="64">
        <v>46281</v>
      </c>
      <c r="C1766" s="9" t="s">
        <v>2168</v>
      </c>
      <c r="D1766" s="6" t="s">
        <v>4039</v>
      </c>
      <c r="E1766" s="6" t="s">
        <v>3498</v>
      </c>
      <c r="F1766" s="6" t="s">
        <v>978</v>
      </c>
      <c r="G1766" s="6" t="s">
        <v>4004</v>
      </c>
      <c r="H1766" s="7">
        <v>1050</v>
      </c>
      <c r="I1766" s="8">
        <f>SUMIF(Cargas!$C$6:$C$1064,C1766,Cargas!$O$6:$O$1064)</f>
        <v>1050</v>
      </c>
      <c r="J1766" s="17">
        <f t="shared" si="31"/>
        <v>0</v>
      </c>
      <c r="K1766" s="34">
        <v>1570467</v>
      </c>
      <c r="L1766" s="34">
        <v>190077</v>
      </c>
    </row>
    <row r="1767">
      <c r="B1767" s="64">
        <v>46287</v>
      </c>
      <c r="C1767" s="9" t="s">
        <v>2179</v>
      </c>
      <c r="D1767" s="6" t="s">
        <v>4040</v>
      </c>
      <c r="E1767" s="6" t="s">
        <v>3498</v>
      </c>
      <c r="F1767" s="6" t="s">
        <v>978</v>
      </c>
      <c r="G1767" s="6" t="s">
        <v>4004</v>
      </c>
      <c r="H1767" s="7">
        <v>1050</v>
      </c>
      <c r="I1767" s="8">
        <f>SUMIF(Cargas!$C$6:$C$1064,C1767,Cargas!$O$6:$O$1064)</f>
        <v>1050</v>
      </c>
      <c r="J1767" s="17">
        <f t="shared" si="31"/>
        <v>0</v>
      </c>
      <c r="K1767" s="34">
        <v>1571082</v>
      </c>
      <c r="L1767" s="34">
        <v>196241</v>
      </c>
    </row>
    <row r="1768">
      <c r="B1768" s="64">
        <v>46294</v>
      </c>
      <c r="C1768" s="9" t="s">
        <v>2186</v>
      </c>
      <c r="D1768" s="6" t="s">
        <v>4041</v>
      </c>
      <c r="E1768" s="6" t="s">
        <v>3498</v>
      </c>
      <c r="F1768" s="6" t="s">
        <v>978</v>
      </c>
      <c r="G1768" s="6" t="s">
        <v>4004</v>
      </c>
      <c r="H1768" s="7">
        <v>1050</v>
      </c>
      <c r="I1768" s="8">
        <f>SUMIF(Cargas!$C$6:$C$1064,C1768,Cargas!$O$6:$O$1064)</f>
        <v>1050</v>
      </c>
      <c r="J1768" s="17">
        <f>IF(ABS(H1768-I1768)&lt;20,0,H1768-I1768)</f>
        <v>0</v>
      </c>
      <c r="K1768" s="34">
        <v>1571751</v>
      </c>
      <c r="L1768" s="34" t="s">
        <v>29</v>
      </c>
    </row>
    <row r="1769">
      <c r="B1769" s="64">
        <v>46237</v>
      </c>
      <c r="C1769" s="9" t="s">
        <v>2084</v>
      </c>
      <c r="D1769" s="6" t="s">
        <v>4042</v>
      </c>
      <c r="E1769" s="6" t="s">
        <v>2377</v>
      </c>
      <c r="F1769" s="6" t="s">
        <v>2226</v>
      </c>
      <c r="G1769" s="6" t="s">
        <v>3493</v>
      </c>
      <c r="H1769" s="7">
        <f>240+600+208+832+415</f>
        <v>2295</v>
      </c>
      <c r="I1769" s="8">
        <f>SUMIF(Cargas!$C$6:$C$1064,C1769,Cargas!$O$6:$O$1064)</f>
        <v>2295</v>
      </c>
      <c r="J1769" s="17">
        <f t="shared" si="31"/>
        <v>0</v>
      </c>
      <c r="K1769" s="34">
        <v>1564798</v>
      </c>
      <c r="L1769" s="34">
        <v>160520</v>
      </c>
    </row>
    <row r="1770">
      <c r="B1770" s="64">
        <v>46258</v>
      </c>
      <c r="C1770" s="9" t="s">
        <v>2118</v>
      </c>
      <c r="D1770" s="6" t="s">
        <v>4043</v>
      </c>
      <c r="E1770" s="6" t="s">
        <v>2377</v>
      </c>
      <c r="F1770" s="6" t="s">
        <v>2226</v>
      </c>
      <c r="G1770" s="6" t="s">
        <v>4044</v>
      </c>
      <c r="H1770" s="7">
        <f>208+208+1144+728</f>
        <v>2288</v>
      </c>
      <c r="I1770" s="8">
        <f>SUMIF(Cargas!$C$6:$C$1064,C1770,Cargas!$O$6:$O$1064)</f>
        <v>2288</v>
      </c>
      <c r="J1770" s="17">
        <f t="shared" si="31"/>
        <v>0</v>
      </c>
      <c r="K1770" s="34">
        <v>1566982</v>
      </c>
      <c r="L1770" s="34">
        <v>174381</v>
      </c>
    </row>
    <row r="1771">
      <c r="B1771" s="64">
        <v>46266</v>
      </c>
      <c r="C1771" s="9" t="s">
        <v>2133</v>
      </c>
      <c r="D1771" s="6" t="s">
        <v>4045</v>
      </c>
      <c r="E1771" s="6" t="s">
        <v>2377</v>
      </c>
      <c r="F1771" s="6" t="s">
        <v>2226</v>
      </c>
      <c r="G1771" s="6" t="s">
        <v>4044</v>
      </c>
      <c r="H1771" s="7">
        <f>104+312+469+1073+330</f>
        <v>2288</v>
      </c>
      <c r="I1771" s="8">
        <f>SUMIF(Cargas!$C$6:$C$1064,C1771,Cargas!$O$6:$O$1064)</f>
        <v>2288</v>
      </c>
      <c r="J1771" s="17">
        <f t="shared" si="31"/>
        <v>0</v>
      </c>
      <c r="K1771" s="34">
        <v>1566982</v>
      </c>
      <c r="L1771" s="34">
        <v>177553</v>
      </c>
    </row>
    <row r="1772">
      <c r="B1772" s="64">
        <v>46276</v>
      </c>
      <c r="C1772" s="9" t="s">
        <v>2150</v>
      </c>
      <c r="D1772" s="6" t="s">
        <v>4046</v>
      </c>
      <c r="E1772" s="6" t="s">
        <v>2377</v>
      </c>
      <c r="F1772" s="6" t="s">
        <v>2226</v>
      </c>
      <c r="G1772" s="6" t="s">
        <v>3420</v>
      </c>
      <c r="H1772" s="7">
        <f>120+104+69+120+219+208+389+547+440</f>
        <v>2216</v>
      </c>
      <c r="I1772" s="8">
        <f>SUMIF(Cargas!$C$6:$C$1064,C1772,Cargas!$O$6:$O$1064)</f>
        <v>2216</v>
      </c>
      <c r="J1772" s="17">
        <f ref="J1772:J1837" t="shared" si="33">IF(ABS(H1772-I1772)&lt;20,0,H1772-I1772)</f>
        <v>0</v>
      </c>
      <c r="K1772" s="34">
        <v>1569761</v>
      </c>
      <c r="L1772" s="34">
        <v>181607</v>
      </c>
    </row>
    <row r="1773">
      <c r="B1773" s="64">
        <v>46245</v>
      </c>
      <c r="C1773" s="9" t="s">
        <v>2086</v>
      </c>
      <c r="D1773" s="6" t="s">
        <v>4047</v>
      </c>
      <c r="E1773" s="6" t="s">
        <v>4048</v>
      </c>
      <c r="F1773" s="6" t="s">
        <v>2226</v>
      </c>
      <c r="G1773" s="6" t="s">
        <v>382</v>
      </c>
      <c r="H1773" s="7">
        <v>2024</v>
      </c>
      <c r="I1773" s="8">
        <f>SUMIF(Cargas!$C$6:$C$1064,C1773,Cargas!$O$6:$O$1064)</f>
        <v>2024</v>
      </c>
      <c r="J1773" s="17">
        <f t="shared" si="33"/>
        <v>0</v>
      </c>
      <c r="K1773" s="34">
        <v>1565473</v>
      </c>
      <c r="L1773" s="34">
        <v>164854</v>
      </c>
    </row>
    <row r="1774">
      <c r="B1774" s="64">
        <v>46272</v>
      </c>
      <c r="C1774" s="9" t="s">
        <v>2147</v>
      </c>
      <c r="D1774" s="6" t="s">
        <v>4049</v>
      </c>
      <c r="E1774" s="6" t="s">
        <v>4048</v>
      </c>
      <c r="F1774" s="6" t="s">
        <v>2226</v>
      </c>
      <c r="G1774" s="6" t="s">
        <v>382</v>
      </c>
      <c r="H1774" s="7">
        <f>352+968+792</f>
        <v>2112</v>
      </c>
      <c r="I1774" s="8">
        <f>SUMIF(Cargas!$C$6:$C$1064,C1774,Cargas!$O$6:$O$1064)</f>
        <v>2112</v>
      </c>
      <c r="J1774" s="17">
        <f t="shared" si="33"/>
        <v>0</v>
      </c>
      <c r="K1774" s="34">
        <v>1568570</v>
      </c>
      <c r="L1774" s="34">
        <v>179912</v>
      </c>
    </row>
    <row r="1775" hidden="1">
      <c r="B1775" s="64">
        <v>46146</v>
      </c>
      <c r="C1775" s="9" t="s">
        <v>2008</v>
      </c>
      <c r="D1775" s="6" t="s">
        <v>4050</v>
      </c>
      <c r="E1775" s="6" t="s">
        <v>2225</v>
      </c>
      <c r="F1775" s="6" t="s">
        <v>2226</v>
      </c>
      <c r="G1775" s="6" t="s">
        <v>2227</v>
      </c>
      <c r="H1775" s="7">
        <v>1680</v>
      </c>
      <c r="I1775" s="8">
        <f>SUMIF(Cargas!$C$6:$C$1064,C1775,Cargas!$O$6:$O$1064)</f>
        <v>1680</v>
      </c>
      <c r="J1775" s="17">
        <f t="shared" si="33"/>
        <v>0</v>
      </c>
      <c r="K1775" s="34">
        <v>1556835</v>
      </c>
      <c r="L1775" s="34">
        <v>98385</v>
      </c>
    </row>
    <row r="1776" hidden="1">
      <c r="B1776" s="64">
        <v>46119</v>
      </c>
      <c r="C1776" s="9" t="s">
        <v>1959</v>
      </c>
      <c r="D1776" s="6" t="s">
        <v>4051</v>
      </c>
      <c r="E1776" s="6" t="s">
        <v>2225</v>
      </c>
      <c r="F1776" s="6" t="s">
        <v>2226</v>
      </c>
      <c r="G1776" s="6" t="s">
        <v>2227</v>
      </c>
      <c r="H1776" s="7">
        <v>1680</v>
      </c>
      <c r="I1776" s="8">
        <f>SUMIF(Cargas!$C$6:$C$1064,C1776,Cargas!$O$6:$O$1064)</f>
        <v>1680</v>
      </c>
      <c r="J1776" s="17">
        <f t="shared" si="33"/>
        <v>0</v>
      </c>
      <c r="K1776" s="34">
        <v>1554006</v>
      </c>
      <c r="L1776" s="34">
        <v>808877</v>
      </c>
    </row>
    <row r="1777" hidden="1">
      <c r="B1777" s="64">
        <v>46133</v>
      </c>
      <c r="C1777" s="9" t="s">
        <v>2002</v>
      </c>
      <c r="D1777" s="6" t="s">
        <v>4052</v>
      </c>
      <c r="E1777" s="6" t="s">
        <v>2225</v>
      </c>
      <c r="F1777" s="6" t="s">
        <v>2226</v>
      </c>
      <c r="G1777" s="6" t="s">
        <v>2227</v>
      </c>
      <c r="H1777" s="7">
        <v>1680</v>
      </c>
      <c r="I1777" s="8">
        <f>SUMIF(Cargas!$C$6:$C$1064,C1777,Cargas!$O$6:$O$1064)</f>
        <v>1680</v>
      </c>
      <c r="J1777" s="17">
        <f t="shared" si="33"/>
        <v>0</v>
      </c>
      <c r="K1777" s="34">
        <v>1555301</v>
      </c>
      <c r="L1777" s="34">
        <v>94893</v>
      </c>
    </row>
    <row r="1778" hidden="1">
      <c r="B1778" s="64">
        <v>46174</v>
      </c>
      <c r="C1778" s="9" t="s">
        <v>2037</v>
      </c>
      <c r="D1778" s="6" t="s">
        <v>4053</v>
      </c>
      <c r="E1778" s="6" t="s">
        <v>2225</v>
      </c>
      <c r="F1778" s="6" t="s">
        <v>2226</v>
      </c>
      <c r="G1778" s="6" t="s">
        <v>2227</v>
      </c>
      <c r="H1778" s="7">
        <v>1680</v>
      </c>
      <c r="I1778" s="8">
        <f>SUMIF(Cargas!$C$6:$C$1064,C1778,Cargas!$O$6:$O$1064)</f>
        <v>1680</v>
      </c>
      <c r="J1778" s="17">
        <f t="shared" si="33"/>
        <v>0</v>
      </c>
      <c r="K1778" s="34">
        <v>1559175</v>
      </c>
      <c r="L1778" s="34">
        <v>120687</v>
      </c>
    </row>
    <row r="1779" hidden="1">
      <c r="B1779" s="64">
        <v>46194</v>
      </c>
      <c r="C1779" s="9" t="s">
        <v>2056</v>
      </c>
      <c r="D1779" s="6" t="s">
        <v>4054</v>
      </c>
      <c r="E1779" s="6" t="s">
        <v>2225</v>
      </c>
      <c r="F1779" s="6" t="s">
        <v>2226</v>
      </c>
      <c r="G1779" s="6" t="s">
        <v>2227</v>
      </c>
      <c r="H1779" s="7">
        <v>1680</v>
      </c>
      <c r="I1779" s="8">
        <f>SUMIF(Cargas!$C$6:$C$1064,C1779,Cargas!$O$6:$O$1064)</f>
        <v>1680</v>
      </c>
      <c r="J1779" s="17">
        <f t="shared" si="33"/>
        <v>0</v>
      </c>
      <c r="K1779" s="34">
        <v>1560768</v>
      </c>
      <c r="L1779" s="34">
        <v>134058</v>
      </c>
    </row>
    <row r="1780" hidden="1">
      <c r="B1780" s="64">
        <v>46208</v>
      </c>
      <c r="C1780" s="9" t="s">
        <v>2067</v>
      </c>
      <c r="D1780" s="6" t="s">
        <v>4055</v>
      </c>
      <c r="E1780" s="6" t="s">
        <v>2225</v>
      </c>
      <c r="F1780" s="6" t="s">
        <v>2226</v>
      </c>
      <c r="G1780" s="6" t="s">
        <v>2227</v>
      </c>
      <c r="H1780" s="7">
        <v>1680</v>
      </c>
      <c r="I1780" s="8">
        <f>SUMIF(Cargas!$C$6:$C$1064,C1780,Cargas!$O$6:$O$1064)</f>
        <v>1680</v>
      </c>
      <c r="J1780" s="17">
        <f t="shared" si="33"/>
        <v>0</v>
      </c>
      <c r="K1780" s="34">
        <v>1561863</v>
      </c>
      <c r="L1780" s="34">
        <v>148524</v>
      </c>
    </row>
    <row r="1781" hidden="1">
      <c r="B1781" s="64">
        <v>46119</v>
      </c>
      <c r="C1781" s="9" t="s">
        <v>1963</v>
      </c>
      <c r="D1781" s="6" t="s">
        <v>4056</v>
      </c>
      <c r="E1781" s="6" t="s">
        <v>3789</v>
      </c>
      <c r="F1781" s="6" t="s">
        <v>2226</v>
      </c>
      <c r="G1781" s="6" t="s">
        <v>2227</v>
      </c>
      <c r="H1781" s="7">
        <v>5400</v>
      </c>
      <c r="I1781" s="8">
        <f>SUMIF(Cargas!$C$6:$C$1064,C1781,Cargas!$O$6:$O$1064)</f>
        <v>5400</v>
      </c>
      <c r="J1781" s="17">
        <f t="shared" si="33"/>
        <v>0</v>
      </c>
      <c r="K1781" s="34">
        <v>1554032</v>
      </c>
      <c r="L1781" s="34">
        <v>80738</v>
      </c>
    </row>
    <row r="1782" hidden="1">
      <c r="B1782" s="64">
        <v>46126</v>
      </c>
      <c r="C1782" s="9" t="s">
        <v>1973</v>
      </c>
      <c r="D1782" s="6" t="s">
        <v>4057</v>
      </c>
      <c r="E1782" s="6" t="s">
        <v>3789</v>
      </c>
      <c r="F1782" s="6" t="s">
        <v>2226</v>
      </c>
      <c r="G1782" s="6" t="s">
        <v>2227</v>
      </c>
      <c r="H1782" s="7">
        <v>5400</v>
      </c>
      <c r="I1782" s="8">
        <f>SUMIF(Cargas!$C$6:$C$1064,C1782,Cargas!$O$6:$O$1064)</f>
        <v>5400</v>
      </c>
      <c r="J1782" s="17">
        <f t="shared" si="33"/>
        <v>0</v>
      </c>
      <c r="K1782" s="34">
        <v>1554451</v>
      </c>
      <c r="L1782" s="34">
        <v>84774</v>
      </c>
    </row>
    <row r="1783" hidden="1">
      <c r="B1783" s="64">
        <v>46133</v>
      </c>
      <c r="C1783" s="9" t="s">
        <v>1983</v>
      </c>
      <c r="D1783" s="6" t="s">
        <v>4058</v>
      </c>
      <c r="E1783" s="6" t="s">
        <v>3789</v>
      </c>
      <c r="F1783" s="6" t="s">
        <v>2226</v>
      </c>
      <c r="G1783" s="6" t="s">
        <v>2227</v>
      </c>
      <c r="H1783" s="7">
        <v>5400</v>
      </c>
      <c r="I1783" s="8">
        <f>SUMIF(Cargas!$C$6:$C$1064,C1783,Cargas!$O$6:$O$1064)</f>
        <v>5400</v>
      </c>
      <c r="J1783" s="17">
        <f t="shared" si="33"/>
        <v>0</v>
      </c>
      <c r="K1783" s="34">
        <v>1555310</v>
      </c>
      <c r="L1783" s="34">
        <v>90212</v>
      </c>
    </row>
    <row r="1784" hidden="1">
      <c r="B1784" s="64">
        <v>46146</v>
      </c>
      <c r="C1784" s="9" t="s">
        <v>2017</v>
      </c>
      <c r="D1784" s="6" t="s">
        <v>4059</v>
      </c>
      <c r="E1784" s="6" t="s">
        <v>3789</v>
      </c>
      <c r="F1784" s="6" t="s">
        <v>2226</v>
      </c>
      <c r="G1784" s="6" t="s">
        <v>2227</v>
      </c>
      <c r="H1784" s="7">
        <v>4320</v>
      </c>
      <c r="I1784" s="8">
        <f>SUMIF(Cargas!$C$6:$C$1064,C1784,Cargas!$O$6:$O$1064)</f>
        <v>4320</v>
      </c>
      <c r="J1784" s="17">
        <f t="shared" si="33"/>
        <v>0</v>
      </c>
      <c r="K1784" s="34">
        <v>1556834</v>
      </c>
      <c r="L1784" s="34">
        <v>99779</v>
      </c>
    </row>
    <row r="1785" hidden="1">
      <c r="B1785" s="64">
        <v>46154</v>
      </c>
      <c r="C1785" s="9" t="s">
        <v>2021</v>
      </c>
      <c r="D1785" s="6" t="s">
        <v>4060</v>
      </c>
      <c r="E1785" s="6" t="s">
        <v>3789</v>
      </c>
      <c r="F1785" s="6" t="s">
        <v>2226</v>
      </c>
      <c r="G1785" s="6" t="s">
        <v>2227</v>
      </c>
      <c r="H1785" s="7">
        <v>5400</v>
      </c>
      <c r="I1785" s="8">
        <f>SUMIF(Cargas!$C$6:$C$1064,C1785,Cargas!$O$6:$O$1064)</f>
        <v>5400</v>
      </c>
      <c r="J1785" s="17">
        <f t="shared" si="33"/>
        <v>0</v>
      </c>
      <c r="K1785" s="34">
        <v>1557390</v>
      </c>
      <c r="L1785" s="34">
        <v>105110</v>
      </c>
    </row>
    <row r="1786" hidden="1">
      <c r="B1786" s="64">
        <v>46160</v>
      </c>
      <c r="C1786" s="9" t="s">
        <v>2025</v>
      </c>
      <c r="D1786" s="6" t="s">
        <v>4061</v>
      </c>
      <c r="E1786" s="6" t="s">
        <v>3789</v>
      </c>
      <c r="F1786" s="6" t="s">
        <v>2226</v>
      </c>
      <c r="G1786" s="6" t="s">
        <v>2227</v>
      </c>
      <c r="H1786" s="7">
        <v>5400</v>
      </c>
      <c r="I1786" s="8">
        <f>SUMIF(Cargas!$C$6:$C$1064,C1786,Cargas!$O$6:$O$1064)</f>
        <v>5400</v>
      </c>
      <c r="J1786" s="17">
        <f t="shared" si="33"/>
        <v>0</v>
      </c>
      <c r="K1786" s="34">
        <v>1557890</v>
      </c>
      <c r="L1786" s="34">
        <v>110448</v>
      </c>
    </row>
    <row r="1787" hidden="1">
      <c r="B1787" s="64">
        <v>46154</v>
      </c>
      <c r="C1787" s="9" t="s">
        <v>2023</v>
      </c>
      <c r="D1787" s="6" t="s">
        <v>4062</v>
      </c>
      <c r="E1787" s="6" t="s">
        <v>3789</v>
      </c>
      <c r="F1787" s="6" t="s">
        <v>2226</v>
      </c>
      <c r="G1787" s="6" t="s">
        <v>2227</v>
      </c>
      <c r="H1787" s="7">
        <v>1080</v>
      </c>
      <c r="I1787" s="8">
        <f>SUMIF(Cargas!$C$6:$C$1064,C1787,Cargas!$O$6:$O$1064)</f>
        <v>1080</v>
      </c>
      <c r="J1787" s="17">
        <f t="shared" si="33"/>
        <v>0</v>
      </c>
      <c r="K1787" s="34"/>
      <c r="L1787" s="34">
        <v>107221</v>
      </c>
    </row>
    <row r="1788" hidden="1">
      <c r="B1788" s="64">
        <v>46167</v>
      </c>
      <c r="C1788" s="9" t="s">
        <v>2033</v>
      </c>
      <c r="D1788" s="6" t="s">
        <v>4063</v>
      </c>
      <c r="E1788" s="6" t="s">
        <v>3789</v>
      </c>
      <c r="F1788" s="6" t="s">
        <v>2226</v>
      </c>
      <c r="G1788" s="6" t="s">
        <v>2227</v>
      </c>
      <c r="H1788" s="7">
        <v>5400</v>
      </c>
      <c r="I1788" s="8">
        <f>SUMIF(Cargas!$C$6:$C$1064,C1788,Cargas!$O$6:$O$1064)</f>
        <v>5400</v>
      </c>
      <c r="J1788" s="17">
        <f t="shared" si="33"/>
        <v>0</v>
      </c>
      <c r="K1788" s="34">
        <v>1558522</v>
      </c>
      <c r="L1788" s="34">
        <v>116120</v>
      </c>
    </row>
    <row r="1789" hidden="1">
      <c r="B1789" s="64">
        <v>46091</v>
      </c>
      <c r="C1789" s="9" t="s">
        <v>1907</v>
      </c>
      <c r="D1789" s="6" t="s">
        <v>4064</v>
      </c>
      <c r="E1789" s="6" t="s">
        <v>2220</v>
      </c>
      <c r="F1789" s="6" t="s">
        <v>2226</v>
      </c>
      <c r="G1789" s="6" t="s">
        <v>2227</v>
      </c>
      <c r="H1789" s="7">
        <v>2160</v>
      </c>
      <c r="I1789" s="8">
        <f>SUMIF(Cargas!$C$6:$C$1064,C1789,Cargas!$O$6:$O$1064)</f>
        <v>2160</v>
      </c>
      <c r="J1789" s="17">
        <f t="shared" si="33"/>
        <v>0</v>
      </c>
      <c r="K1789" s="34">
        <v>1552019</v>
      </c>
      <c r="L1789" s="34">
        <v>59833</v>
      </c>
    </row>
    <row r="1790" hidden="1">
      <c r="B1790" s="64">
        <v>46098</v>
      </c>
      <c r="C1790" s="9" t="s">
        <v>1921</v>
      </c>
      <c r="D1790" s="6" t="s">
        <v>4065</v>
      </c>
      <c r="E1790" s="6" t="s">
        <v>2220</v>
      </c>
      <c r="F1790" s="6" t="s">
        <v>2226</v>
      </c>
      <c r="G1790" s="6" t="s">
        <v>2227</v>
      </c>
      <c r="H1790" s="7">
        <v>2160</v>
      </c>
      <c r="I1790" s="8">
        <f>SUMIF(Cargas!$C$6:$C$1064,C1790,Cargas!$O$6:$O$1064)</f>
        <v>2160</v>
      </c>
      <c r="J1790" s="17">
        <f t="shared" si="33"/>
        <v>0</v>
      </c>
      <c r="K1790" s="34">
        <v>1552514</v>
      </c>
      <c r="L1790" s="34">
        <v>63296</v>
      </c>
    </row>
    <row r="1791" hidden="1">
      <c r="B1791" s="64">
        <v>45993</v>
      </c>
      <c r="C1791" s="9" t="s">
        <v>1669</v>
      </c>
      <c r="D1791" s="6" t="s">
        <v>2672</v>
      </c>
      <c r="E1791" s="6" t="s">
        <v>2220</v>
      </c>
      <c r="F1791" s="6" t="s">
        <v>2226</v>
      </c>
      <c r="G1791" s="6" t="s">
        <v>2227</v>
      </c>
      <c r="H1791" s="7">
        <v>1128</v>
      </c>
      <c r="I1791" s="8">
        <f>SUMIF(Cargas!$C$6:$C$1064,C1791,Cargas!$O$6:$O$1064)</f>
        <v>1128</v>
      </c>
      <c r="J1791" s="17">
        <f t="shared" si="33"/>
        <v>0</v>
      </c>
      <c r="K1791" s="34">
        <v>1542621</v>
      </c>
      <c r="L1791" s="34">
        <v>257877</v>
      </c>
    </row>
    <row r="1792" hidden="1">
      <c r="B1792" s="64">
        <v>46000</v>
      </c>
      <c r="C1792" s="9" t="s">
        <v>1700</v>
      </c>
      <c r="D1792" s="6" t="s">
        <v>2674</v>
      </c>
      <c r="E1792" s="6" t="s">
        <v>2220</v>
      </c>
      <c r="F1792" s="6" t="s">
        <v>2226</v>
      </c>
      <c r="G1792" s="6" t="s">
        <v>2227</v>
      </c>
      <c r="H1792" s="7">
        <v>2160</v>
      </c>
      <c r="I1792" s="8">
        <f>SUMIF(Cargas!$C$6:$C$1064,C1792,Cargas!$O$6:$O$1064)</f>
        <v>2160</v>
      </c>
      <c r="J1792" s="17">
        <f t="shared" si="33"/>
        <v>0</v>
      </c>
      <c r="K1792" s="34">
        <v>1544329</v>
      </c>
      <c r="L1792" s="34">
        <v>267278</v>
      </c>
    </row>
    <row r="1793" hidden="1">
      <c r="B1793" s="64">
        <v>45965</v>
      </c>
      <c r="C1793" s="9" t="s">
        <v>1559</v>
      </c>
      <c r="D1793" s="6" t="s">
        <v>2616</v>
      </c>
      <c r="E1793" s="6" t="s">
        <v>2220</v>
      </c>
      <c r="F1793" s="6" t="s">
        <v>2226</v>
      </c>
      <c r="G1793" s="6" t="s">
        <v>2227</v>
      </c>
      <c r="H1793" s="7">
        <v>3240</v>
      </c>
      <c r="I1793" s="8">
        <f>SUMIF(Cargas!$C$6:$C$1064,C1793,Cargas!$O$6:$O$1064)</f>
        <v>3240</v>
      </c>
      <c r="J1793" s="17">
        <f t="shared" si="33"/>
        <v>0</v>
      </c>
      <c r="K1793" s="34">
        <v>1530635</v>
      </c>
      <c r="L1793" s="34">
        <v>236697</v>
      </c>
    </row>
    <row r="1794" hidden="1">
      <c r="B1794" s="64">
        <v>45965</v>
      </c>
      <c r="C1794" s="9" t="s">
        <v>1574</v>
      </c>
      <c r="D1794" s="6" t="s">
        <v>2628</v>
      </c>
      <c r="E1794" s="6" t="s">
        <v>2220</v>
      </c>
      <c r="F1794" s="6" t="s">
        <v>2226</v>
      </c>
      <c r="G1794" s="6" t="s">
        <v>2227</v>
      </c>
      <c r="H1794" s="7">
        <v>3240</v>
      </c>
      <c r="I1794" s="8">
        <f>SUMIF(Cargas!$C$6:$C$1064,C1794,Cargas!$O$6:$O$1064)</f>
        <v>3240</v>
      </c>
      <c r="J1794" s="17">
        <f t="shared" si="33"/>
        <v>0</v>
      </c>
      <c r="K1794" s="34">
        <v>1530636</v>
      </c>
      <c r="L1794" s="34">
        <v>238016</v>
      </c>
    </row>
    <row r="1795" hidden="1">
      <c r="B1795" s="64">
        <v>45972</v>
      </c>
      <c r="C1795" s="9" t="s">
        <v>1583</v>
      </c>
      <c r="D1795" s="6" t="s">
        <v>2638</v>
      </c>
      <c r="E1795" s="6" t="s">
        <v>2220</v>
      </c>
      <c r="F1795" s="6" t="s">
        <v>2226</v>
      </c>
      <c r="G1795" s="6" t="s">
        <v>2227</v>
      </c>
      <c r="H1795" s="7">
        <v>3240</v>
      </c>
      <c r="I1795" s="8">
        <f>SUMIF(Cargas!$C$6:$C$1064,C1795,Cargas!$O$6:$O$1064)</f>
        <v>3240</v>
      </c>
      <c r="J1795" s="17">
        <f t="shared" si="33"/>
        <v>0</v>
      </c>
      <c r="K1795" s="34">
        <v>1541232</v>
      </c>
      <c r="L1795" s="34">
        <v>242202</v>
      </c>
    </row>
    <row r="1796" hidden="1">
      <c r="B1796" s="64">
        <v>45972</v>
      </c>
      <c r="C1796" s="9" t="s">
        <v>1608</v>
      </c>
      <c r="D1796" s="6" t="s">
        <v>2653</v>
      </c>
      <c r="E1796" s="6" t="s">
        <v>2220</v>
      </c>
      <c r="F1796" s="6" t="s">
        <v>2226</v>
      </c>
      <c r="G1796" s="6" t="s">
        <v>2227</v>
      </c>
      <c r="H1796" s="7">
        <v>2160</v>
      </c>
      <c r="I1796" s="8">
        <f>SUMIF(Cargas!$C$6:$C$1064,C1796,Cargas!$O$6:$O$1064)</f>
        <v>2160</v>
      </c>
      <c r="J1796" s="17">
        <f t="shared" si="33"/>
        <v>0</v>
      </c>
      <c r="K1796" s="34">
        <v>1541235</v>
      </c>
      <c r="L1796" s="34">
        <v>243651</v>
      </c>
    </row>
    <row r="1797" hidden="1">
      <c r="B1797" s="64">
        <v>45972</v>
      </c>
      <c r="C1797" s="9" t="s">
        <v>1602</v>
      </c>
      <c r="D1797" s="6" t="s">
        <v>2649</v>
      </c>
      <c r="E1797" s="6" t="s">
        <v>2220</v>
      </c>
      <c r="F1797" s="6" t="s">
        <v>2226</v>
      </c>
      <c r="G1797" s="6" t="s">
        <v>2227</v>
      </c>
      <c r="H1797" s="7">
        <v>1112</v>
      </c>
      <c r="I1797" s="8">
        <f>SUMIF(Cargas!$C$6:$C$1064,C1797,Cargas!$O$6:$O$1064)</f>
        <v>1112</v>
      </c>
      <c r="J1797" s="17">
        <f t="shared" si="33"/>
        <v>0</v>
      </c>
      <c r="K1797" s="34">
        <v>1541233</v>
      </c>
      <c r="L1797" s="34">
        <v>243624</v>
      </c>
    </row>
    <row r="1798" hidden="1">
      <c r="B1798" s="64">
        <v>45979</v>
      </c>
      <c r="C1798" s="9" t="s">
        <v>1630</v>
      </c>
      <c r="D1798" s="6" t="s">
        <v>2663</v>
      </c>
      <c r="E1798" s="6" t="s">
        <v>2220</v>
      </c>
      <c r="F1798" s="6" t="s">
        <v>2226</v>
      </c>
      <c r="G1798" s="6" t="s">
        <v>2227</v>
      </c>
      <c r="H1798" s="7">
        <v>4320</v>
      </c>
      <c r="I1798" s="8">
        <f>SUMIF(Cargas!$C$6:$C$1064,C1798,Cargas!$O$6:$O$1064)</f>
        <v>4320</v>
      </c>
      <c r="J1798" s="17">
        <f t="shared" si="33"/>
        <v>0</v>
      </c>
      <c r="K1798" s="34">
        <v>1541925</v>
      </c>
      <c r="L1798" s="34">
        <v>249490</v>
      </c>
    </row>
    <row r="1799" hidden="1">
      <c r="B1799" s="64">
        <v>45986</v>
      </c>
      <c r="C1799" s="9" t="s">
        <v>1653</v>
      </c>
      <c r="D1799" s="6" t="s">
        <v>2659</v>
      </c>
      <c r="E1799" s="6" t="s">
        <v>2220</v>
      </c>
      <c r="F1799" s="6" t="s">
        <v>2226</v>
      </c>
      <c r="G1799" s="6" t="s">
        <v>2227</v>
      </c>
      <c r="H1799" s="7">
        <v>4320</v>
      </c>
      <c r="I1799" s="8">
        <f>SUMIF(Cargas!$C$6:$C$1064,C1799,Cargas!$O$6:$O$1064)</f>
        <v>4320</v>
      </c>
      <c r="J1799" s="17">
        <f t="shared" si="33"/>
        <v>0</v>
      </c>
      <c r="K1799" s="34">
        <v>1542621</v>
      </c>
      <c r="L1799" s="34">
        <v>255741</v>
      </c>
    </row>
    <row r="1800" hidden="1">
      <c r="B1800" s="64">
        <v>45993</v>
      </c>
      <c r="C1800" s="9" t="s">
        <v>1634</v>
      </c>
      <c r="D1800" s="6" t="s">
        <v>4066</v>
      </c>
      <c r="E1800" s="6" t="s">
        <v>4067</v>
      </c>
      <c r="F1800" s="6" t="s">
        <v>3901</v>
      </c>
      <c r="G1800" s="6" t="s">
        <v>2222</v>
      </c>
      <c r="H1800" s="7">
        <v>100</v>
      </c>
      <c r="I1800" s="8">
        <f>SUMIF(Cargas!$C$6:$C$1064,C1800,Cargas!$O$6:$O$1064)</f>
        <v>100</v>
      </c>
      <c r="J1800" s="17">
        <f t="shared" si="33"/>
        <v>0</v>
      </c>
      <c r="K1800" s="34">
        <v>1544167</v>
      </c>
      <c r="L1800" s="34">
        <v>250586</v>
      </c>
    </row>
    <row r="1801" hidden="1">
      <c r="B1801" s="64">
        <v>46001</v>
      </c>
      <c r="C1801" s="9" t="s">
        <v>1659</v>
      </c>
      <c r="D1801" s="6" t="s">
        <v>4068</v>
      </c>
      <c r="E1801" s="6" t="s">
        <v>4067</v>
      </c>
      <c r="F1801" s="6" t="s">
        <v>3901</v>
      </c>
      <c r="G1801" s="6" t="s">
        <v>2222</v>
      </c>
      <c r="H1801" s="7">
        <v>100</v>
      </c>
      <c r="I1801" s="8">
        <f>SUMIF(Cargas!$C$6:$C$1064,C1801,Cargas!$O$6:$O$1064)</f>
        <v>100</v>
      </c>
      <c r="J1801" s="17">
        <f t="shared" si="33"/>
        <v>0</v>
      </c>
      <c r="K1801" s="34">
        <v>1544167</v>
      </c>
      <c r="L1801" s="34">
        <v>256638</v>
      </c>
    </row>
    <row r="1802" hidden="1">
      <c r="B1802" s="64">
        <v>46105</v>
      </c>
      <c r="C1802" s="9" t="s">
        <v>1944</v>
      </c>
      <c r="D1802" s="6" t="s">
        <v>4069</v>
      </c>
      <c r="E1802" s="6" t="s">
        <v>2220</v>
      </c>
      <c r="F1802" s="6" t="s">
        <v>2226</v>
      </c>
      <c r="G1802" s="6" t="s">
        <v>2227</v>
      </c>
      <c r="H1802" s="7">
        <v>1144</v>
      </c>
      <c r="I1802" s="8">
        <f>SUMIF(Cargas!$C$6:$C$1064,C1802,Cargas!$O$6:$O$1064)</f>
        <v>1144</v>
      </c>
      <c r="J1802" s="17">
        <f t="shared" si="33"/>
        <v>0</v>
      </c>
      <c r="K1802" s="34">
        <v>1553156</v>
      </c>
      <c r="L1802" s="34">
        <v>71862</v>
      </c>
    </row>
    <row r="1803" hidden="1">
      <c r="B1803" s="64">
        <v>46029</v>
      </c>
      <c r="C1803" s="9" t="s">
        <v>1766</v>
      </c>
      <c r="D1803" s="6" t="s">
        <v>4070</v>
      </c>
      <c r="E1803" s="6" t="s">
        <v>4071</v>
      </c>
      <c r="F1803" s="6" t="s">
        <v>2226</v>
      </c>
      <c r="G1803" s="6" t="s">
        <v>2227</v>
      </c>
      <c r="H1803" s="7">
        <v>3240</v>
      </c>
      <c r="I1803" s="8">
        <f>SUMIF(Cargas!$C$6:$C$1064,C1803,Cargas!$O$6:$O$1064)</f>
        <v>3240</v>
      </c>
      <c r="J1803" s="17">
        <f t="shared" si="33"/>
        <v>0</v>
      </c>
      <c r="K1803" s="34">
        <v>1546564</v>
      </c>
      <c r="L1803" s="34">
        <v>11945</v>
      </c>
    </row>
    <row r="1804" hidden="1">
      <c r="B1804" s="64">
        <v>46029</v>
      </c>
      <c r="C1804" s="9" t="s">
        <v>1764</v>
      </c>
      <c r="D1804" s="6" t="s">
        <v>4072</v>
      </c>
      <c r="E1804" s="6" t="s">
        <v>4071</v>
      </c>
      <c r="F1804" s="6" t="s">
        <v>2226</v>
      </c>
      <c r="G1804" s="6" t="s">
        <v>2227</v>
      </c>
      <c r="H1804" s="7">
        <v>2160</v>
      </c>
      <c r="I1804" s="8">
        <f>SUMIF(Cargas!$C$6:$C$1064,C1804,Cargas!$O$6:$O$1064)</f>
        <v>2160</v>
      </c>
      <c r="J1804" s="17">
        <f t="shared" si="33"/>
        <v>0</v>
      </c>
      <c r="K1804" s="34">
        <v>1546909</v>
      </c>
      <c r="L1804" s="34">
        <v>19116</v>
      </c>
    </row>
    <row r="1805" hidden="1">
      <c r="B1805" s="64">
        <v>46049</v>
      </c>
      <c r="C1805" s="9" t="s">
        <v>1808</v>
      </c>
      <c r="D1805" s="6" t="s">
        <v>4073</v>
      </c>
      <c r="E1805" s="6" t="s">
        <v>4071</v>
      </c>
      <c r="F1805" s="6" t="s">
        <v>2226</v>
      </c>
      <c r="G1805" s="6" t="s">
        <v>2227</v>
      </c>
      <c r="H1805" s="7">
        <v>4320</v>
      </c>
      <c r="I1805" s="8">
        <f>SUMIF(Cargas!$C$6:$C$1064,C1805,Cargas!$O$6:$O$1064)</f>
        <v>4320</v>
      </c>
      <c r="J1805" s="17">
        <f t="shared" si="33"/>
        <v>0</v>
      </c>
      <c r="K1805" s="34">
        <v>1547865</v>
      </c>
      <c r="L1805" s="34">
        <v>29545</v>
      </c>
    </row>
    <row r="1806" hidden="1">
      <c r="B1806" s="64">
        <v>46056</v>
      </c>
      <c r="C1806" s="9" t="s">
        <v>1812</v>
      </c>
      <c r="D1806" s="6" t="s">
        <v>4074</v>
      </c>
      <c r="E1806" s="6" t="s">
        <v>4071</v>
      </c>
      <c r="F1806" s="6" t="s">
        <v>2226</v>
      </c>
      <c r="G1806" s="6" t="s">
        <v>2227</v>
      </c>
      <c r="H1806" s="7">
        <v>3240</v>
      </c>
      <c r="I1806" s="8">
        <f>SUMIF(Cargas!$C$6:$C$1064,C1806,Cargas!$O$6:$O$1064)</f>
        <v>3240</v>
      </c>
      <c r="J1806" s="17">
        <f t="shared" si="33"/>
        <v>0</v>
      </c>
      <c r="K1806" s="34">
        <v>1547868</v>
      </c>
      <c r="L1806" s="34">
        <v>31964</v>
      </c>
    </row>
    <row r="1807" hidden="1">
      <c r="B1807" s="64">
        <v>45972</v>
      </c>
      <c r="C1807" s="9" t="s">
        <v>1597</v>
      </c>
      <c r="D1807" s="6" t="s">
        <v>4075</v>
      </c>
      <c r="E1807" s="6" t="s">
        <v>4071</v>
      </c>
      <c r="F1807" s="6" t="s">
        <v>2226</v>
      </c>
      <c r="G1807" s="6" t="s">
        <v>2227</v>
      </c>
      <c r="H1807" s="7">
        <v>2160</v>
      </c>
      <c r="I1807" s="8">
        <f>SUMIF(Cargas!$C$6:$C$1064,C1807,Cargas!$O$6:$O$1064)</f>
        <v>2160</v>
      </c>
      <c r="J1807" s="17">
        <f t="shared" si="33"/>
        <v>0</v>
      </c>
      <c r="K1807" s="34">
        <v>1540862</v>
      </c>
      <c r="L1807" s="34">
        <v>243578</v>
      </c>
    </row>
    <row r="1808" hidden="1">
      <c r="B1808" s="64">
        <v>45979</v>
      </c>
      <c r="C1808" s="9" t="s">
        <v>1632</v>
      </c>
      <c r="D1808" s="6" t="s">
        <v>4076</v>
      </c>
      <c r="E1808" s="6" t="s">
        <v>4071</v>
      </c>
      <c r="F1808" s="6" t="s">
        <v>2226</v>
      </c>
      <c r="G1808" s="6" t="s">
        <v>2227</v>
      </c>
      <c r="H1808" s="7">
        <v>4320</v>
      </c>
      <c r="I1808" s="8">
        <f>SUMIF(Cargas!$C$6:$C$1064,C1808,Cargas!$O$6:$O$1064)</f>
        <v>4320</v>
      </c>
      <c r="J1808" s="17">
        <f t="shared" si="33"/>
        <v>0</v>
      </c>
      <c r="K1808" s="34">
        <v>1541924</v>
      </c>
      <c r="L1808" s="34">
        <v>249612</v>
      </c>
    </row>
    <row r="1809" hidden="1">
      <c r="B1809" s="64">
        <v>45993</v>
      </c>
      <c r="C1809" s="9" t="s">
        <v>1681</v>
      </c>
      <c r="D1809" s="6" t="s">
        <v>4077</v>
      </c>
      <c r="E1809" s="6" t="s">
        <v>4071</v>
      </c>
      <c r="F1809" s="6" t="s">
        <v>2226</v>
      </c>
      <c r="G1809" s="6" t="s">
        <v>2227</v>
      </c>
      <c r="H1809" s="7">
        <v>4320</v>
      </c>
      <c r="I1809" s="8">
        <f>SUMIF(Cargas!$C$6:$C$1064,C1809,Cargas!$O$6:$O$1064)</f>
        <v>4320</v>
      </c>
      <c r="J1809" s="17">
        <f t="shared" si="33"/>
        <v>0</v>
      </c>
      <c r="K1809" s="34">
        <v>1543301</v>
      </c>
      <c r="L1809" s="34">
        <v>263116</v>
      </c>
    </row>
    <row r="1810" hidden="1">
      <c r="B1810" s="64">
        <v>45986</v>
      </c>
      <c r="C1810" s="9" t="s">
        <v>1655</v>
      </c>
      <c r="D1810" s="6" t="s">
        <v>4078</v>
      </c>
      <c r="E1810" s="6" t="s">
        <v>4071</v>
      </c>
      <c r="F1810" s="6" t="s">
        <v>2226</v>
      </c>
      <c r="G1810" s="6" t="s">
        <v>2227</v>
      </c>
      <c r="H1810" s="7">
        <v>4320</v>
      </c>
      <c r="I1810" s="8">
        <f>SUMIF(Cargas!$C$6:$C$1064,C1810,Cargas!$O$6:$O$1064)</f>
        <v>4320</v>
      </c>
      <c r="J1810" s="17">
        <f t="shared" si="33"/>
        <v>0</v>
      </c>
      <c r="K1810" s="34">
        <v>1542621</v>
      </c>
      <c r="L1810" s="34">
        <v>255709</v>
      </c>
    </row>
    <row r="1811" hidden="1">
      <c r="B1811" s="64">
        <v>46021</v>
      </c>
      <c r="C1811" s="9" t="s">
        <v>1750</v>
      </c>
      <c r="D1811" s="6" t="s">
        <v>4079</v>
      </c>
      <c r="E1811" s="6" t="s">
        <v>4071</v>
      </c>
      <c r="F1811" s="6" t="s">
        <v>2226</v>
      </c>
      <c r="G1811" s="6" t="s">
        <v>2227</v>
      </c>
      <c r="H1811" s="7">
        <v>2160</v>
      </c>
      <c r="I1811" s="8">
        <f>SUMIF(Cargas!$C$6:$C$1064,C1811,Cargas!$O$6:$O$1064)</f>
        <v>2160</v>
      </c>
      <c r="J1811" s="17">
        <f t="shared" si="33"/>
        <v>0</v>
      </c>
      <c r="K1811" s="34">
        <v>1546121</v>
      </c>
      <c r="L1811" s="34">
        <v>8271</v>
      </c>
    </row>
    <row r="1812" hidden="1">
      <c r="B1812" s="64">
        <v>45940</v>
      </c>
      <c r="C1812" s="9" t="s">
        <v>1555</v>
      </c>
      <c r="D1812" s="6" t="s">
        <v>3019</v>
      </c>
      <c r="E1812" s="6" t="s">
        <v>3020</v>
      </c>
      <c r="F1812" s="6" t="s">
        <v>2221</v>
      </c>
      <c r="G1812" s="6" t="s">
        <v>2222</v>
      </c>
      <c r="H1812" s="7">
        <v>1288</v>
      </c>
      <c r="I1812" s="8">
        <f>SUMIF(Cargas!$C$6:$C$1064,C1812,Cargas!$O$6:$O$1064)</f>
        <v>1288</v>
      </c>
      <c r="J1812" s="17">
        <f t="shared" si="33"/>
        <v>0</v>
      </c>
      <c r="K1812" s="34">
        <v>1534370</v>
      </c>
      <c r="L1812" s="34">
        <v>234275</v>
      </c>
    </row>
    <row r="1813" hidden="1">
      <c r="B1813" s="64">
        <v>46000</v>
      </c>
      <c r="C1813" s="9" t="s">
        <v>1703</v>
      </c>
      <c r="D1813" s="6" t="s">
        <v>4080</v>
      </c>
      <c r="E1813" s="6" t="s">
        <v>4071</v>
      </c>
      <c r="F1813" s="6" t="s">
        <v>2226</v>
      </c>
      <c r="G1813" s="6" t="s">
        <v>2227</v>
      </c>
      <c r="H1813" s="7">
        <v>4320</v>
      </c>
      <c r="I1813" s="8">
        <f>SUMIF(Cargas!$C$6:$C$1064,C1813,Cargas!$O$6:$O$1064)</f>
        <v>4320</v>
      </c>
      <c r="J1813" s="17">
        <f t="shared" si="33"/>
        <v>0</v>
      </c>
      <c r="K1813" s="34">
        <v>1544004</v>
      </c>
      <c r="L1813" s="34">
        <v>267292</v>
      </c>
    </row>
    <row r="1814" hidden="1">
      <c r="B1814" s="64">
        <v>46007</v>
      </c>
      <c r="C1814" s="9" t="s">
        <v>1726</v>
      </c>
      <c r="D1814" s="6" t="s">
        <v>4081</v>
      </c>
      <c r="E1814" s="6" t="s">
        <v>4071</v>
      </c>
      <c r="F1814" s="6" t="s">
        <v>2226</v>
      </c>
      <c r="G1814" s="6" t="s">
        <v>2227</v>
      </c>
      <c r="H1814" s="7">
        <v>3240</v>
      </c>
      <c r="I1814" s="8">
        <f>SUMIF(Cargas!$C$6:$C$1064,C1814,Cargas!$O$6:$O$1064)</f>
        <v>3240</v>
      </c>
      <c r="J1814" s="17">
        <f t="shared" si="33"/>
        <v>0</v>
      </c>
      <c r="K1814" s="34">
        <v>1544778</v>
      </c>
      <c r="L1814" s="34">
        <v>1016</v>
      </c>
    </row>
    <row r="1815" hidden="1">
      <c r="B1815" s="64">
        <v>46014</v>
      </c>
      <c r="C1815" s="9" t="s">
        <v>1738</v>
      </c>
      <c r="D1815" s="6" t="s">
        <v>4082</v>
      </c>
      <c r="E1815" s="6" t="s">
        <v>4071</v>
      </c>
      <c r="F1815" s="6" t="s">
        <v>2226</v>
      </c>
      <c r="G1815" s="6" t="s">
        <v>2227</v>
      </c>
      <c r="H1815" s="7">
        <v>3240</v>
      </c>
      <c r="I1815" s="8">
        <f>SUMIF(Cargas!$C$6:$C$1064,C1815,Cargas!$O$6:$O$1064)</f>
        <v>3240</v>
      </c>
      <c r="J1815" s="17">
        <f t="shared" si="33"/>
        <v>0</v>
      </c>
      <c r="K1815" s="34">
        <v>1545303</v>
      </c>
      <c r="L1815" s="34">
        <v>2440</v>
      </c>
    </row>
    <row r="1816" hidden="1">
      <c r="B1816" s="64">
        <v>46063</v>
      </c>
      <c r="C1816" s="9" t="s">
        <v>1839</v>
      </c>
      <c r="D1816" s="6" t="s">
        <v>4083</v>
      </c>
      <c r="E1816" s="6" t="s">
        <v>4071</v>
      </c>
      <c r="F1816" s="6" t="s">
        <v>2226</v>
      </c>
      <c r="G1816" s="6" t="s">
        <v>2227</v>
      </c>
      <c r="H1816" s="7">
        <v>2160</v>
      </c>
      <c r="I1816" s="8">
        <f>SUMIF(Cargas!$C$6:$C$1064,C1816,Cargas!$O$6:$O$1064)</f>
        <v>2160</v>
      </c>
      <c r="J1816" s="17">
        <f t="shared" si="33"/>
        <v>0</v>
      </c>
      <c r="K1816" s="34">
        <v>1547869</v>
      </c>
      <c r="L1816" s="34">
        <v>37719</v>
      </c>
    </row>
    <row r="1817" hidden="1">
      <c r="B1817" s="64">
        <v>46070</v>
      </c>
      <c r="C1817" s="9" t="s">
        <v>1849</v>
      </c>
      <c r="D1817" s="6" t="s">
        <v>4084</v>
      </c>
      <c r="E1817" s="6" t="s">
        <v>4071</v>
      </c>
      <c r="F1817" s="6" t="s">
        <v>2226</v>
      </c>
      <c r="G1817" s="6" t="s">
        <v>2227</v>
      </c>
      <c r="H1817" s="7">
        <v>4320</v>
      </c>
      <c r="I1817" s="8">
        <f>SUMIF(Cargas!$C$6:$C$1064,C1817,Cargas!$O$6:$O$1064)</f>
        <v>4320</v>
      </c>
      <c r="J1817" s="17">
        <f t="shared" si="33"/>
        <v>0</v>
      </c>
      <c r="K1817" s="34">
        <v>1550208</v>
      </c>
      <c r="L1817" s="34">
        <v>41128</v>
      </c>
    </row>
    <row r="1818" hidden="1">
      <c r="B1818" s="64">
        <v>46077</v>
      </c>
      <c r="C1818" s="9" t="s">
        <v>1877</v>
      </c>
      <c r="D1818" s="6" t="s">
        <v>4085</v>
      </c>
      <c r="E1818" s="6" t="s">
        <v>4071</v>
      </c>
      <c r="F1818" s="6" t="s">
        <v>2226</v>
      </c>
      <c r="G1818" s="6" t="s">
        <v>2227</v>
      </c>
      <c r="H1818" s="7">
        <v>2160</v>
      </c>
      <c r="I1818" s="8">
        <f>SUMIF(Cargas!$C$6:$C$1064,C1818,Cargas!$O$6:$O$1064)</f>
        <v>2160</v>
      </c>
      <c r="J1818" s="17">
        <f t="shared" si="33"/>
        <v>0</v>
      </c>
      <c r="K1818" s="34">
        <v>1550661</v>
      </c>
      <c r="L1818" s="34">
        <v>49689</v>
      </c>
    </row>
    <row r="1819" hidden="1">
      <c r="B1819" s="64">
        <v>46077</v>
      </c>
      <c r="C1819" s="9" t="s">
        <v>1875</v>
      </c>
      <c r="D1819" s="6" t="s">
        <v>4086</v>
      </c>
      <c r="E1819" s="6" t="s">
        <v>4071</v>
      </c>
      <c r="F1819" s="6" t="s">
        <v>2226</v>
      </c>
      <c r="G1819" s="6" t="s">
        <v>2227</v>
      </c>
      <c r="H1819" s="7">
        <v>3240</v>
      </c>
      <c r="I1819" s="8">
        <f>SUMIF(Cargas!$C$6:$C$1064,C1819,Cargas!$O$6:$O$1064)</f>
        <v>3240</v>
      </c>
      <c r="J1819" s="17">
        <f t="shared" si="33"/>
        <v>0</v>
      </c>
      <c r="K1819" s="34">
        <v>1550490</v>
      </c>
      <c r="L1819" s="34">
        <v>79945</v>
      </c>
    </row>
    <row r="1820" hidden="1">
      <c r="B1820" s="64">
        <v>46174</v>
      </c>
      <c r="C1820" s="9" t="s">
        <v>2035</v>
      </c>
      <c r="D1820" s="6" t="s">
        <v>4087</v>
      </c>
      <c r="E1820" s="6" t="s">
        <v>3789</v>
      </c>
      <c r="F1820" s="6" t="s">
        <v>2226</v>
      </c>
      <c r="G1820" s="6" t="s">
        <v>2227</v>
      </c>
      <c r="H1820" s="7">
        <v>5400</v>
      </c>
      <c r="I1820" s="8">
        <f>SUMIF(Cargas!$C$6:$C$1064,C1820,Cargas!$O$6:$O$1064)</f>
        <v>5400</v>
      </c>
      <c r="J1820" s="17">
        <f t="shared" si="33"/>
        <v>0</v>
      </c>
      <c r="K1820" s="34">
        <v>1559174</v>
      </c>
      <c r="L1820" s="34">
        <v>120624</v>
      </c>
    </row>
    <row r="1821" hidden="1">
      <c r="B1821" s="64">
        <v>46180</v>
      </c>
      <c r="C1821" s="9" t="s">
        <v>2042</v>
      </c>
      <c r="D1821" s="6" t="s">
        <v>4088</v>
      </c>
      <c r="E1821" s="6" t="s">
        <v>3789</v>
      </c>
      <c r="F1821" s="6" t="s">
        <v>2226</v>
      </c>
      <c r="G1821" s="6" t="s">
        <v>2227</v>
      </c>
      <c r="H1821" s="7">
        <v>5400</v>
      </c>
      <c r="I1821" s="8">
        <f>SUMIF(Cargas!$C$6:$C$1064,C1821,Cargas!$O$6:$O$1064)</f>
        <v>5400</v>
      </c>
      <c r="J1821" s="17">
        <f t="shared" si="33"/>
        <v>0</v>
      </c>
      <c r="K1821" s="34">
        <v>1559778</v>
      </c>
      <c r="L1821" s="34">
        <v>125909</v>
      </c>
    </row>
    <row r="1822" hidden="1">
      <c r="B1822" s="64">
        <v>46187</v>
      </c>
      <c r="C1822" s="9" t="s">
        <v>2048</v>
      </c>
      <c r="D1822" s="6" t="s">
        <v>4089</v>
      </c>
      <c r="E1822" s="6" t="s">
        <v>3789</v>
      </c>
      <c r="F1822" s="6" t="s">
        <v>2226</v>
      </c>
      <c r="G1822" s="6" t="s">
        <v>2227</v>
      </c>
      <c r="H1822" s="7">
        <v>5400</v>
      </c>
      <c r="I1822" s="8">
        <f>SUMIF(Cargas!$C$6:$C$1064,C1822,Cargas!$O$6:$O$1064)</f>
        <v>5400</v>
      </c>
      <c r="J1822" s="17">
        <f t="shared" si="33"/>
        <v>0</v>
      </c>
      <c r="K1822" s="34">
        <v>1560317</v>
      </c>
      <c r="L1822" s="34">
        <v>130851</v>
      </c>
    </row>
    <row r="1823" hidden="1">
      <c r="B1823" s="64">
        <v>46194</v>
      </c>
      <c r="C1823" s="9" t="s">
        <v>2052</v>
      </c>
      <c r="D1823" s="6" t="s">
        <v>4090</v>
      </c>
      <c r="E1823" s="6" t="s">
        <v>3789</v>
      </c>
      <c r="F1823" s="6" t="s">
        <v>2226</v>
      </c>
      <c r="G1823" s="6" t="s">
        <v>2227</v>
      </c>
      <c r="H1823" s="7">
        <v>5400</v>
      </c>
      <c r="I1823" s="8">
        <f>SUMIF(Cargas!$C$6:$C$1064,C1823,Cargas!$O$6:$O$1064)</f>
        <v>5400</v>
      </c>
      <c r="J1823" s="17">
        <f t="shared" si="33"/>
        <v>0</v>
      </c>
      <c r="K1823" s="34">
        <v>1560741</v>
      </c>
      <c r="L1823" s="34">
        <v>134268</v>
      </c>
    </row>
    <row r="1824" hidden="1">
      <c r="B1824" s="64">
        <v>46200</v>
      </c>
      <c r="C1824" s="9" t="s">
        <v>2065</v>
      </c>
      <c r="D1824" s="6" t="s">
        <v>4091</v>
      </c>
      <c r="E1824" s="6" t="s">
        <v>3789</v>
      </c>
      <c r="F1824" s="6" t="s">
        <v>2226</v>
      </c>
      <c r="G1824" s="6" t="s">
        <v>2227</v>
      </c>
      <c r="H1824" s="7">
        <v>5400</v>
      </c>
      <c r="I1824" s="8">
        <f>SUMIF(Cargas!$C$6:$C$1064,C1824,Cargas!$O$6:$O$1064)</f>
        <v>5400</v>
      </c>
      <c r="J1824" s="17">
        <f t="shared" si="33"/>
        <v>0</v>
      </c>
      <c r="K1824" s="34">
        <v>1561235</v>
      </c>
      <c r="L1824" s="34">
        <v>146293</v>
      </c>
    </row>
    <row r="1825">
      <c r="B1825" s="64">
        <v>46276</v>
      </c>
      <c r="C1825" s="9" t="s">
        <v>2160</v>
      </c>
      <c r="D1825" s="6" t="s">
        <v>4092</v>
      </c>
      <c r="E1825" s="6" t="s">
        <v>4048</v>
      </c>
      <c r="F1825" s="6" t="s">
        <v>2226</v>
      </c>
      <c r="G1825" s="6" t="s">
        <v>4044</v>
      </c>
      <c r="H1825" s="7">
        <f>176+1496+440</f>
        <v>2112</v>
      </c>
      <c r="I1825" s="8">
        <f>SUMIF(Cargas!$C$6:$C$1064,C1825,Cargas!$O$6:$O$1064)</f>
        <v>2112</v>
      </c>
      <c r="J1825" s="17">
        <f t="shared" si="33"/>
        <v>0</v>
      </c>
      <c r="K1825" s="34">
        <v>1569760</v>
      </c>
      <c r="L1825" s="34">
        <v>184644</v>
      </c>
    </row>
    <row r="1826">
      <c r="B1826" s="64">
        <v>46295</v>
      </c>
      <c r="C1826" s="9" t="s">
        <v>2183</v>
      </c>
      <c r="D1826" s="6" t="s">
        <v>4093</v>
      </c>
      <c r="E1826" s="6" t="s">
        <v>2712</v>
      </c>
      <c r="F1826" s="6" t="s">
        <v>2226</v>
      </c>
      <c r="G1826" s="6" t="s">
        <v>4044</v>
      </c>
      <c r="H1826" s="7">
        <f>1584+528</f>
        <v>2112</v>
      </c>
      <c r="I1826" s="8">
        <f>SUMIF(Cargas!$C$6:$C$1064,C1826,Cargas!$O$6:$O$1064)</f>
        <v>2112</v>
      </c>
      <c r="J1826" s="17">
        <f ref="J1826:J1827" t="shared" si="34">IF(ABS(H1826-I1826)&lt;20,0,H1826-I1826)</f>
        <v>0</v>
      </c>
      <c r="K1826" s="34">
        <v>1571825</v>
      </c>
      <c r="L1826" s="34">
        <v>199636</v>
      </c>
    </row>
    <row r="1827">
      <c r="B1827" s="64">
        <v>46297</v>
      </c>
      <c r="C1827" s="9" t="s">
        <v>2181</v>
      </c>
      <c r="D1827" s="6" t="s">
        <v>4094</v>
      </c>
      <c r="E1827" s="6" t="s">
        <v>3891</v>
      </c>
      <c r="F1827" s="6" t="s">
        <v>2226</v>
      </c>
      <c r="G1827" s="6" t="s">
        <v>3420</v>
      </c>
      <c r="H1827" s="7">
        <v>1936</v>
      </c>
      <c r="I1827" s="8">
        <f>SUMIF(Cargas!$C$6:$C$1064,C1827,Cargas!$O$6:$O$1064)</f>
        <v>1936</v>
      </c>
      <c r="J1827" s="17">
        <f t="shared" si="34"/>
        <v>0</v>
      </c>
      <c r="K1827" s="34">
        <v>1571681</v>
      </c>
      <c r="L1827" s="34">
        <v>199712</v>
      </c>
    </row>
    <row r="1828">
      <c r="B1828" s="64">
        <v>46236</v>
      </c>
      <c r="C1828" s="9" t="s">
        <v>2095</v>
      </c>
      <c r="D1828" s="6" t="s">
        <v>4095</v>
      </c>
      <c r="E1828" s="6" t="s">
        <v>2225</v>
      </c>
      <c r="F1828" s="6" t="s">
        <v>2226</v>
      </c>
      <c r="G1828" s="6" t="s">
        <v>2227</v>
      </c>
      <c r="H1828" s="7">
        <v>1680</v>
      </c>
      <c r="I1828" s="8">
        <f>SUMIF(Cargas!$C$6:$C$1064,C1828,Cargas!$O$6:$O$1064)</f>
        <v>1680</v>
      </c>
      <c r="J1828" s="17">
        <f t="shared" si="33"/>
        <v>0</v>
      </c>
      <c r="K1828" s="34">
        <v>1564257</v>
      </c>
      <c r="L1828" s="34">
        <v>165890</v>
      </c>
    </row>
    <row r="1829">
      <c r="B1829" s="64">
        <v>46250</v>
      </c>
      <c r="C1829" s="9" t="s">
        <v>2125</v>
      </c>
      <c r="D1829" s="6" t="s">
        <v>4096</v>
      </c>
      <c r="E1829" s="6" t="s">
        <v>2225</v>
      </c>
      <c r="F1829" s="6" t="s">
        <v>2226</v>
      </c>
      <c r="G1829" s="6" t="s">
        <v>2227</v>
      </c>
      <c r="H1829" s="7">
        <v>1680</v>
      </c>
      <c r="I1829" s="8">
        <f>SUMIF(Cargas!$C$6:$C$1064,C1829,Cargas!$O$6:$O$1064)</f>
        <v>1680</v>
      </c>
      <c r="J1829" s="17">
        <f t="shared" si="33"/>
        <v>0</v>
      </c>
      <c r="K1829" s="34">
        <v>1565785</v>
      </c>
      <c r="L1829" s="34">
        <v>176526</v>
      </c>
    </row>
    <row r="1830" hidden="1">
      <c r="B1830" s="64">
        <v>46208</v>
      </c>
      <c r="C1830" s="9" t="s">
        <v>2073</v>
      </c>
      <c r="D1830" s="6" t="s">
        <v>4097</v>
      </c>
      <c r="E1830" s="6" t="s">
        <v>3789</v>
      </c>
      <c r="F1830" s="6" t="s">
        <v>2226</v>
      </c>
      <c r="G1830" s="6" t="s">
        <v>2227</v>
      </c>
      <c r="H1830" s="7">
        <v>5400</v>
      </c>
      <c r="I1830" s="8">
        <f>SUMIF(Cargas!$C$6:$C$1064,C1830,Cargas!$O$6:$O$1064)</f>
        <v>5400</v>
      </c>
      <c r="J1830" s="17">
        <f t="shared" si="33"/>
        <v>0</v>
      </c>
      <c r="K1830" s="34">
        <v>1561864</v>
      </c>
      <c r="L1830" s="34">
        <v>148537</v>
      </c>
    </row>
    <row r="1831" hidden="1">
      <c r="B1831" s="64">
        <v>46215</v>
      </c>
      <c r="C1831" s="9" t="s">
        <v>2079</v>
      </c>
      <c r="D1831" s="6" t="s">
        <v>4098</v>
      </c>
      <c r="E1831" s="6" t="s">
        <v>3789</v>
      </c>
      <c r="F1831" s="6" t="s">
        <v>2226</v>
      </c>
      <c r="G1831" s="6" t="s">
        <v>2227</v>
      </c>
      <c r="H1831" s="7">
        <v>5400</v>
      </c>
      <c r="I1831" s="8">
        <f>SUMIF(Cargas!$C$6:$C$1064,C1831,Cargas!$O$6:$O$1064)</f>
        <v>5400</v>
      </c>
      <c r="J1831" s="17">
        <f t="shared" si="33"/>
        <v>0</v>
      </c>
      <c r="K1831" s="34">
        <v>1566865</v>
      </c>
      <c r="L1831" s="34">
        <v>155378</v>
      </c>
    </row>
    <row r="1832" hidden="1">
      <c r="B1832" s="64">
        <v>46133</v>
      </c>
      <c r="C1832" s="9" t="s">
        <v>1992</v>
      </c>
      <c r="D1832" s="6" t="s">
        <v>4099</v>
      </c>
      <c r="E1832" s="6" t="s">
        <v>3789</v>
      </c>
      <c r="F1832" s="6" t="s">
        <v>2226</v>
      </c>
      <c r="G1832" s="6" t="s">
        <v>2227</v>
      </c>
      <c r="H1832" s="7">
        <v>1080</v>
      </c>
      <c r="I1832" s="8">
        <f>SUMIF(Cargas!$C$6:$C$1064,C1832,Cargas!$O$6:$O$1064)</f>
        <v>1080</v>
      </c>
      <c r="J1832" s="17">
        <f t="shared" si="33"/>
        <v>0</v>
      </c>
      <c r="K1832" s="34">
        <v>1554458</v>
      </c>
      <c r="L1832" s="34">
        <v>92284</v>
      </c>
    </row>
    <row r="1833" hidden="1">
      <c r="B1833" s="64">
        <v>46222</v>
      </c>
      <c r="C1833" s="9" t="s">
        <v>2102</v>
      </c>
      <c r="D1833" s="6" t="s">
        <v>4100</v>
      </c>
      <c r="E1833" s="6" t="s">
        <v>3789</v>
      </c>
      <c r="F1833" s="6" t="s">
        <v>2226</v>
      </c>
      <c r="G1833" s="6" t="s">
        <v>2227</v>
      </c>
      <c r="H1833" s="7">
        <v>5400</v>
      </c>
      <c r="I1833" s="8">
        <f>SUMIF(Cargas!$C$6:$C$1064,C1833,Cargas!$O$6:$O$1064)</f>
        <v>5400</v>
      </c>
      <c r="J1833" s="17">
        <f t="shared" si="33"/>
        <v>0</v>
      </c>
      <c r="K1833" s="34">
        <v>1563165</v>
      </c>
      <c r="L1833" s="34">
        <v>165767</v>
      </c>
    </row>
    <row r="1834" hidden="1">
      <c r="B1834" s="64">
        <v>46146</v>
      </c>
      <c r="C1834" s="9" t="s">
        <v>2015</v>
      </c>
      <c r="D1834" s="6" t="s">
        <v>4101</v>
      </c>
      <c r="E1834" s="6" t="s">
        <v>3789</v>
      </c>
      <c r="F1834" s="6" t="s">
        <v>2226</v>
      </c>
      <c r="G1834" s="6" t="s">
        <v>2227</v>
      </c>
      <c r="H1834" s="7">
        <v>1080</v>
      </c>
      <c r="I1834" s="8">
        <f>SUMIF(Cargas!$C$6:$C$1064,C1834,Cargas!$O$6:$O$1064)</f>
        <v>1080</v>
      </c>
      <c r="J1834" s="17">
        <f t="shared" si="33"/>
        <v>0</v>
      </c>
      <c r="K1834" s="34">
        <v>1554458</v>
      </c>
      <c r="L1834" s="34">
        <v>99795</v>
      </c>
    </row>
    <row r="1835" hidden="1">
      <c r="B1835" s="64">
        <v>46167</v>
      </c>
      <c r="C1835" s="9" t="s">
        <v>2031</v>
      </c>
      <c r="D1835" s="6" t="s">
        <v>4102</v>
      </c>
      <c r="E1835" s="6" t="s">
        <v>3789</v>
      </c>
      <c r="F1835" s="6" t="s">
        <v>2226</v>
      </c>
      <c r="G1835" s="6" t="s">
        <v>2227</v>
      </c>
      <c r="H1835" s="7">
        <v>804</v>
      </c>
      <c r="I1835" s="8">
        <f>SUMIF(Cargas!$C$6:$C$1064,C1835,Cargas!$O$6:$O$1064)</f>
        <v>804</v>
      </c>
      <c r="J1835" s="17">
        <f t="shared" si="33"/>
        <v>0</v>
      </c>
      <c r="K1835" s="34">
        <v>1558600</v>
      </c>
      <c r="L1835" s="34">
        <v>116128</v>
      </c>
    </row>
    <row r="1836" hidden="1">
      <c r="B1836" s="64">
        <v>46084</v>
      </c>
      <c r="C1836" s="9" t="s">
        <v>1891</v>
      </c>
      <c r="D1836" s="6" t="s">
        <v>4103</v>
      </c>
      <c r="E1836" s="6" t="s">
        <v>4071</v>
      </c>
      <c r="F1836" s="6" t="s">
        <v>2226</v>
      </c>
      <c r="G1836" s="6" t="s">
        <v>2227</v>
      </c>
      <c r="H1836" s="7">
        <v>6480</v>
      </c>
      <c r="I1836" s="8">
        <f>SUMIF(Cargas!$C$6:$C$1064,C1836,Cargas!$O$6:$O$1064)</f>
        <v>6480</v>
      </c>
      <c r="J1836" s="17">
        <f t="shared" si="33"/>
        <v>0</v>
      </c>
      <c r="K1836" s="34">
        <v>1551105</v>
      </c>
      <c r="L1836" s="34">
        <v>54978</v>
      </c>
    </row>
    <row r="1837" hidden="1">
      <c r="B1837" s="64">
        <v>46084</v>
      </c>
      <c r="C1837" s="9" t="s">
        <v>1896</v>
      </c>
      <c r="D1837" s="6" t="s">
        <v>4104</v>
      </c>
      <c r="E1837" s="6" t="s">
        <v>4071</v>
      </c>
      <c r="F1837" s="6" t="s">
        <v>2226</v>
      </c>
      <c r="G1837" s="6" t="s">
        <v>2227</v>
      </c>
      <c r="H1837" s="7">
        <v>2160</v>
      </c>
      <c r="I1837" s="8">
        <f>SUMIF(Cargas!$C$6:$C$1064,C1837,Cargas!$O$6:$O$1064)</f>
        <v>2160</v>
      </c>
      <c r="J1837" s="17">
        <f t="shared" si="33"/>
        <v>0</v>
      </c>
      <c r="K1837" s="34">
        <v>1551546</v>
      </c>
      <c r="L1837" s="34">
        <v>56391</v>
      </c>
    </row>
    <row r="1838" hidden="1">
      <c r="B1838" s="64">
        <v>45992</v>
      </c>
      <c r="C1838" s="9" t="s">
        <v>1758</v>
      </c>
      <c r="D1838" s="6" t="s">
        <v>4105</v>
      </c>
      <c r="E1838" s="6" t="s">
        <v>4106</v>
      </c>
      <c r="F1838" s="6" t="s">
        <v>2221</v>
      </c>
      <c r="G1838" s="6" t="s">
        <v>2222</v>
      </c>
      <c r="H1838" s="7">
        <v>2100</v>
      </c>
      <c r="I1838" s="8">
        <f>SUMIF(Cargas!$C$6:$C$1064,C1838,Cargas!$O$6:$O$1064)</f>
        <v>2100</v>
      </c>
      <c r="J1838" s="17">
        <f>IF(ABS(H1838-I1838)&lt;20,0,H1838-I1838)</f>
        <v>0</v>
      </c>
      <c r="K1838" s="34">
        <v>1544076</v>
      </c>
      <c r="L1838" s="34">
        <v>10882</v>
      </c>
    </row>
    <row r="1839" hidden="1">
      <c r="B1839" s="64"/>
      <c r="C1839" s="9"/>
      <c r="D1839" s="6"/>
      <c r="E1839" s="6"/>
      <c r="F1839" s="6"/>
      <c r="G1839" s="6"/>
      <c r="H1839" s="7"/>
      <c r="I1839" s="8"/>
      <c r="J1839" s="17"/>
      <c r="K1839" s="34"/>
      <c r="L1839" s="34"/>
    </row>
    <row r="1840" hidden="1">
      <c r="B1840" s="64">
        <v>45933</v>
      </c>
      <c r="C1840" s="9" t="s">
        <v>1553</v>
      </c>
      <c r="D1840" s="6" t="s">
        <v>3877</v>
      </c>
      <c r="E1840" s="6" t="s">
        <v>3878</v>
      </c>
      <c r="F1840" s="6" t="s">
        <v>2221</v>
      </c>
      <c r="G1840" s="6" t="s">
        <v>2222</v>
      </c>
      <c r="H1840" s="7">
        <v>2288</v>
      </c>
      <c r="I1840" s="8">
        <f>SUMIF(Cargas!$C$6:$C$1064,C1840,Cargas!$O$6:$O$1064)</f>
        <v>2288</v>
      </c>
      <c r="J1840" s="17">
        <f ref="J1840:J1847" t="shared" si="36">IF(ABS(H1840-I1840)&lt;20,0,H1840-I1840)</f>
        <v>0</v>
      </c>
      <c r="K1840" s="34">
        <v>1537078</v>
      </c>
      <c r="L1840" s="34">
        <v>234220</v>
      </c>
    </row>
    <row r="1841" hidden="1">
      <c r="B1841" s="64">
        <v>45951</v>
      </c>
      <c r="C1841" s="9" t="s">
        <v>1641</v>
      </c>
      <c r="D1841" s="6" t="s">
        <v>3879</v>
      </c>
      <c r="E1841" s="6" t="s">
        <v>3876</v>
      </c>
      <c r="F1841" s="6" t="s">
        <v>2221</v>
      </c>
      <c r="G1841" s="6" t="s">
        <v>2222</v>
      </c>
      <c r="H1841" s="7">
        <v>2288</v>
      </c>
      <c r="I1841" s="8">
        <f>SUMIF(Cargas!$C$6:$C$1064,C1841,Cargas!$O$6:$O$1064)</f>
        <v>2288</v>
      </c>
      <c r="J1841" s="17">
        <f t="shared" si="36"/>
        <v>0</v>
      </c>
      <c r="K1841" s="34">
        <v>1534370</v>
      </c>
      <c r="L1841" s="34">
        <v>251544</v>
      </c>
    </row>
    <row r="1842" hidden="1">
      <c r="B1842" s="64">
        <v>45967</v>
      </c>
      <c r="C1842" s="9" t="s">
        <v>1637</v>
      </c>
      <c r="D1842" s="6" t="s">
        <v>3091</v>
      </c>
      <c r="E1842" s="6" t="s">
        <v>3020</v>
      </c>
      <c r="F1842" s="6" t="s">
        <v>2221</v>
      </c>
      <c r="G1842" s="6" t="s">
        <v>2222</v>
      </c>
      <c r="H1842" s="7">
        <v>1317</v>
      </c>
      <c r="I1842" s="8">
        <f>SUMIF(Cargas!$C$6:$C$1064,C1842,Cargas!$O$6:$O$1064)</f>
        <v>1317</v>
      </c>
      <c r="J1842" s="17">
        <f t="shared" si="36"/>
        <v>0</v>
      </c>
      <c r="K1842" s="34"/>
      <c r="L1842" s="34">
        <v>251616</v>
      </c>
    </row>
    <row r="1843" hidden="1">
      <c r="B1843" s="64">
        <v>45967</v>
      </c>
      <c r="C1843" s="9" t="s">
        <v>1639</v>
      </c>
      <c r="D1843" s="6" t="s">
        <v>3088</v>
      </c>
      <c r="E1843" s="6" t="s">
        <v>3020</v>
      </c>
      <c r="F1843" s="6" t="s">
        <v>2221</v>
      </c>
      <c r="G1843" s="6" t="s">
        <v>2222</v>
      </c>
      <c r="H1843" s="7">
        <v>1352</v>
      </c>
      <c r="I1843" s="8">
        <f>SUMIF(Cargas!$C$6:$C$1064,C1843,Cargas!$O$6:$O$1064)</f>
        <v>1352</v>
      </c>
      <c r="J1843" s="17">
        <f t="shared" si="36"/>
        <v>0</v>
      </c>
      <c r="K1843" s="34"/>
      <c r="L1843" s="34">
        <v>251547</v>
      </c>
    </row>
    <row r="1844" hidden="1">
      <c r="B1844" s="64">
        <v>45967</v>
      </c>
      <c r="C1844" s="9" t="s">
        <v>1672</v>
      </c>
      <c r="D1844" s="6" t="s">
        <v>3904</v>
      </c>
      <c r="E1844" s="6" t="s">
        <v>4107</v>
      </c>
      <c r="F1844" s="6" t="s">
        <v>2221</v>
      </c>
      <c r="G1844" s="6" t="s">
        <v>2222</v>
      </c>
      <c r="H1844" s="7">
        <v>2010</v>
      </c>
      <c r="I1844" s="8">
        <f>SUMIF(Cargas!$C$6:$C$1064,C1844,Cargas!$O$6:$O$1064)</f>
        <v>2010</v>
      </c>
      <c r="J1844" s="17">
        <f t="shared" si="36"/>
        <v>0</v>
      </c>
      <c r="K1844" s="34"/>
      <c r="L1844" s="34">
        <v>260186</v>
      </c>
    </row>
    <row r="1845" hidden="1">
      <c r="B1845" s="64">
        <v>45972</v>
      </c>
      <c r="C1845" s="9" t="s">
        <v>1689</v>
      </c>
      <c r="D1845" s="6" t="s">
        <v>959</v>
      </c>
      <c r="E1845" s="6" t="s">
        <v>3876</v>
      </c>
      <c r="F1845" s="6" t="s">
        <v>2221</v>
      </c>
      <c r="G1845" s="6" t="s">
        <v>2222</v>
      </c>
      <c r="H1845" s="7">
        <v>2280</v>
      </c>
      <c r="I1845" s="8">
        <f>SUMIF(Cargas!$C$6:$C$1064,C1845,Cargas!$O$6:$O$1064)</f>
        <v>2280</v>
      </c>
      <c r="J1845" s="17">
        <f t="shared" si="36"/>
        <v>0</v>
      </c>
      <c r="K1845" s="34"/>
      <c r="L1845" s="34">
        <v>265509</v>
      </c>
    </row>
    <row r="1846" hidden="1">
      <c r="B1846" s="64">
        <v>45990</v>
      </c>
      <c r="C1846" s="9" t="s">
        <v>1721</v>
      </c>
      <c r="D1846" s="6" t="s">
        <v>3905</v>
      </c>
      <c r="E1846" s="6" t="s">
        <v>3876</v>
      </c>
      <c r="F1846" s="6" t="s">
        <v>2221</v>
      </c>
      <c r="G1846" s="6" t="s">
        <v>2222</v>
      </c>
      <c r="H1846" s="7">
        <v>2280</v>
      </c>
      <c r="I1846" s="8">
        <f>SUMIF(Cargas!$C$6:$C$1064,C1846,Cargas!$O$6:$O$1064)</f>
        <v>2280</v>
      </c>
      <c r="J1846" s="17">
        <f t="shared" si="36"/>
        <v>0</v>
      </c>
      <c r="K1846" s="34"/>
      <c r="L1846" s="34">
        <v>828</v>
      </c>
    </row>
    <row r="1847" hidden="1">
      <c r="B1847" s="64">
        <v>46007</v>
      </c>
      <c r="C1847" s="9" t="s">
        <v>1788</v>
      </c>
      <c r="D1847" s="6" t="s">
        <v>4108</v>
      </c>
      <c r="E1847" s="6" t="s">
        <v>3878</v>
      </c>
      <c r="F1847" s="6" t="s">
        <v>2221</v>
      </c>
      <c r="G1847" s="6" t="s">
        <v>2222</v>
      </c>
      <c r="H1847" s="7">
        <v>2100</v>
      </c>
      <c r="I1847" s="8">
        <f>SUMIF(Cargas!$C$6:$C$1064,C1847,Cargas!$O$6:$O$1064)</f>
        <v>2100</v>
      </c>
      <c r="J1847" s="17">
        <f t="shared" si="36"/>
        <v>0</v>
      </c>
      <c r="K1847" s="34">
        <v>154597</v>
      </c>
      <c r="L1847" s="34">
        <v>21493</v>
      </c>
    </row>
    <row r="1848" hidden="1">
      <c r="B1848" s="64"/>
      <c r="C1848" s="9"/>
      <c r="D1848" s="6"/>
      <c r="E1848" s="6"/>
      <c r="F1848" s="6"/>
      <c r="G1848" s="6"/>
      <c r="H1848" s="7"/>
      <c r="I1848" s="8"/>
      <c r="J1848" s="17"/>
      <c r="K1848" s="34"/>
      <c r="L1848" s="34"/>
    </row>
    <row r="1849" hidden="1">
      <c r="B1849" s="64">
        <v>46021</v>
      </c>
      <c r="C1849" s="9" t="s">
        <v>1810</v>
      </c>
      <c r="D1849" s="6" t="s">
        <v>4109</v>
      </c>
      <c r="E1849" s="6" t="s">
        <v>3878</v>
      </c>
      <c r="F1849" s="6" t="s">
        <v>2221</v>
      </c>
      <c r="G1849" s="6" t="s">
        <v>2222</v>
      </c>
      <c r="H1849" s="7">
        <v>2200</v>
      </c>
      <c r="I1849" s="8">
        <f>SUMIF(Cargas!$C$6:$C$1064,C1849,Cargas!$O$6:$O$1064)</f>
        <v>2200</v>
      </c>
      <c r="J1849" s="17">
        <f ref="J1849:J1920" t="shared" si="37">IF(ABS(H1849-I1849)&lt;20,0,H1849-I1849)</f>
        <v>0</v>
      </c>
      <c r="K1849" s="34"/>
      <c r="L1849" s="34">
        <v>31927</v>
      </c>
    </row>
    <row r="1850" hidden="1">
      <c r="B1850" s="64">
        <v>46091</v>
      </c>
      <c r="C1850" s="9" t="s">
        <v>1904</v>
      </c>
      <c r="D1850" s="6" t="s">
        <v>4110</v>
      </c>
      <c r="E1850" s="6" t="s">
        <v>4071</v>
      </c>
      <c r="F1850" s="6" t="s">
        <v>2226</v>
      </c>
      <c r="G1850" s="6" t="s">
        <v>2227</v>
      </c>
      <c r="H1850" s="7">
        <v>6480</v>
      </c>
      <c r="I1850" s="8">
        <f>SUMIF(Cargas!$C$6:$C$1064,C1850,Cargas!$O$6:$O$1064)</f>
        <v>6480</v>
      </c>
      <c r="J1850" s="17">
        <f t="shared" si="37"/>
        <v>0</v>
      </c>
      <c r="K1850" s="34">
        <v>1551627</v>
      </c>
      <c r="L1850" s="34">
        <v>59701</v>
      </c>
    </row>
    <row r="1851" hidden="1">
      <c r="B1851" s="64">
        <v>46091</v>
      </c>
      <c r="C1851" s="9" t="s">
        <v>1906</v>
      </c>
      <c r="D1851" s="6" t="s">
        <v>4111</v>
      </c>
      <c r="E1851" s="6" t="s">
        <v>4071</v>
      </c>
      <c r="F1851" s="6" t="s">
        <v>2226</v>
      </c>
      <c r="G1851" s="6" t="s">
        <v>2227</v>
      </c>
      <c r="H1851" s="7">
        <v>2160</v>
      </c>
      <c r="I1851" s="8">
        <f>SUMIF(Cargas!$C$6:$C$1064,C1851,Cargas!$O$6:$O$1064)</f>
        <v>2160</v>
      </c>
      <c r="J1851" s="17">
        <f t="shared" si="37"/>
        <v>0</v>
      </c>
      <c r="K1851" s="34">
        <v>1551628</v>
      </c>
      <c r="L1851" s="34">
        <v>59632</v>
      </c>
    </row>
    <row r="1852" hidden="1">
      <c r="B1852" s="64">
        <v>46091</v>
      </c>
      <c r="C1852" s="9" t="s">
        <v>1902</v>
      </c>
      <c r="D1852" s="6" t="s">
        <v>4112</v>
      </c>
      <c r="E1852" s="6" t="s">
        <v>4071</v>
      </c>
      <c r="F1852" s="6" t="s">
        <v>2226</v>
      </c>
      <c r="G1852" s="6" t="s">
        <v>2227</v>
      </c>
      <c r="H1852" s="7">
        <v>2160</v>
      </c>
      <c r="I1852" s="8">
        <f>SUMIF(Cargas!$C$6:$C$1064,C1852,Cargas!$O$6:$O$1064)</f>
        <v>2160</v>
      </c>
      <c r="J1852" s="17">
        <f t="shared" si="37"/>
        <v>0</v>
      </c>
      <c r="K1852" s="34">
        <v>1551891</v>
      </c>
      <c r="L1852" s="34">
        <v>59725</v>
      </c>
    </row>
    <row r="1853" hidden="1">
      <c r="B1853" s="64">
        <v>46098</v>
      </c>
      <c r="C1853" s="9" t="s">
        <v>1923</v>
      </c>
      <c r="D1853" s="6" t="s">
        <v>4113</v>
      </c>
      <c r="E1853" s="6" t="s">
        <v>4071</v>
      </c>
      <c r="F1853" s="6" t="s">
        <v>2226</v>
      </c>
      <c r="G1853" s="6" t="s">
        <v>2227</v>
      </c>
      <c r="H1853" s="7">
        <v>5400</v>
      </c>
      <c r="I1853" s="8">
        <f>SUMIF(Cargas!$C$6:$C$1064,C1853,Cargas!$O$6:$O$1064)</f>
        <v>5400</v>
      </c>
      <c r="J1853" s="17">
        <f t="shared" si="37"/>
        <v>0</v>
      </c>
      <c r="K1853" s="34">
        <v>1552356</v>
      </c>
      <c r="L1853" s="34">
        <v>63360</v>
      </c>
    </row>
    <row r="1854" hidden="1">
      <c r="B1854" s="64">
        <v>46098</v>
      </c>
      <c r="C1854" s="9" t="s">
        <v>1925</v>
      </c>
      <c r="D1854" s="6" t="s">
        <v>4114</v>
      </c>
      <c r="E1854" s="6" t="s">
        <v>4071</v>
      </c>
      <c r="F1854" s="6" t="s">
        <v>2226</v>
      </c>
      <c r="G1854" s="6" t="s">
        <v>2227</v>
      </c>
      <c r="H1854" s="7">
        <v>5400</v>
      </c>
      <c r="I1854" s="8">
        <f>SUMIF(Cargas!$C$6:$C$1064,C1854,Cargas!$O$6:$O$1064)</f>
        <v>5400</v>
      </c>
      <c r="J1854" s="17">
        <f t="shared" si="37"/>
        <v>0</v>
      </c>
      <c r="K1854" s="34">
        <v>1552357</v>
      </c>
      <c r="L1854" s="34">
        <v>63360</v>
      </c>
    </row>
    <row r="1855" hidden="1">
      <c r="B1855" s="64">
        <v>46119</v>
      </c>
      <c r="C1855" s="9" t="s">
        <v>1955</v>
      </c>
      <c r="D1855" s="6" t="s">
        <v>4115</v>
      </c>
      <c r="E1855" s="6" t="s">
        <v>2220</v>
      </c>
      <c r="F1855" s="6" t="s">
        <v>2226</v>
      </c>
      <c r="G1855" s="6" t="s">
        <v>2227</v>
      </c>
      <c r="H1855" s="7">
        <v>2224</v>
      </c>
      <c r="I1855" s="8">
        <f>SUMIF(Cargas!$C$6:$C$1064,C1855,Cargas!$O$6:$O$1064)</f>
        <v>2224</v>
      </c>
      <c r="J1855" s="17">
        <f t="shared" si="37"/>
        <v>0</v>
      </c>
      <c r="K1855" s="34">
        <v>1554274</v>
      </c>
      <c r="L1855" s="34">
        <v>78445</v>
      </c>
    </row>
    <row r="1856" hidden="1">
      <c r="B1856" s="64">
        <v>46139</v>
      </c>
      <c r="C1856" s="9" t="s">
        <v>2004</v>
      </c>
      <c r="D1856" s="6" t="s">
        <v>4116</v>
      </c>
      <c r="E1856" s="6" t="s">
        <v>2220</v>
      </c>
      <c r="F1856" s="6" t="s">
        <v>2226</v>
      </c>
      <c r="G1856" s="6" t="s">
        <v>2227</v>
      </c>
      <c r="H1856" s="7">
        <v>1080</v>
      </c>
      <c r="I1856" s="8">
        <f>SUMIF(Cargas!$C$6:$C$1064,C1856,Cargas!$O$6:$O$1064)</f>
        <v>1080</v>
      </c>
      <c r="J1856" s="17">
        <f t="shared" si="37"/>
        <v>0</v>
      </c>
      <c r="K1856" s="34">
        <v>1554274</v>
      </c>
      <c r="L1856" s="34">
        <v>95968</v>
      </c>
    </row>
    <row r="1857" hidden="1">
      <c r="B1857" s="64">
        <v>46119</v>
      </c>
      <c r="C1857" s="9" t="s">
        <v>1961</v>
      </c>
      <c r="D1857" s="6" t="s">
        <v>4117</v>
      </c>
      <c r="E1857" s="6" t="s">
        <v>4071</v>
      </c>
      <c r="F1857" s="6" t="s">
        <v>2226</v>
      </c>
      <c r="G1857" s="6" t="s">
        <v>2227</v>
      </c>
      <c r="H1857" s="7">
        <v>3240</v>
      </c>
      <c r="I1857" s="8">
        <f>SUMIF(Cargas!$C$6:$C$1064,C1857,Cargas!$O$6:$O$1064)</f>
        <v>3240</v>
      </c>
      <c r="J1857" s="17">
        <f t="shared" si="37"/>
        <v>0</v>
      </c>
      <c r="K1857" s="34">
        <v>1554273</v>
      </c>
      <c r="L1857" s="34">
        <v>80771</v>
      </c>
    </row>
    <row r="1858" hidden="1">
      <c r="B1858" s="64">
        <v>46126</v>
      </c>
      <c r="C1858" s="9" t="s">
        <v>1971</v>
      </c>
      <c r="D1858" s="6" t="s">
        <v>4118</v>
      </c>
      <c r="E1858" s="6" t="s">
        <v>4071</v>
      </c>
      <c r="F1858" s="6" t="s">
        <v>2226</v>
      </c>
      <c r="G1858" s="6" t="s">
        <v>2227</v>
      </c>
      <c r="H1858" s="7">
        <v>3240</v>
      </c>
      <c r="I1858" s="8">
        <f>SUMIF(Cargas!$C$6:$C$1064,C1858,Cargas!$O$6:$O$1064)</f>
        <v>3240</v>
      </c>
      <c r="J1858" s="17">
        <f t="shared" si="37"/>
        <v>0</v>
      </c>
      <c r="K1858" s="34">
        <v>1555502</v>
      </c>
      <c r="L1858" s="34">
        <v>84901</v>
      </c>
    </row>
    <row r="1859" hidden="1">
      <c r="B1859" s="64">
        <v>46133</v>
      </c>
      <c r="C1859" s="9" t="s">
        <v>1981</v>
      </c>
      <c r="D1859" s="6" t="s">
        <v>4119</v>
      </c>
      <c r="E1859" s="6" t="s">
        <v>4071</v>
      </c>
      <c r="F1859" s="6" t="s">
        <v>2226</v>
      </c>
      <c r="G1859" s="6" t="s">
        <v>2227</v>
      </c>
      <c r="H1859" s="7">
        <v>3240</v>
      </c>
      <c r="I1859" s="8">
        <f>SUMIF(Cargas!$C$6:$C$1064,C1859,Cargas!$O$6:$O$1064)</f>
        <v>3240</v>
      </c>
      <c r="J1859" s="17">
        <f t="shared" si="37"/>
        <v>0</v>
      </c>
      <c r="K1859" s="34">
        <v>1555694</v>
      </c>
      <c r="L1859" s="34">
        <v>90332</v>
      </c>
    </row>
    <row r="1860" hidden="1">
      <c r="B1860" s="64">
        <v>46139</v>
      </c>
      <c r="C1860" s="9" t="s">
        <v>1998</v>
      </c>
      <c r="D1860" s="6" t="s">
        <v>4120</v>
      </c>
      <c r="E1860" s="6" t="s">
        <v>4071</v>
      </c>
      <c r="F1860" s="6" t="s">
        <v>2226</v>
      </c>
      <c r="G1860" s="6" t="s">
        <v>2227</v>
      </c>
      <c r="H1860" s="7">
        <v>3240</v>
      </c>
      <c r="I1860" s="8">
        <f>SUMIF(Cargas!$C$6:$C$1064,C1860,Cargas!$O$6:$O$1064)</f>
        <v>3240</v>
      </c>
      <c r="J1860" s="17">
        <f t="shared" si="37"/>
        <v>0</v>
      </c>
      <c r="K1860" s="34">
        <v>1556212</v>
      </c>
      <c r="L1860" s="34">
        <v>95075</v>
      </c>
    </row>
    <row r="1861" hidden="1">
      <c r="B1861" s="64">
        <v>46084</v>
      </c>
      <c r="C1861" s="9" t="s">
        <v>1932</v>
      </c>
      <c r="D1861" s="6" t="s">
        <v>4121</v>
      </c>
      <c r="E1861" s="6" t="s">
        <v>2916</v>
      </c>
      <c r="F1861" s="6" t="s">
        <v>2226</v>
      </c>
      <c r="G1861" s="6" t="s">
        <v>2227</v>
      </c>
      <c r="H1861" s="7">
        <v>1920</v>
      </c>
      <c r="I1861" s="8">
        <f>SUMIF(Cargas!$C$6:$C$1064,C1861,Cargas!$O$6:$O$1064)</f>
        <v>1920</v>
      </c>
      <c r="J1861" s="17">
        <f t="shared" si="37"/>
        <v>0</v>
      </c>
      <c r="K1861" s="34"/>
      <c r="L1861" s="34">
        <v>66074</v>
      </c>
    </row>
    <row r="1862" hidden="1">
      <c r="B1862" s="64">
        <v>46043</v>
      </c>
      <c r="C1862" s="9" t="s">
        <v>1770</v>
      </c>
      <c r="D1862" s="6" t="s">
        <v>4122</v>
      </c>
      <c r="E1862" s="6" t="s">
        <v>4067</v>
      </c>
      <c r="F1862" s="6" t="s">
        <v>3901</v>
      </c>
      <c r="G1862" s="6" t="s">
        <v>2222</v>
      </c>
      <c r="H1862" s="7">
        <v>60</v>
      </c>
      <c r="I1862" s="8">
        <f>SUMIF(Cargas!$C$6:$C$1064,C1862,Cargas!$O$6:$O$1064)</f>
        <v>60</v>
      </c>
      <c r="J1862" s="17">
        <f t="shared" si="37"/>
        <v>0</v>
      </c>
      <c r="K1862" s="34">
        <v>1547650</v>
      </c>
      <c r="L1862" s="34">
        <v>13939</v>
      </c>
    </row>
    <row r="1863" hidden="1">
      <c r="B1863" s="64">
        <v>46031</v>
      </c>
      <c r="C1863" s="9" t="s">
        <v>1856</v>
      </c>
      <c r="D1863" s="6" t="s">
        <v>4123</v>
      </c>
      <c r="E1863" s="6" t="s">
        <v>3020</v>
      </c>
      <c r="F1863" s="6" t="s">
        <v>2221</v>
      </c>
      <c r="G1863" s="6" t="s">
        <v>2222</v>
      </c>
      <c r="H1863" s="7">
        <v>1664</v>
      </c>
      <c r="I1863" s="8">
        <f>SUMIF(Cargas!$C$6:$C$1064,C1863,Cargas!$O$6:$O$1064)</f>
        <v>1664</v>
      </c>
      <c r="J1863" s="17">
        <f t="shared" si="37"/>
        <v>0</v>
      </c>
      <c r="K1863" s="34"/>
      <c r="L1863" s="34">
        <v>43205</v>
      </c>
    </row>
    <row r="1864" hidden="1" ht="15.75">
      <c r="B1864" s="64">
        <v>46039</v>
      </c>
      <c r="C1864" s="9" t="s">
        <v>1901</v>
      </c>
      <c r="D1864" s="6" t="s">
        <v>3898</v>
      </c>
      <c r="E1864" s="6" t="s">
        <v>3020</v>
      </c>
      <c r="F1864" s="6" t="s">
        <v>2221</v>
      </c>
      <c r="G1864" s="6" t="s">
        <v>2222</v>
      </c>
      <c r="H1864" s="7">
        <v>1664</v>
      </c>
      <c r="I1864" s="8">
        <f>SUMIF(Cargas!$C$6:$C$1064,C1864,Cargas!$O$6:$O$1064)</f>
        <v>1664</v>
      </c>
      <c r="J1864" s="17">
        <f t="shared" si="37"/>
        <v>0</v>
      </c>
      <c r="K1864" s="34"/>
      <c r="L1864" s="119">
        <v>59366</v>
      </c>
    </row>
    <row r="1865" hidden="1" ht="15.75">
      <c r="B1865" s="64">
        <v>46039</v>
      </c>
      <c r="C1865" s="9" t="s">
        <v>1901</v>
      </c>
      <c r="D1865" s="6" t="s">
        <v>4124</v>
      </c>
      <c r="E1865" s="6" t="s">
        <v>3020</v>
      </c>
      <c r="F1865" s="6" t="s">
        <v>2221</v>
      </c>
      <c r="G1865" s="6" t="s">
        <v>2222</v>
      </c>
      <c r="H1865" s="7">
        <v>1664</v>
      </c>
      <c r="I1865" s="8">
        <f>SUMIF(Cargas!$C$6:$C$1064,C1865,Cargas!$O$6:$O$1064)</f>
        <v>1664</v>
      </c>
      <c r="J1865" s="17">
        <f t="shared" si="37"/>
        <v>0</v>
      </c>
      <c r="K1865" s="34"/>
      <c r="L1865" s="119" t="s">
        <v>29</v>
      </c>
    </row>
    <row r="1866" hidden="1">
      <c r="B1866" s="64">
        <v>46036</v>
      </c>
      <c r="C1866" s="9" t="s">
        <v>1814</v>
      </c>
      <c r="D1866" s="6" t="s">
        <v>4125</v>
      </c>
      <c r="E1866" s="6" t="s">
        <v>2916</v>
      </c>
      <c r="F1866" s="6" t="s">
        <v>2226</v>
      </c>
      <c r="G1866" s="6" t="s">
        <v>2227</v>
      </c>
      <c r="H1866" s="7">
        <v>1920</v>
      </c>
      <c r="I1866" s="8">
        <f>SUMIF(Cargas!$C$6:$C$1064,C1866,Cargas!$O$6:$O$1064)</f>
        <v>1920</v>
      </c>
      <c r="J1866" s="17">
        <f t="shared" si="37"/>
        <v>0</v>
      </c>
      <c r="K1866" s="34">
        <v>1547159</v>
      </c>
      <c r="L1866" s="34">
        <v>32687</v>
      </c>
    </row>
    <row r="1867" hidden="1">
      <c r="B1867" s="64">
        <v>46081</v>
      </c>
      <c r="C1867" s="9" t="s">
        <v>1827</v>
      </c>
      <c r="D1867" s="6" t="s">
        <v>4126</v>
      </c>
      <c r="E1867" s="6" t="s">
        <v>2916</v>
      </c>
      <c r="F1867" s="6" t="s">
        <v>2226</v>
      </c>
      <c r="G1867" s="6" t="s">
        <v>2227</v>
      </c>
      <c r="H1867" s="7">
        <v>1920</v>
      </c>
      <c r="I1867" s="8">
        <f>SUMIF(Cargas!$C$6:$C$1064,C1867,Cargas!$O$6:$O$1064)</f>
        <v>1920</v>
      </c>
      <c r="J1867" s="17">
        <f t="shared" si="37"/>
        <v>0</v>
      </c>
      <c r="K1867" s="34"/>
      <c r="L1867" s="34" t="s">
        <v>29</v>
      </c>
    </row>
    <row r="1868" hidden="1">
      <c r="B1868" s="64">
        <v>46139</v>
      </c>
      <c r="C1868" s="9" t="s">
        <v>2000</v>
      </c>
      <c r="D1868" s="6" t="s">
        <v>4127</v>
      </c>
      <c r="E1868" s="6" t="s">
        <v>4071</v>
      </c>
      <c r="F1868" s="6" t="s">
        <v>2226</v>
      </c>
      <c r="G1868" s="6" t="s">
        <v>2227</v>
      </c>
      <c r="H1868" s="7">
        <v>2160</v>
      </c>
      <c r="I1868" s="8">
        <f>SUMIF(Cargas!$C$6:$C$1064,C1868,Cargas!$O$6:$O$1064)</f>
        <v>2160</v>
      </c>
      <c r="J1868" s="17">
        <f t="shared" si="37"/>
        <v>0</v>
      </c>
      <c r="K1868" s="34">
        <v>1556212</v>
      </c>
      <c r="L1868" s="34">
        <v>95075</v>
      </c>
    </row>
    <row r="1869" hidden="1">
      <c r="B1869" s="64">
        <v>46139</v>
      </c>
      <c r="C1869" s="9" t="s">
        <v>2001</v>
      </c>
      <c r="D1869" s="6" t="s">
        <v>4128</v>
      </c>
      <c r="E1869" s="6" t="s">
        <v>4071</v>
      </c>
      <c r="F1869" s="6" t="s">
        <v>2226</v>
      </c>
      <c r="G1869" s="6" t="s">
        <v>2227</v>
      </c>
      <c r="H1869" s="7">
        <v>2160</v>
      </c>
      <c r="I1869" s="8">
        <f>SUMIF(Cargas!$C$6:$C$1064,C1869,Cargas!$O$6:$O$1064)</f>
        <v>2160</v>
      </c>
      <c r="J1869" s="17">
        <f t="shared" si="37"/>
        <v>0</v>
      </c>
      <c r="K1869" s="34">
        <v>1556212</v>
      </c>
      <c r="L1869" s="34">
        <v>95075</v>
      </c>
    </row>
    <row r="1870" hidden="1">
      <c r="B1870" s="64">
        <v>46146</v>
      </c>
      <c r="C1870" s="9" t="s">
        <v>2010</v>
      </c>
      <c r="D1870" s="6" t="s">
        <v>4129</v>
      </c>
      <c r="E1870" s="6" t="s">
        <v>4071</v>
      </c>
      <c r="F1870" s="6" t="s">
        <v>2226</v>
      </c>
      <c r="G1870" s="6" t="s">
        <v>2227</v>
      </c>
      <c r="H1870" s="7">
        <v>1080</v>
      </c>
      <c r="I1870" s="8">
        <f>SUMIF(Cargas!$C$6:$C$1064,C1870,Cargas!$O$6:$O$1064)</f>
        <v>1080</v>
      </c>
      <c r="J1870" s="17">
        <f t="shared" si="37"/>
        <v>0</v>
      </c>
      <c r="K1870" s="34">
        <v>1556213</v>
      </c>
      <c r="L1870" s="34">
        <v>99802</v>
      </c>
    </row>
    <row r="1871" hidden="1">
      <c r="B1871" s="64">
        <v>46180</v>
      </c>
      <c r="C1871" s="9" t="s">
        <v>2040</v>
      </c>
      <c r="D1871" s="6" t="s">
        <v>4130</v>
      </c>
      <c r="E1871" s="6" t="s">
        <v>4071</v>
      </c>
      <c r="F1871" s="6" t="s">
        <v>2226</v>
      </c>
      <c r="G1871" s="6" t="s">
        <v>2227</v>
      </c>
      <c r="H1871" s="7">
        <v>2160</v>
      </c>
      <c r="I1871" s="8">
        <f>SUMIF(Cargas!$C$6:$C$1064,C1871,Cargas!$O$6:$O$1064)</f>
        <v>2160</v>
      </c>
      <c r="J1871" s="17">
        <f t="shared" si="37"/>
        <v>0</v>
      </c>
      <c r="K1871" s="34">
        <v>1560162</v>
      </c>
      <c r="L1871" s="34">
        <v>124931</v>
      </c>
    </row>
    <row r="1872" hidden="1">
      <c r="B1872" s="64">
        <v>46187</v>
      </c>
      <c r="C1872" s="9" t="s">
        <v>2046</v>
      </c>
      <c r="D1872" s="6" t="s">
        <v>4131</v>
      </c>
      <c r="E1872" s="6" t="s">
        <v>4071</v>
      </c>
      <c r="F1872" s="6" t="s">
        <v>2226</v>
      </c>
      <c r="G1872" s="6" t="s">
        <v>2227</v>
      </c>
      <c r="H1872" s="7">
        <v>2160</v>
      </c>
      <c r="I1872" s="8">
        <f>SUMIF(Cargas!$C$6:$C$1064,C1872,Cargas!$O$6:$O$1064)</f>
        <v>2160</v>
      </c>
      <c r="J1872" s="17">
        <f t="shared" si="37"/>
        <v>0</v>
      </c>
      <c r="K1872" s="34">
        <v>1560526</v>
      </c>
      <c r="L1872" s="34">
        <v>128401</v>
      </c>
    </row>
    <row r="1873" hidden="1" ht="15.75">
      <c r="B1873" s="64">
        <v>46099</v>
      </c>
      <c r="C1873" s="9" t="s">
        <v>1884</v>
      </c>
      <c r="D1873" s="6" t="s">
        <v>4132</v>
      </c>
      <c r="E1873" s="6" t="s">
        <v>4133</v>
      </c>
      <c r="F1873" s="6" t="s">
        <v>3901</v>
      </c>
      <c r="G1873" s="6" t="s">
        <v>2222</v>
      </c>
      <c r="H1873" s="7">
        <v>765</v>
      </c>
      <c r="I1873" s="8">
        <f>SUMIF(Cargas!$C$6:$C$1064,C1873,Cargas!$O$6:$O$1064)</f>
        <v>765</v>
      </c>
      <c r="J1873" s="17">
        <f t="shared" si="37"/>
        <v>0</v>
      </c>
      <c r="K1873" s="34"/>
      <c r="L1873" s="119">
        <v>56289</v>
      </c>
    </row>
    <row r="1874" hidden="1" ht="15.75">
      <c r="B1874" s="64">
        <v>46081</v>
      </c>
      <c r="C1874" s="9" t="s">
        <v>1860</v>
      </c>
      <c r="D1874" s="6" t="s">
        <v>4134</v>
      </c>
      <c r="E1874" s="6" t="s">
        <v>4133</v>
      </c>
      <c r="F1874" s="6" t="s">
        <v>3901</v>
      </c>
      <c r="G1874" s="6" t="s">
        <v>2222</v>
      </c>
      <c r="H1874" s="7">
        <v>510</v>
      </c>
      <c r="I1874" s="8">
        <f>SUMIF(Cargas!$C$6:$C$1064,C1874,Cargas!$O$6:$O$1064)</f>
        <v>510</v>
      </c>
      <c r="J1874" s="17">
        <f t="shared" si="37"/>
        <v>0</v>
      </c>
      <c r="K1874" s="34"/>
      <c r="L1874" s="119">
        <v>45222</v>
      </c>
    </row>
    <row r="1875" hidden="1" ht="15.75">
      <c r="B1875" s="64">
        <v>46112</v>
      </c>
      <c r="C1875" s="9" t="s">
        <v>1939</v>
      </c>
      <c r="D1875" s="6" t="s">
        <v>4135</v>
      </c>
      <c r="E1875" s="6" t="s">
        <v>4136</v>
      </c>
      <c r="F1875" s="6" t="s">
        <v>3901</v>
      </c>
      <c r="G1875" s="6" t="s">
        <v>2222</v>
      </c>
      <c r="H1875" s="7">
        <v>1200</v>
      </c>
      <c r="I1875" s="8">
        <f>SUMIF(Cargas!$C$6:$C$1064,C1875,Cargas!$O$6:$O$1064)</f>
        <v>1200</v>
      </c>
      <c r="J1875" s="17">
        <f t="shared" si="37"/>
        <v>0</v>
      </c>
      <c r="K1875" s="34"/>
      <c r="L1875" s="119">
        <v>70567</v>
      </c>
    </row>
    <row r="1876" hidden="1">
      <c r="B1876" s="64">
        <v>46194</v>
      </c>
      <c r="C1876" s="9" t="s">
        <v>2054</v>
      </c>
      <c r="D1876" s="6" t="s">
        <v>4137</v>
      </c>
      <c r="E1876" s="6" t="s">
        <v>4071</v>
      </c>
      <c r="F1876" s="6" t="s">
        <v>2226</v>
      </c>
      <c r="G1876" s="6" t="s">
        <v>2227</v>
      </c>
      <c r="H1876" s="7">
        <v>3240</v>
      </c>
      <c r="I1876" s="8">
        <f>SUMIF(Cargas!$C$6:$C$1064,C1876,Cargas!$O$6:$O$1064)</f>
        <v>3240</v>
      </c>
      <c r="J1876" s="17">
        <f t="shared" si="37"/>
        <v>0</v>
      </c>
      <c r="K1876" s="34">
        <v>1561035</v>
      </c>
      <c r="L1876" s="34">
        <v>134109</v>
      </c>
    </row>
    <row r="1877">
      <c r="B1877" s="64">
        <v>46266</v>
      </c>
      <c r="C1877" s="9" t="s">
        <v>2157</v>
      </c>
      <c r="D1877" s="6" t="s">
        <v>4138</v>
      </c>
      <c r="E1877" s="6" t="s">
        <v>2225</v>
      </c>
      <c r="F1877" s="6" t="s">
        <v>2226</v>
      </c>
      <c r="G1877" s="6" t="s">
        <v>2227</v>
      </c>
      <c r="H1877" s="7">
        <v>1680</v>
      </c>
      <c r="I1877" s="8">
        <f>SUMIF(Cargas!$C$6:$C$1064,C1877,Cargas!$O$6:$O$1064)</f>
        <v>1680</v>
      </c>
      <c r="J1877" s="17">
        <f t="shared" si="37"/>
        <v>0</v>
      </c>
      <c r="K1877" s="34">
        <v>1565785</v>
      </c>
      <c r="L1877" s="34">
        <v>184926</v>
      </c>
    </row>
    <row r="1878">
      <c r="B1878" s="64">
        <v>46280</v>
      </c>
      <c r="C1878" s="9" t="s">
        <v>2176</v>
      </c>
      <c r="D1878" s="6" t="s">
        <v>4139</v>
      </c>
      <c r="E1878" s="6" t="s">
        <v>2225</v>
      </c>
      <c r="F1878" s="6" t="s">
        <v>2226</v>
      </c>
      <c r="G1878" s="6" t="s">
        <v>2227</v>
      </c>
      <c r="H1878" s="7">
        <v>1680</v>
      </c>
      <c r="I1878" s="8">
        <f>SUMIF(Cargas!$C$6:$C$1064,C1878,Cargas!$O$6:$O$1064)</f>
        <v>1680</v>
      </c>
      <c r="J1878" s="17">
        <f>IF(ABS(H1878-I1878)&lt;20,0,H1878-I1878)</f>
        <v>0</v>
      </c>
      <c r="K1878" s="34">
        <v>1567599</v>
      </c>
      <c r="L1878" s="34">
        <v>196262</v>
      </c>
    </row>
    <row r="1879">
      <c r="B1879" s="64">
        <v>46294</v>
      </c>
      <c r="C1879" s="9" t="s">
        <v>2200</v>
      </c>
      <c r="D1879" s="6" t="s">
        <v>4140</v>
      </c>
      <c r="E1879" s="6" t="s">
        <v>2225</v>
      </c>
      <c r="F1879" s="6" t="s">
        <v>2226</v>
      </c>
      <c r="G1879" s="6" t="s">
        <v>2227</v>
      </c>
      <c r="H1879" s="7">
        <v>1680</v>
      </c>
      <c r="I1879" s="8">
        <f>SUMIF(Cargas!$C$6:$C$1064,C1879,Cargas!$O$6:$O$1064)</f>
        <v>1680</v>
      </c>
      <c r="J1879" s="17">
        <f>IF(ABS(H1879-I1879)&lt;20,0,H1879-I1879)</f>
        <v>0</v>
      </c>
      <c r="K1879" s="34">
        <v>1569034</v>
      </c>
      <c r="L1879" s="34" t="s">
        <v>29</v>
      </c>
    </row>
    <row r="1880" ht="13.5" customHeight="1">
      <c r="B1880" s="64">
        <v>46236</v>
      </c>
      <c r="C1880" s="9" t="s">
        <v>2127</v>
      </c>
      <c r="D1880" s="6" t="s">
        <v>4141</v>
      </c>
      <c r="E1880" s="6" t="s">
        <v>3789</v>
      </c>
      <c r="F1880" s="6" t="s">
        <v>2226</v>
      </c>
      <c r="G1880" s="6" t="s">
        <v>2227</v>
      </c>
      <c r="H1880" s="7">
        <v>2160</v>
      </c>
      <c r="I1880" s="8">
        <f>SUMIF(Cargas!$C$6:$C$1064,C1880,Cargas!$O$6:$O$1064)</f>
        <v>2160</v>
      </c>
      <c r="J1880" s="17">
        <f t="shared" si="37"/>
        <v>0</v>
      </c>
      <c r="K1880" s="34">
        <v>1564255</v>
      </c>
      <c r="L1880" s="34">
        <v>176585</v>
      </c>
    </row>
    <row r="1881" ht="13.5" customHeight="1">
      <c r="B1881" s="64">
        <v>46243</v>
      </c>
      <c r="C1881" s="9" t="s">
        <v>2121</v>
      </c>
      <c r="D1881" s="6" t="s">
        <v>4142</v>
      </c>
      <c r="E1881" s="6" t="s">
        <v>3789</v>
      </c>
      <c r="F1881" s="6" t="s">
        <v>2226</v>
      </c>
      <c r="G1881" s="6" t="s">
        <v>2227</v>
      </c>
      <c r="H1881" s="7">
        <v>5346</v>
      </c>
      <c r="I1881" s="8">
        <f>SUMIF(Cargas!$C$6:$C$1064,C1881,Cargas!$O$6:$O$1064)</f>
        <v>5346</v>
      </c>
      <c r="J1881" s="17">
        <f t="shared" si="37"/>
        <v>0</v>
      </c>
      <c r="K1881" s="34">
        <v>1565119</v>
      </c>
      <c r="L1881" s="34">
        <v>177057</v>
      </c>
    </row>
    <row r="1882" ht="13.5" customHeight="1">
      <c r="B1882" s="64">
        <v>46250</v>
      </c>
      <c r="C1882" s="9" t="s">
        <v>2122</v>
      </c>
      <c r="D1882" s="6" t="s">
        <v>4143</v>
      </c>
      <c r="E1882" s="6" t="s">
        <v>3789</v>
      </c>
      <c r="F1882" s="6" t="s">
        <v>2226</v>
      </c>
      <c r="G1882" s="6" t="s">
        <v>2227</v>
      </c>
      <c r="H1882" s="7">
        <v>2160</v>
      </c>
      <c r="I1882" s="8">
        <f>SUMIF(Cargas!$C$6:$C$1064,C1882,Cargas!$O$6:$O$1064)</f>
        <v>2160</v>
      </c>
      <c r="J1882" s="17">
        <f t="shared" si="37"/>
        <v>0</v>
      </c>
      <c r="K1882" s="34">
        <v>1565785</v>
      </c>
      <c r="L1882" s="34">
        <v>176595</v>
      </c>
    </row>
    <row r="1883" hidden="1" ht="13.5" customHeight="1">
      <c r="B1883" s="64">
        <v>46208</v>
      </c>
      <c r="C1883" s="9" t="s">
        <v>2096</v>
      </c>
      <c r="D1883" s="6" t="s">
        <v>4144</v>
      </c>
      <c r="E1883" s="6" t="s">
        <v>4071</v>
      </c>
      <c r="F1883" s="6" t="s">
        <v>2226</v>
      </c>
      <c r="G1883" s="6" t="s">
        <v>3493</v>
      </c>
      <c r="H1883" s="7">
        <v>3240</v>
      </c>
      <c r="I1883" s="8">
        <f>SUMIF(Cargas!$C$6:$C$1064,C1883,Cargas!$O$6:$O$1064)</f>
        <v>3240</v>
      </c>
      <c r="J1883" s="17">
        <f t="shared" si="37"/>
        <v>0</v>
      </c>
      <c r="K1883" s="34">
        <v>1562410</v>
      </c>
      <c r="L1883" s="34">
        <v>159829</v>
      </c>
    </row>
    <row r="1884" hidden="1">
      <c r="B1884" s="64">
        <v>46215</v>
      </c>
      <c r="C1884" s="9" t="s">
        <v>2081</v>
      </c>
      <c r="D1884" s="6" t="s">
        <v>4145</v>
      </c>
      <c r="E1884" s="6" t="s">
        <v>4071</v>
      </c>
      <c r="F1884" s="6" t="s">
        <v>2226</v>
      </c>
      <c r="G1884" s="6" t="s">
        <v>2227</v>
      </c>
      <c r="H1884" s="7">
        <v>3240</v>
      </c>
      <c r="I1884" s="8">
        <f>SUMIF(Cargas!$C$6:$C$1064,C1884,Cargas!$O$6:$O$1064)</f>
        <v>3240</v>
      </c>
      <c r="J1884" s="17">
        <f t="shared" si="37"/>
        <v>0</v>
      </c>
      <c r="K1884" s="34">
        <v>1562771</v>
      </c>
      <c r="L1884" s="34">
        <v>155364</v>
      </c>
    </row>
    <row r="1885" hidden="1">
      <c r="B1885" s="64">
        <v>46200</v>
      </c>
      <c r="C1885" s="9" t="s">
        <v>2061</v>
      </c>
      <c r="D1885" s="6" t="s">
        <v>4146</v>
      </c>
      <c r="E1885" s="6" t="s">
        <v>4071</v>
      </c>
      <c r="F1885" s="6" t="s">
        <v>2226</v>
      </c>
      <c r="G1885" s="6" t="s">
        <v>2227</v>
      </c>
      <c r="H1885" s="7">
        <v>1080</v>
      </c>
      <c r="I1885" s="8">
        <f>SUMIF(Cargas!$C$6:$C$1064,C1885,Cargas!$O$6:$O$1064)</f>
        <v>1080</v>
      </c>
      <c r="J1885" s="17">
        <f t="shared" si="37"/>
        <v>0</v>
      </c>
      <c r="K1885" s="34">
        <v>1559985</v>
      </c>
      <c r="L1885" s="34">
        <v>138371</v>
      </c>
    </row>
    <row r="1886" hidden="1">
      <c r="B1886" s="64">
        <v>46222</v>
      </c>
      <c r="C1886" s="9" t="s">
        <v>2091</v>
      </c>
      <c r="D1886" s="6" t="s">
        <v>4147</v>
      </c>
      <c r="E1886" s="6" t="s">
        <v>4071</v>
      </c>
      <c r="F1886" s="6" t="s">
        <v>2226</v>
      </c>
      <c r="G1886" s="6" t="s">
        <v>2227</v>
      </c>
      <c r="H1886" s="7">
        <v>3240</v>
      </c>
      <c r="I1886" s="8">
        <f>SUMIF(Cargas!$C$6:$C$1064,C1886,Cargas!$O$6:$O$1064)</f>
        <v>3240</v>
      </c>
      <c r="J1886" s="17">
        <f t="shared" si="37"/>
        <v>0</v>
      </c>
      <c r="K1886" s="34">
        <v>1563491</v>
      </c>
      <c r="L1886" s="34">
        <v>165786</v>
      </c>
    </row>
    <row r="1887" hidden="1">
      <c r="B1887" s="64">
        <v>46229</v>
      </c>
      <c r="C1887" s="9" t="s">
        <v>2104</v>
      </c>
      <c r="D1887" s="6" t="s">
        <v>4148</v>
      </c>
      <c r="E1887" s="6" t="s">
        <v>4071</v>
      </c>
      <c r="F1887" s="6" t="s">
        <v>2226</v>
      </c>
      <c r="G1887" s="6" t="s">
        <v>2227</v>
      </c>
      <c r="H1887" s="7">
        <v>3240</v>
      </c>
      <c r="I1887" s="8">
        <f>SUMIF(Cargas!$C$6:$C$1064,C1887,Cargas!$O$6:$O$1064)</f>
        <v>3240</v>
      </c>
      <c r="J1887" s="17">
        <f t="shared" si="37"/>
        <v>0</v>
      </c>
      <c r="K1887" s="34">
        <v>1564167</v>
      </c>
      <c r="L1887" s="34">
        <v>167065</v>
      </c>
    </row>
    <row r="1888" hidden="1">
      <c r="B1888" s="64">
        <v>46229</v>
      </c>
      <c r="C1888" s="9" t="s">
        <v>2107</v>
      </c>
      <c r="D1888" s="6" t="s">
        <v>4149</v>
      </c>
      <c r="E1888" s="6" t="s">
        <v>4071</v>
      </c>
      <c r="F1888" s="6" t="s">
        <v>2226</v>
      </c>
      <c r="G1888" s="6" t="s">
        <v>2227</v>
      </c>
      <c r="H1888" s="7">
        <v>5400</v>
      </c>
      <c r="I1888" s="8">
        <f>SUMIF(Cargas!$C$6:$C$1064,C1888,Cargas!$O$6:$O$1064)</f>
        <v>5400</v>
      </c>
      <c r="J1888" s="17">
        <f t="shared" si="37"/>
        <v>0</v>
      </c>
      <c r="K1888" s="34">
        <v>1564166</v>
      </c>
      <c r="L1888" s="34">
        <v>167338</v>
      </c>
    </row>
    <row r="1889">
      <c r="B1889" s="64">
        <v>46273</v>
      </c>
      <c r="C1889" s="9" t="s">
        <v>2165</v>
      </c>
      <c r="D1889" s="6" t="s">
        <v>4150</v>
      </c>
      <c r="E1889" s="6" t="s">
        <v>3789</v>
      </c>
      <c r="F1889" s="6" t="s">
        <v>2226</v>
      </c>
      <c r="G1889" s="6" t="s">
        <v>2227</v>
      </c>
      <c r="H1889" s="7">
        <v>5400</v>
      </c>
      <c r="I1889" s="8">
        <f>SUMIF(Cargas!$C$6:$C$1064,C1889,Cargas!$O$6:$O$1064)</f>
        <v>5400</v>
      </c>
      <c r="J1889" s="17">
        <f t="shared" si="37"/>
        <v>0</v>
      </c>
      <c r="K1889" s="34">
        <v>1568052</v>
      </c>
      <c r="L1889" s="34">
        <v>190023</v>
      </c>
    </row>
    <row r="1890">
      <c r="B1890" s="64">
        <v>46280</v>
      </c>
      <c r="C1890" s="9" t="s">
        <v>2190</v>
      </c>
      <c r="D1890" s="6" t="s">
        <v>4151</v>
      </c>
      <c r="E1890" s="6" t="s">
        <v>3789</v>
      </c>
      <c r="F1890" s="6" t="s">
        <v>2226</v>
      </c>
      <c r="G1890" s="6" t="s">
        <v>2227</v>
      </c>
      <c r="H1890" s="7">
        <v>5400</v>
      </c>
      <c r="I1890" s="8">
        <f>SUMIF(Cargas!$C$6:$C$1064,C1890,Cargas!$O$6:$O$1064)</f>
        <v>7560</v>
      </c>
      <c r="J1890" s="17">
        <f>IF(ABS(H1890-I1890)&lt;20,0,H1890-I1890)</f>
        <v>-2160</v>
      </c>
      <c r="K1890" s="34">
        <v>1569035</v>
      </c>
      <c r="L1890" s="34">
        <v>202685</v>
      </c>
    </row>
    <row r="1891">
      <c r="B1891" s="64">
        <v>46287</v>
      </c>
      <c r="C1891" s="9" t="s">
        <v>2196</v>
      </c>
      <c r="D1891" s="6" t="s">
        <v>4152</v>
      </c>
      <c r="E1891" s="6" t="s">
        <v>3789</v>
      </c>
      <c r="F1891" s="6" t="s">
        <v>2226</v>
      </c>
      <c r="G1891" s="6" t="s">
        <v>2227</v>
      </c>
      <c r="H1891" s="7">
        <v>5400</v>
      </c>
      <c r="I1891" s="8">
        <f>SUMIF(Cargas!$C$6:$C$1064,C1891,Cargas!$O$6:$O$1064)</f>
        <v>5400</v>
      </c>
      <c r="J1891" s="17">
        <f>IF(ABS(H1891-I1891)&lt;20,0,H1891-I1891)</f>
        <v>0</v>
      </c>
      <c r="K1891" s="34">
        <v>1569980</v>
      </c>
      <c r="L1891" s="34">
        <v>202713</v>
      </c>
    </row>
    <row r="1892">
      <c r="B1892" s="64">
        <v>46294</v>
      </c>
      <c r="C1892" s="9" t="s">
        <v>2201</v>
      </c>
      <c r="D1892" s="6" t="s">
        <v>4153</v>
      </c>
      <c r="E1892" s="6" t="s">
        <v>3789</v>
      </c>
      <c r="F1892" s="6" t="s">
        <v>2226</v>
      </c>
      <c r="G1892" s="6" t="s">
        <v>2227</v>
      </c>
      <c r="H1892" s="7">
        <v>5400</v>
      </c>
      <c r="I1892" s="8">
        <f>SUMIF(Cargas!$C$6:$C$1064,C1892,Cargas!$O$6:$O$1064)</f>
        <v>5400</v>
      </c>
      <c r="J1892" s="17">
        <f>IF(ABS(H1892-I1892)&lt;20,0,H1892-I1892)</f>
        <v>0</v>
      </c>
      <c r="K1892" s="34">
        <v>1570754</v>
      </c>
      <c r="L1892" s="34" t="s">
        <v>29</v>
      </c>
    </row>
    <row r="1893">
      <c r="B1893" s="64">
        <v>46238</v>
      </c>
      <c r="C1893" s="9" t="s">
        <v>2123</v>
      </c>
      <c r="D1893" s="6" t="s">
        <v>4154</v>
      </c>
      <c r="E1893" s="6" t="s">
        <v>4071</v>
      </c>
      <c r="F1893" s="6" t="s">
        <v>2226</v>
      </c>
      <c r="G1893" s="6" t="s">
        <v>2227</v>
      </c>
      <c r="H1893" s="7">
        <v>5400</v>
      </c>
      <c r="I1893" s="8">
        <f>SUMIF(Cargas!$C$6:$C$1064,C1893,Cargas!$O$6:$O$1064)</f>
        <v>5400</v>
      </c>
      <c r="J1893" s="17">
        <f t="shared" si="37"/>
        <v>0</v>
      </c>
      <c r="K1893" s="34">
        <v>1564715</v>
      </c>
      <c r="L1893" s="34">
        <v>176647</v>
      </c>
    </row>
    <row r="1894">
      <c r="B1894" s="64">
        <v>46243</v>
      </c>
      <c r="C1894" s="9" t="s">
        <v>2138</v>
      </c>
      <c r="D1894" s="6" t="s">
        <v>4155</v>
      </c>
      <c r="E1894" s="6" t="s">
        <v>4071</v>
      </c>
      <c r="F1894" s="6" t="s">
        <v>2226</v>
      </c>
      <c r="G1894" s="6" t="s">
        <v>2227</v>
      </c>
      <c r="H1894" s="7">
        <v>3240</v>
      </c>
      <c r="I1894" s="8">
        <f>SUMIF(Cargas!$C$6:$C$1064,C1894,Cargas!$O$6:$O$1064)</f>
        <v>3240</v>
      </c>
      <c r="J1894" s="17">
        <f t="shared" si="37"/>
        <v>0</v>
      </c>
      <c r="K1894" s="34">
        <v>1565618</v>
      </c>
      <c r="L1894" s="34">
        <v>176755</v>
      </c>
    </row>
    <row r="1895">
      <c r="B1895" s="64">
        <v>46266</v>
      </c>
      <c r="C1895" s="9" t="s">
        <v>2155</v>
      </c>
      <c r="D1895" s="6" t="s">
        <v>4156</v>
      </c>
      <c r="E1895" s="6" t="s">
        <v>4071</v>
      </c>
      <c r="F1895" s="6" t="s">
        <v>2226</v>
      </c>
      <c r="G1895" s="6" t="s">
        <v>2227</v>
      </c>
      <c r="H1895" s="7">
        <v>2160</v>
      </c>
      <c r="I1895" s="8">
        <f>SUMIF(Cargas!$C$6:$C$1064,C1895,Cargas!$O$6:$O$1064)</f>
        <v>2160</v>
      </c>
      <c r="J1895" s="17">
        <f t="shared" si="37"/>
        <v>0</v>
      </c>
      <c r="K1895" s="34">
        <v>1567631</v>
      </c>
      <c r="L1895" s="34">
        <v>184917</v>
      </c>
    </row>
    <row r="1896">
      <c r="B1896" s="64">
        <v>46270</v>
      </c>
      <c r="C1896" s="9" t="s">
        <v>2170</v>
      </c>
      <c r="D1896" s="6" t="s">
        <v>4157</v>
      </c>
      <c r="E1896" s="6" t="s">
        <v>4071</v>
      </c>
      <c r="F1896" s="6" t="s">
        <v>2226</v>
      </c>
      <c r="G1896" s="6" t="s">
        <v>2227</v>
      </c>
      <c r="H1896" s="7">
        <v>3240</v>
      </c>
      <c r="I1896" s="8">
        <f>SUMIF(Cargas!$C$6:$C$1064,C1896,Cargas!$O$6:$O$1064)</f>
        <v>3240</v>
      </c>
      <c r="J1896" s="17">
        <f t="shared" si="37"/>
        <v>0</v>
      </c>
      <c r="K1896" s="34">
        <v>1567631</v>
      </c>
      <c r="L1896" s="34">
        <v>191332</v>
      </c>
    </row>
    <row r="1897">
      <c r="B1897" s="64">
        <v>46287</v>
      </c>
      <c r="C1897" s="9" t="s">
        <v>2188</v>
      </c>
      <c r="D1897" s="6" t="s">
        <v>4158</v>
      </c>
      <c r="E1897" s="6" t="s">
        <v>4071</v>
      </c>
      <c r="F1897" s="6" t="s">
        <v>2226</v>
      </c>
      <c r="G1897" s="6" t="s">
        <v>2227</v>
      </c>
      <c r="H1897" s="7">
        <v>3240</v>
      </c>
      <c r="I1897" s="8">
        <f>SUMIF(Cargas!$C$6:$C$1064,C1897,Cargas!$O$6:$O$1064)</f>
        <v>3240</v>
      </c>
      <c r="J1897" s="17">
        <f>IF(ABS(H1897-I1897)&lt;20,0,H1897-I1897)</f>
        <v>0</v>
      </c>
      <c r="K1897" s="34">
        <v>1568287</v>
      </c>
      <c r="L1897" s="34">
        <v>201546</v>
      </c>
    </row>
    <row r="1898">
      <c r="B1898" s="64">
        <v>46294</v>
      </c>
      <c r="C1898" s="9" t="s">
        <v>2202</v>
      </c>
      <c r="D1898" s="6" t="s">
        <v>4159</v>
      </c>
      <c r="E1898" s="6" t="s">
        <v>4071</v>
      </c>
      <c r="F1898" s="6" t="s">
        <v>2226</v>
      </c>
      <c r="G1898" s="6" t="s">
        <v>2227</v>
      </c>
      <c r="H1898" s="7">
        <v>3240</v>
      </c>
      <c r="I1898" s="8">
        <f>SUMIF(Cargas!$C$6:$C$1064,C1898,Cargas!$O$6:$O$1064)</f>
        <v>2160</v>
      </c>
      <c r="J1898" s="17">
        <f>IF(ABS(H1898-I1898)&lt;20,0,H1898-I1898)</f>
        <v>1080</v>
      </c>
      <c r="K1898" s="34">
        <v>1571069</v>
      </c>
      <c r="L1898" s="34" t="s">
        <v>29</v>
      </c>
    </row>
    <row r="1899">
      <c r="B1899" s="64">
        <v>46248</v>
      </c>
      <c r="C1899" s="9" t="s">
        <v>2129</v>
      </c>
      <c r="D1899" s="6" t="s">
        <v>4160</v>
      </c>
      <c r="E1899" s="6" t="s">
        <v>3998</v>
      </c>
      <c r="F1899" s="6" t="s">
        <v>2221</v>
      </c>
      <c r="G1899" s="6" t="s">
        <v>2222</v>
      </c>
      <c r="H1899" s="7">
        <v>2324</v>
      </c>
      <c r="I1899" s="8">
        <f>SUMIF(Cargas!$C$6:$C$1064,C1899,Cargas!$O$6:$O$1064)</f>
        <v>2324</v>
      </c>
      <c r="J1899" s="17">
        <f t="shared" si="37"/>
        <v>0</v>
      </c>
      <c r="K1899" s="34">
        <v>1567631</v>
      </c>
      <c r="L1899" s="34">
        <v>177495</v>
      </c>
    </row>
    <row r="1900" hidden="1">
      <c r="B1900" s="64">
        <v>46223</v>
      </c>
      <c r="C1900" s="9" t="s">
        <v>2109</v>
      </c>
      <c r="D1900" s="6" t="s">
        <v>4161</v>
      </c>
      <c r="E1900" s="6" t="s">
        <v>2916</v>
      </c>
      <c r="F1900" s="6" t="s">
        <v>2226</v>
      </c>
      <c r="G1900" s="6" t="s">
        <v>2227</v>
      </c>
      <c r="H1900" s="7">
        <v>1920</v>
      </c>
      <c r="I1900" s="8">
        <f>SUMIF(Cargas!$C$6:$C$1064,C1900,Cargas!$O$6:$O$1064)</f>
        <v>1920</v>
      </c>
      <c r="J1900" s="17">
        <f t="shared" si="37"/>
        <v>0</v>
      </c>
      <c r="K1900" s="34" t="s">
        <v>29</v>
      </c>
      <c r="L1900" s="34">
        <v>167615</v>
      </c>
    </row>
    <row r="1901" hidden="1">
      <c r="B1901" s="64">
        <v>46234</v>
      </c>
      <c r="C1901" s="9" t="s">
        <v>2116</v>
      </c>
      <c r="D1901" s="6" t="s">
        <v>4162</v>
      </c>
      <c r="E1901" s="6" t="s">
        <v>2916</v>
      </c>
      <c r="F1901" s="6" t="s">
        <v>2226</v>
      </c>
      <c r="G1901" s="6" t="s">
        <v>2227</v>
      </c>
      <c r="H1901" s="7">
        <v>1920</v>
      </c>
      <c r="I1901" s="8">
        <f>SUMIF(Cargas!$C$6:$C$1064,C1901,Cargas!$O$6:$O$1064)</f>
        <v>1920</v>
      </c>
      <c r="J1901" s="17">
        <f t="shared" si="37"/>
        <v>0</v>
      </c>
      <c r="K1901" s="34" t="s">
        <v>29</v>
      </c>
      <c r="L1901" s="34">
        <v>174563</v>
      </c>
    </row>
    <row r="1902">
      <c r="B1902" s="64">
        <v>46238</v>
      </c>
      <c r="C1902" s="9" t="s">
        <v>2141</v>
      </c>
      <c r="D1902" s="6" t="s">
        <v>4163</v>
      </c>
      <c r="E1902" s="6" t="s">
        <v>2916</v>
      </c>
      <c r="F1902" s="6" t="s">
        <v>2226</v>
      </c>
      <c r="G1902" s="6" t="s">
        <v>2227</v>
      </c>
      <c r="H1902" s="7">
        <v>1920</v>
      </c>
      <c r="I1902" s="8">
        <f>SUMIF(Cargas!$C$6:$C$1064,C1902,Cargas!$O$6:$O$1064)</f>
        <v>1920</v>
      </c>
      <c r="J1902" s="17">
        <f>IF(ABS(H1902-I1902)&lt;20,0,H1902-I1902)</f>
        <v>0</v>
      </c>
      <c r="K1902" s="34">
        <v>1567631</v>
      </c>
      <c r="L1902" s="34">
        <v>179807</v>
      </c>
    </row>
    <row r="1903">
      <c r="B1903" s="64">
        <v>46279</v>
      </c>
      <c r="C1903" s="9" t="s">
        <v>2199</v>
      </c>
      <c r="D1903" s="6" t="s">
        <v>4164</v>
      </c>
      <c r="E1903" s="6" t="s">
        <v>2916</v>
      </c>
      <c r="F1903" s="6" t="s">
        <v>2226</v>
      </c>
      <c r="G1903" s="6" t="s">
        <v>2227</v>
      </c>
      <c r="H1903" s="7">
        <v>1920</v>
      </c>
      <c r="I1903" s="8">
        <f>SUMIF(Cargas!$C$6:$C$1064,C1903,Cargas!$O$6:$O$1064)</f>
        <v>1936</v>
      </c>
      <c r="J1903" s="17">
        <f t="shared" si="37"/>
        <v>0</v>
      </c>
      <c r="K1903" s="34"/>
      <c r="L1903" s="34" t="s">
        <v>29</v>
      </c>
    </row>
    <row r="1904" hidden="1">
      <c r="B1904" s="64">
        <v>46200</v>
      </c>
      <c r="C1904" s="9" t="s">
        <v>2063</v>
      </c>
      <c r="D1904" s="6" t="s">
        <v>4165</v>
      </c>
      <c r="E1904" s="6" t="s">
        <v>4166</v>
      </c>
      <c r="F1904" s="6" t="s">
        <v>2221</v>
      </c>
      <c r="G1904" s="6" t="s">
        <v>2222</v>
      </c>
      <c r="H1904" s="7">
        <v>2324</v>
      </c>
      <c r="I1904" s="8">
        <f>SUMIF(Cargas!$C$6:$C$1064,C1904,Cargas!$O$6:$O$1064)</f>
        <v>2324</v>
      </c>
      <c r="J1904" s="17">
        <f t="shared" si="37"/>
        <v>0</v>
      </c>
      <c r="K1904" s="34">
        <v>1561602</v>
      </c>
      <c r="L1904" s="34">
        <v>141252</v>
      </c>
    </row>
    <row r="1905" hidden="1" ht="15.75">
      <c r="B1905" s="64">
        <v>46115</v>
      </c>
      <c r="C1905" s="9" t="s">
        <v>1931</v>
      </c>
      <c r="D1905" s="6" t="s">
        <v>4167</v>
      </c>
      <c r="E1905" s="6" t="s">
        <v>4133</v>
      </c>
      <c r="F1905" s="6" t="s">
        <v>3901</v>
      </c>
      <c r="G1905" s="6" t="s">
        <v>2222</v>
      </c>
      <c r="H1905" s="7">
        <v>765</v>
      </c>
      <c r="I1905" s="8">
        <f>SUMIF(Cargas!$C$6:$C$1064,C1905,Cargas!$O$6:$O$1064)</f>
        <v>765</v>
      </c>
      <c r="J1905" s="17">
        <f t="shared" si="37"/>
        <v>0</v>
      </c>
      <c r="K1905" s="34"/>
      <c r="L1905" s="119">
        <v>66130</v>
      </c>
    </row>
    <row r="1906" hidden="1" ht="15.75">
      <c r="B1906" s="64">
        <v>46122</v>
      </c>
      <c r="C1906" s="9" t="s">
        <v>1948</v>
      </c>
      <c r="D1906" s="6" t="s">
        <v>4168</v>
      </c>
      <c r="E1906" s="6" t="s">
        <v>4133</v>
      </c>
      <c r="F1906" s="6" t="s">
        <v>3901</v>
      </c>
      <c r="G1906" s="6" t="s">
        <v>2222</v>
      </c>
      <c r="H1906" s="7">
        <v>765</v>
      </c>
      <c r="I1906" s="8">
        <f>SUMIF(Cargas!$C$6:$C$1064,C1906,Cargas!$O$6:$O$1064)</f>
        <v>765</v>
      </c>
      <c r="J1906" s="17">
        <f t="shared" si="37"/>
        <v>0</v>
      </c>
      <c r="K1906" s="34"/>
      <c r="L1906" s="119">
        <v>73105</v>
      </c>
    </row>
    <row r="1907" hidden="1" ht="15.75">
      <c r="B1907" s="64">
        <v>46137</v>
      </c>
      <c r="C1907" s="9" t="s">
        <v>1967</v>
      </c>
      <c r="D1907" s="6" t="s">
        <v>4169</v>
      </c>
      <c r="E1907" s="6" t="s">
        <v>4136</v>
      </c>
      <c r="F1907" s="6" t="s">
        <v>3901</v>
      </c>
      <c r="G1907" s="6" t="s">
        <v>2222</v>
      </c>
      <c r="H1907" s="7">
        <v>1200</v>
      </c>
      <c r="I1907" s="8">
        <f>SUMIF(Cargas!$C$6:$C$1064,C1907,Cargas!$O$6:$O$1064)</f>
        <v>1200</v>
      </c>
      <c r="J1907" s="17">
        <f t="shared" si="37"/>
        <v>0</v>
      </c>
      <c r="K1907" s="34"/>
      <c r="L1907" s="119">
        <v>84763</v>
      </c>
    </row>
    <row r="1908" hidden="1" ht="15.75">
      <c r="B1908" s="64">
        <v>46137</v>
      </c>
      <c r="C1908" s="9" t="s">
        <v>1996</v>
      </c>
      <c r="D1908" s="6" t="s">
        <v>4170</v>
      </c>
      <c r="E1908" s="6" t="s">
        <v>4171</v>
      </c>
      <c r="F1908" s="6" t="s">
        <v>3901</v>
      </c>
      <c r="G1908" s="6" t="s">
        <v>2222</v>
      </c>
      <c r="H1908" s="7">
        <f>480*2</f>
        <v>960</v>
      </c>
      <c r="I1908" s="8">
        <f>SUMIF(Cargas!$C$6:$C$1064,C1908,Cargas!$O$6:$O$1064)</f>
        <v>960</v>
      </c>
      <c r="J1908" s="17">
        <f t="shared" si="37"/>
        <v>0</v>
      </c>
      <c r="K1908" s="34"/>
      <c r="L1908" s="119">
        <v>94376</v>
      </c>
    </row>
    <row r="1909" hidden="1">
      <c r="B1909" s="64">
        <v>46158</v>
      </c>
      <c r="C1909" s="9" t="s">
        <v>2012</v>
      </c>
      <c r="D1909" s="6" t="s">
        <v>4172</v>
      </c>
      <c r="E1909" s="6" t="s">
        <v>4171</v>
      </c>
      <c r="F1909" s="6" t="s">
        <v>3901</v>
      </c>
      <c r="G1909" s="6" t="s">
        <v>2222</v>
      </c>
      <c r="H1909" s="7">
        <f>480*2</f>
        <v>960</v>
      </c>
      <c r="I1909" s="8">
        <f>SUMIF(Cargas!$C$6:$C$1064,C1909,Cargas!$O$6:$O$1064)</f>
        <v>960</v>
      </c>
      <c r="J1909" s="17">
        <f t="shared" si="37"/>
        <v>0</v>
      </c>
      <c r="K1909" s="34"/>
      <c r="L1909" s="34">
        <v>98844</v>
      </c>
    </row>
    <row r="1910" hidden="1">
      <c r="B1910" s="64">
        <v>46165</v>
      </c>
      <c r="C1910" s="9" t="s">
        <v>2020</v>
      </c>
      <c r="D1910" s="6" t="s">
        <v>4173</v>
      </c>
      <c r="E1910" s="6" t="s">
        <v>4171</v>
      </c>
      <c r="F1910" s="6" t="s">
        <v>3901</v>
      </c>
      <c r="G1910" s="6" t="s">
        <v>2222</v>
      </c>
      <c r="H1910" s="7">
        <f>480*2</f>
        <v>960</v>
      </c>
      <c r="I1910" s="8">
        <f>SUMIF(Cargas!$C$6:$C$1064,C1910,Cargas!$O$6:$O$1064)</f>
        <v>960</v>
      </c>
      <c r="J1910" s="17">
        <f t="shared" si="37"/>
        <v>0</v>
      </c>
      <c r="K1910" s="34"/>
      <c r="L1910" s="34">
        <v>104292</v>
      </c>
    </row>
    <row r="1911" hidden="1">
      <c r="B1911" s="64">
        <v>46185</v>
      </c>
      <c r="C1911" s="9" t="s">
        <v>2038</v>
      </c>
      <c r="D1911" s="6" t="s">
        <v>4174</v>
      </c>
      <c r="E1911" s="6" t="s">
        <v>4136</v>
      </c>
      <c r="F1911" s="6" t="s">
        <v>2226</v>
      </c>
      <c r="G1911" s="6" t="s">
        <v>2227</v>
      </c>
      <c r="H1911" s="7">
        <v>7800</v>
      </c>
      <c r="I1911" s="8">
        <f>SUMIF(Cargas!$C$6:$C$1064,C1911,Cargas!$O$6:$O$1064)</f>
        <v>7800</v>
      </c>
      <c r="J1911" s="17">
        <f t="shared" si="37"/>
        <v>0</v>
      </c>
      <c r="K1911" s="34"/>
      <c r="L1911" s="34">
        <v>122095</v>
      </c>
    </row>
    <row r="1912" hidden="1" ht="15.75">
      <c r="B1912" s="64">
        <v>46115</v>
      </c>
      <c r="C1912" s="9" t="s">
        <v>1946</v>
      </c>
      <c r="D1912" s="6" t="s">
        <v>4175</v>
      </c>
      <c r="E1912" s="6" t="s">
        <v>3893</v>
      </c>
      <c r="F1912" s="6" t="s">
        <v>2226</v>
      </c>
      <c r="G1912" s="6" t="s">
        <v>2227</v>
      </c>
      <c r="H1912" s="7">
        <v>1920</v>
      </c>
      <c r="I1912" s="8">
        <f>SUMIF(Cargas!$C$6:$C$1064,C1912,Cargas!$O$6:$O$1064)</f>
        <v>1920</v>
      </c>
      <c r="J1912" s="17">
        <f t="shared" si="37"/>
        <v>0</v>
      </c>
      <c r="K1912" s="34"/>
      <c r="L1912" s="119">
        <v>72291</v>
      </c>
    </row>
    <row r="1913" hidden="1">
      <c r="B1913" s="64">
        <v>45987</v>
      </c>
      <c r="C1913" s="9" t="s">
        <v>1705</v>
      </c>
      <c r="D1913" s="6" t="s">
        <v>2963</v>
      </c>
      <c r="E1913" s="6" t="s">
        <v>2916</v>
      </c>
      <c r="F1913" s="6" t="s">
        <v>2226</v>
      </c>
      <c r="G1913" s="6" t="s">
        <v>2227</v>
      </c>
      <c r="H1913" s="7">
        <v>1920</v>
      </c>
      <c r="I1913" s="8">
        <f>SUMIF(Cargas!$C$6:$C$1064,C1913,Cargas!$O$6:$O$1064)</f>
        <v>1920</v>
      </c>
      <c r="J1913" s="17">
        <f t="shared" si="37"/>
        <v>0</v>
      </c>
      <c r="K1913" s="34"/>
      <c r="L1913" s="34">
        <v>267259</v>
      </c>
    </row>
    <row r="1914" hidden="1">
      <c r="B1914" s="64">
        <v>45993</v>
      </c>
      <c r="C1914" s="9" t="s">
        <v>1711</v>
      </c>
      <c r="D1914" s="6" t="s">
        <v>2974</v>
      </c>
      <c r="E1914" s="6" t="s">
        <v>2916</v>
      </c>
      <c r="F1914" s="6" t="s">
        <v>2226</v>
      </c>
      <c r="G1914" s="6" t="s">
        <v>2227</v>
      </c>
      <c r="H1914" s="7">
        <v>1920</v>
      </c>
      <c r="I1914" s="8">
        <f>SUMIF(Cargas!$C$6:$C$1064,C1914,Cargas!$O$6:$O$1064)</f>
        <v>1920</v>
      </c>
      <c r="J1914" s="17">
        <f t="shared" si="37"/>
        <v>0</v>
      </c>
      <c r="K1914" s="34"/>
      <c r="L1914" s="34">
        <v>307</v>
      </c>
    </row>
    <row r="1915" hidden="1">
      <c r="B1915" s="64">
        <v>46004</v>
      </c>
      <c r="C1915" s="9" t="s">
        <v>1744</v>
      </c>
      <c r="D1915" s="6" t="s">
        <v>3052</v>
      </c>
      <c r="E1915" s="6" t="s">
        <v>2916</v>
      </c>
      <c r="F1915" s="6" t="s">
        <v>2226</v>
      </c>
      <c r="G1915" s="6" t="s">
        <v>2227</v>
      </c>
      <c r="H1915" s="7">
        <v>1920</v>
      </c>
      <c r="I1915" s="8">
        <f>SUMIF(Cargas!$C$6:$C$1064,C1915,Cargas!$O$6:$O$1064)</f>
        <v>1920</v>
      </c>
      <c r="J1915" s="17">
        <f t="shared" si="37"/>
        <v>0</v>
      </c>
      <c r="K1915" s="34">
        <v>1544795</v>
      </c>
      <c r="L1915" s="34">
        <v>8476</v>
      </c>
    </row>
    <row r="1916" hidden="1">
      <c r="B1916" s="64">
        <v>46004</v>
      </c>
      <c r="C1916" s="9" t="s">
        <v>1746</v>
      </c>
      <c r="D1916" s="6" t="s">
        <v>3054</v>
      </c>
      <c r="E1916" s="6" t="s">
        <v>2916</v>
      </c>
      <c r="F1916" s="6" t="s">
        <v>2226</v>
      </c>
      <c r="G1916" s="6" t="s">
        <v>2227</v>
      </c>
      <c r="H1916" s="7">
        <v>1920</v>
      </c>
      <c r="I1916" s="8">
        <f>SUMIF(Cargas!$C$6:$C$1064,C1916,Cargas!$O$6:$O$1064)</f>
        <v>1920</v>
      </c>
      <c r="J1916" s="17">
        <f t="shared" si="37"/>
        <v>0</v>
      </c>
      <c r="K1916" s="34">
        <v>1544796</v>
      </c>
      <c r="L1916" s="34">
        <v>8527</v>
      </c>
    </row>
    <row r="1917" hidden="1">
      <c r="B1917" s="64">
        <v>46018</v>
      </c>
      <c r="C1917" s="9" t="s">
        <v>1776</v>
      </c>
      <c r="D1917" s="6" t="s">
        <v>3058</v>
      </c>
      <c r="E1917" s="6" t="s">
        <v>2916</v>
      </c>
      <c r="F1917" s="6" t="s">
        <v>2226</v>
      </c>
      <c r="G1917" s="6" t="s">
        <v>2227</v>
      </c>
      <c r="H1917" s="7">
        <v>1920</v>
      </c>
      <c r="I1917" s="8">
        <f>SUMIF(Cargas!$C$6:$C$1064,C1917,Cargas!$O$6:$O$1064)</f>
        <v>1920</v>
      </c>
      <c r="J1917" s="17">
        <f t="shared" si="37"/>
        <v>0</v>
      </c>
      <c r="K1917" s="34">
        <v>1544798</v>
      </c>
      <c r="L1917" s="34">
        <v>13727</v>
      </c>
    </row>
    <row r="1918" hidden="1">
      <c r="B1918" s="64">
        <v>46018</v>
      </c>
      <c r="C1918" s="9" t="s">
        <v>1768</v>
      </c>
      <c r="D1918" s="6" t="s">
        <v>3060</v>
      </c>
      <c r="E1918" s="6" t="s">
        <v>2916</v>
      </c>
      <c r="F1918" s="6" t="s">
        <v>2226</v>
      </c>
      <c r="G1918" s="6" t="s">
        <v>2227</v>
      </c>
      <c r="H1918" s="7">
        <v>1920</v>
      </c>
      <c r="I1918" s="8">
        <f>SUMIF(Cargas!$C$6:$C$1064,C1918,Cargas!$O$6:$O$1064)</f>
        <v>1920</v>
      </c>
      <c r="J1918" s="17">
        <f t="shared" si="37"/>
        <v>0</v>
      </c>
      <c r="K1918" s="34">
        <v>1544799</v>
      </c>
      <c r="L1918" s="34">
        <v>13000</v>
      </c>
    </row>
    <row r="1919" hidden="1">
      <c r="B1919" s="64">
        <v>45959</v>
      </c>
      <c r="C1919" s="9" t="s">
        <v>1626</v>
      </c>
      <c r="D1919" s="6" t="s">
        <v>2915</v>
      </c>
      <c r="E1919" s="6" t="s">
        <v>2916</v>
      </c>
      <c r="F1919" s="6" t="s">
        <v>2226</v>
      </c>
      <c r="G1919" s="6" t="s">
        <v>2227</v>
      </c>
      <c r="H1919" s="7">
        <v>1920</v>
      </c>
      <c r="I1919" s="8">
        <f>SUMIF(Cargas!$C$6:$C$1064,C1919,Cargas!$O$6:$O$1064)</f>
        <v>1920</v>
      </c>
      <c r="J1919" s="17">
        <f t="shared" si="37"/>
        <v>0</v>
      </c>
      <c r="K1919" s="34">
        <v>1540862</v>
      </c>
      <c r="L1919" s="34">
        <v>249524</v>
      </c>
    </row>
    <row r="1920" hidden="1" ht="15.75">
      <c r="B1920" s="64">
        <v>45903</v>
      </c>
      <c r="C1920" s="9" t="s">
        <v>1462</v>
      </c>
      <c r="D1920" s="6" t="s">
        <v>3258</v>
      </c>
      <c r="E1920" s="6" t="s">
        <v>3998</v>
      </c>
      <c r="F1920" s="6" t="s">
        <v>3999</v>
      </c>
      <c r="G1920" s="6" t="s">
        <v>2222</v>
      </c>
      <c r="H1920" s="7">
        <v>2324</v>
      </c>
      <c r="I1920" s="8">
        <f>SUMIF(Cargas!$C$6:$C$1064,C1920,Cargas!$O$6:$O$1064)</f>
        <v>2324</v>
      </c>
      <c r="J1920" s="17">
        <f t="shared" si="37"/>
        <v>0</v>
      </c>
      <c r="K1920" s="34">
        <v>1534370</v>
      </c>
      <c r="L1920" s="119">
        <v>194824</v>
      </c>
    </row>
    <row r="1921" hidden="1">
      <c r="B1921" s="64">
        <v>45863</v>
      </c>
      <c r="C1921" s="9" t="s">
        <v>1356</v>
      </c>
      <c r="D1921" s="6" t="s">
        <v>3684</v>
      </c>
      <c r="E1921" s="6" t="s">
        <v>3226</v>
      </c>
      <c r="F1921" s="6" t="s">
        <v>3901</v>
      </c>
      <c r="G1921" s="6" t="s">
        <v>2222</v>
      </c>
      <c r="H1921" s="7">
        <v>600</v>
      </c>
      <c r="I1921" s="8">
        <f>SUMIF(Cargas!$C$6:$C$1064,C1921,Cargas!$O$6:$O$1064)</f>
        <v>600</v>
      </c>
      <c r="J1921" s="17">
        <f ref="J1921:J1984" t="shared" si="46">IF(ABS(H1921-I1921)&lt;20,0,H1921-I1921)</f>
        <v>0</v>
      </c>
      <c r="K1921" s="34">
        <v>1529787</v>
      </c>
      <c r="L1921" s="34" t="s">
        <v>29</v>
      </c>
    </row>
    <row r="1922" hidden="1">
      <c r="B1922" s="64">
        <v>45874</v>
      </c>
      <c r="C1922" s="9" t="s">
        <v>1362</v>
      </c>
      <c r="D1922" s="6" t="s">
        <v>3686</v>
      </c>
      <c r="E1922" s="6" t="s">
        <v>4176</v>
      </c>
      <c r="F1922" s="6" t="s">
        <v>3901</v>
      </c>
      <c r="G1922" s="6" t="s">
        <v>2222</v>
      </c>
      <c r="H1922" s="7">
        <f>288*2</f>
        <v>576</v>
      </c>
      <c r="I1922" s="8">
        <f>SUMIF(Cargas!$C$6:$C$1064,C1922,Cargas!$O$6:$O$1064)</f>
        <v>576</v>
      </c>
      <c r="J1922" s="17">
        <f t="shared" si="46"/>
        <v>0</v>
      </c>
      <c r="K1922" s="34">
        <v>1532605</v>
      </c>
      <c r="L1922" s="34">
        <v>155782</v>
      </c>
    </row>
    <row r="1923" hidden="1">
      <c r="B1923" s="64">
        <v>45883</v>
      </c>
      <c r="C1923" s="9" t="s">
        <v>1381</v>
      </c>
      <c r="D1923" s="6" t="s">
        <v>3689</v>
      </c>
      <c r="E1923" s="6" t="s">
        <v>3226</v>
      </c>
      <c r="F1923" s="6" t="s">
        <v>3901</v>
      </c>
      <c r="G1923" s="6" t="s">
        <v>2222</v>
      </c>
      <c r="H1923" s="7">
        <v>600</v>
      </c>
      <c r="I1923" s="8">
        <f>SUMIF(Cargas!$C$6:$C$1064,C1923,Cargas!$O$6:$O$1064)</f>
        <v>600</v>
      </c>
      <c r="J1923" s="17">
        <f t="shared" si="46"/>
        <v>0</v>
      </c>
      <c r="K1923" s="34">
        <v>1532605</v>
      </c>
      <c r="L1923" s="34">
        <v>162433</v>
      </c>
    </row>
    <row r="1924" hidden="1">
      <c r="B1924" s="64">
        <v>45822</v>
      </c>
      <c r="C1924" s="9" t="s">
        <v>1313</v>
      </c>
      <c r="D1924" s="6" t="s">
        <v>4177</v>
      </c>
      <c r="E1924" s="6" t="s">
        <v>2916</v>
      </c>
      <c r="F1924" s="6" t="s">
        <v>2226</v>
      </c>
      <c r="G1924" s="6" t="s">
        <v>2227</v>
      </c>
      <c r="H1924" s="7">
        <v>1920</v>
      </c>
      <c r="I1924" s="8">
        <f>SUMIF(Cargas!$C$6:$C$1064,C1924,Cargas!$O$6:$O$1064)</f>
        <v>1920</v>
      </c>
      <c r="J1924" s="17">
        <f t="shared" si="46"/>
        <v>0</v>
      </c>
      <c r="K1924" s="34"/>
      <c r="L1924" s="34">
        <v>121764</v>
      </c>
    </row>
    <row r="1925" hidden="1" ht="26.25">
      <c r="B1925" s="64">
        <v>45829</v>
      </c>
      <c r="C1925" s="140" t="s">
        <v>1329</v>
      </c>
      <c r="D1925" s="6" t="s">
        <v>4178</v>
      </c>
      <c r="E1925" s="6" t="s">
        <v>2916</v>
      </c>
      <c r="F1925" s="6" t="s">
        <v>2226</v>
      </c>
      <c r="G1925" s="6" t="s">
        <v>2227</v>
      </c>
      <c r="H1925" s="7">
        <v>1920</v>
      </c>
      <c r="I1925" s="8">
        <f>SUMIF(Cargas!$C$6:$C$1064,C1925,Cargas!$O$6:$O$1064)</f>
        <v>1920</v>
      </c>
      <c r="J1925" s="17">
        <f t="shared" si="46"/>
        <v>0</v>
      </c>
      <c r="K1925" s="34"/>
      <c r="L1925" s="34">
        <v>129417</v>
      </c>
    </row>
    <row r="1926" hidden="1" ht="26.25">
      <c r="B1926" s="64">
        <v>45836</v>
      </c>
      <c r="C1926" s="140" t="s">
        <v>1337</v>
      </c>
      <c r="D1926" s="6" t="s">
        <v>4179</v>
      </c>
      <c r="E1926" s="6" t="s">
        <v>2916</v>
      </c>
      <c r="F1926" s="6" t="s">
        <v>2226</v>
      </c>
      <c r="G1926" s="6" t="s">
        <v>2227</v>
      </c>
      <c r="H1926" s="7">
        <v>1920</v>
      </c>
      <c r="I1926" s="8">
        <f>SUMIF(Cargas!$C$6:$C$1064,C1926,Cargas!$O$6:$O$1064)</f>
        <v>1920</v>
      </c>
      <c r="J1926" s="17">
        <f t="shared" si="46"/>
        <v>0</v>
      </c>
      <c r="K1926" s="34"/>
      <c r="L1926" s="34">
        <v>135170</v>
      </c>
    </row>
    <row r="1927" hidden="1">
      <c r="B1927" s="64">
        <v>45566</v>
      </c>
      <c r="C1927" s="9" t="s">
        <v>739</v>
      </c>
      <c r="D1927" s="6" t="s">
        <v>3440</v>
      </c>
      <c r="E1927" s="6" t="s">
        <v>2916</v>
      </c>
      <c r="F1927" s="6" t="s">
        <v>2226</v>
      </c>
      <c r="G1927" s="6" t="s">
        <v>2227</v>
      </c>
      <c r="H1927" s="7">
        <v>1920</v>
      </c>
      <c r="I1927" s="8">
        <f>SUMIF(Cargas!$C$6:$C$1064,C1927,Cargas!$O$6:$O$1064)</f>
        <v>1920</v>
      </c>
      <c r="J1927" s="17">
        <f t="shared" si="46"/>
        <v>0</v>
      </c>
      <c r="K1927" s="34"/>
      <c r="L1927" s="34">
        <v>234683</v>
      </c>
    </row>
    <row r="1928" hidden="1">
      <c r="A1928" s="79"/>
      <c r="B1928" s="80">
        <v>45438</v>
      </c>
      <c r="C1928" s="81" t="s">
        <v>278</v>
      </c>
      <c r="D1928" s="82" t="s">
        <v>3678</v>
      </c>
      <c r="E1928" s="82" t="s">
        <v>4180</v>
      </c>
      <c r="F1928" s="82" t="s">
        <v>2226</v>
      </c>
      <c r="G1928" s="82" t="s">
        <v>4181</v>
      </c>
      <c r="H1928" s="83">
        <v>7800</v>
      </c>
      <c r="I1928" s="84">
        <f>SUMIF(Cargas!$C$6:$C$1064,C1928,Cargas!$O$6:$O$1064)</f>
        <v>7800</v>
      </c>
      <c r="J1928" s="85">
        <f t="shared" si="46"/>
        <v>0</v>
      </c>
      <c r="K1928" s="86"/>
      <c r="L1928" s="86" t="s">
        <v>29</v>
      </c>
      <c r="M1928" s="32"/>
    </row>
    <row r="1929" hidden="1">
      <c r="B1929" s="64">
        <v>45478</v>
      </c>
      <c r="C1929" s="9" t="s">
        <v>309</v>
      </c>
      <c r="D1929" s="6" t="s">
        <v>3680</v>
      </c>
      <c r="E1929" s="6" t="s">
        <v>2780</v>
      </c>
      <c r="F1929" s="6" t="s">
        <v>3901</v>
      </c>
      <c r="G1929" s="6" t="s">
        <v>2222</v>
      </c>
      <c r="H1929" s="7">
        <v>1008</v>
      </c>
      <c r="I1929" s="8">
        <f>SUMIF(Cargas!$C$6:$C$1064,C1929,Cargas!$O$6:$O$1064)</f>
        <v>1008</v>
      </c>
      <c r="J1929" s="17">
        <f t="shared" si="46"/>
        <v>0</v>
      </c>
      <c r="K1929" s="34"/>
      <c r="L1929" s="34" t="s">
        <v>4182</v>
      </c>
    </row>
    <row r="1930" hidden="1">
      <c r="B1930" s="64">
        <v>45482</v>
      </c>
      <c r="C1930" s="9" t="s">
        <v>323</v>
      </c>
      <c r="D1930" s="6" t="s">
        <v>3682</v>
      </c>
      <c r="E1930" s="6" t="s">
        <v>2780</v>
      </c>
      <c r="F1930" s="6" t="s">
        <v>3901</v>
      </c>
      <c r="G1930" s="6" t="s">
        <v>2222</v>
      </c>
      <c r="H1930" s="7">
        <v>1008</v>
      </c>
      <c r="I1930" s="8">
        <f>SUMIF(Cargas!$C$6:$C$1064,C1930,Cargas!$O$6:$O$1064)</f>
        <v>1008</v>
      </c>
      <c r="J1930" s="17">
        <f t="shared" si="46"/>
        <v>0</v>
      </c>
      <c r="K1930" s="34"/>
      <c r="L1930" s="34">
        <v>132700</v>
      </c>
    </row>
    <row r="1931" hidden="1">
      <c r="B1931" s="64">
        <v>45485</v>
      </c>
      <c r="C1931" s="9" t="s">
        <v>328</v>
      </c>
      <c r="D1931" s="6" t="s">
        <v>3684</v>
      </c>
      <c r="E1931" s="6" t="s">
        <v>2780</v>
      </c>
      <c r="F1931" s="6" t="s">
        <v>3901</v>
      </c>
      <c r="G1931" s="6" t="s">
        <v>2222</v>
      </c>
      <c r="H1931" s="7">
        <v>1008</v>
      </c>
      <c r="I1931" s="8">
        <f>SUMIF(Cargas!$C$6:$C$1064,C1931,Cargas!$O$6:$O$1064)</f>
        <v>1008</v>
      </c>
      <c r="J1931" s="17">
        <f t="shared" si="46"/>
        <v>0</v>
      </c>
      <c r="K1931" s="34"/>
      <c r="L1931" s="34">
        <v>135687</v>
      </c>
    </row>
    <row r="1932" hidden="1">
      <c r="B1932" s="64">
        <v>45485</v>
      </c>
      <c r="C1932" s="9" t="s">
        <v>354</v>
      </c>
      <c r="D1932" s="6" t="s">
        <v>3686</v>
      </c>
      <c r="E1932" s="6" t="s">
        <v>2780</v>
      </c>
      <c r="F1932" s="6" t="s">
        <v>3901</v>
      </c>
      <c r="G1932" s="6" t="s">
        <v>2222</v>
      </c>
      <c r="H1932" s="7">
        <v>1008</v>
      </c>
      <c r="I1932" s="8">
        <f>SUMIF(Cargas!$C$6:$C$1064,C1932,Cargas!$O$6:$O$1064)</f>
        <v>1008</v>
      </c>
      <c r="J1932" s="17">
        <f t="shared" si="46"/>
        <v>0</v>
      </c>
      <c r="K1932" s="34"/>
      <c r="L1932" s="34">
        <v>138060</v>
      </c>
    </row>
    <row r="1933" hidden="1">
      <c r="B1933" s="64">
        <v>45492</v>
      </c>
      <c r="C1933" s="9" t="s">
        <v>370</v>
      </c>
      <c r="D1933" s="6" t="s">
        <v>3689</v>
      </c>
      <c r="E1933" s="6" t="s">
        <v>2780</v>
      </c>
      <c r="F1933" s="6" t="s">
        <v>3901</v>
      </c>
      <c r="G1933" s="6" t="s">
        <v>2222</v>
      </c>
      <c r="H1933" s="7">
        <v>1008</v>
      </c>
      <c r="I1933" s="8">
        <f>SUMIF(Cargas!$C$6:$C$1064,C1933,Cargas!$O$6:$O$1064)</f>
        <v>1008</v>
      </c>
      <c r="J1933" s="17">
        <f t="shared" si="46"/>
        <v>0</v>
      </c>
      <c r="K1933" s="34"/>
      <c r="L1933" s="34">
        <v>142332</v>
      </c>
    </row>
    <row r="1934" hidden="1">
      <c r="B1934" s="64">
        <v>45492</v>
      </c>
      <c r="C1934" s="9" t="s">
        <v>391</v>
      </c>
      <c r="D1934" s="6" t="s">
        <v>3693</v>
      </c>
      <c r="E1934" s="6" t="s">
        <v>2780</v>
      </c>
      <c r="F1934" s="6" t="s">
        <v>3901</v>
      </c>
      <c r="G1934" s="6" t="s">
        <v>2222</v>
      </c>
      <c r="H1934" s="7">
        <v>504</v>
      </c>
      <c r="I1934" s="8">
        <f>SUMIF(Cargas!$C$6:$C$1064,C1934,Cargas!$O$6:$O$1064)</f>
        <v>504</v>
      </c>
      <c r="J1934" s="17">
        <f t="shared" si="46"/>
        <v>0</v>
      </c>
      <c r="K1934" s="34"/>
      <c r="L1934" s="34" t="s">
        <v>4183</v>
      </c>
    </row>
    <row r="1935" hidden="1">
      <c r="B1935" s="64">
        <v>45492</v>
      </c>
      <c r="C1935" s="9" t="s">
        <v>402</v>
      </c>
      <c r="D1935" s="6" t="s">
        <v>3667</v>
      </c>
      <c r="E1935" s="6" t="s">
        <v>2780</v>
      </c>
      <c r="F1935" s="6" t="s">
        <v>3901</v>
      </c>
      <c r="G1935" s="6" t="s">
        <v>2222</v>
      </c>
      <c r="H1935" s="7">
        <v>504</v>
      </c>
      <c r="I1935" s="8">
        <f>SUMIF(Cargas!$C$6:$C$1064,C1935,Cargas!$O$6:$O$1064)</f>
        <v>504</v>
      </c>
      <c r="J1935" s="17">
        <f t="shared" si="46"/>
        <v>0</v>
      </c>
      <c r="K1935" s="34"/>
      <c r="L1935" s="34">
        <v>144534</v>
      </c>
    </row>
    <row r="1936" hidden="1">
      <c r="B1936" s="64">
        <v>45499</v>
      </c>
      <c r="C1936" s="9" t="s">
        <v>413</v>
      </c>
      <c r="D1936" s="6" t="s">
        <v>3696</v>
      </c>
      <c r="E1936" s="6" t="s">
        <v>2780</v>
      </c>
      <c r="F1936" s="6" t="s">
        <v>3901</v>
      </c>
      <c r="G1936" s="6" t="s">
        <v>2222</v>
      </c>
      <c r="H1936" s="7">
        <v>504</v>
      </c>
      <c r="I1936" s="8">
        <f>SUMIF(Cargas!$C$6:$C$1064,C1936,Cargas!$O$6:$O$1064)</f>
        <v>504</v>
      </c>
      <c r="J1936" s="17">
        <f t="shared" si="46"/>
        <v>0</v>
      </c>
      <c r="K1936" s="34"/>
      <c r="L1936" s="34">
        <v>145723</v>
      </c>
    </row>
    <row r="1937" hidden="1">
      <c r="B1937" s="64">
        <v>45499</v>
      </c>
      <c r="C1937" s="9" t="s">
        <v>422</v>
      </c>
      <c r="D1937" s="6" t="s">
        <v>4184</v>
      </c>
      <c r="E1937" s="6" t="s">
        <v>2780</v>
      </c>
      <c r="F1937" s="6" t="s">
        <v>3901</v>
      </c>
      <c r="G1937" s="6" t="s">
        <v>2222</v>
      </c>
      <c r="H1937" s="7">
        <v>504</v>
      </c>
      <c r="I1937" s="8">
        <f>SUMIF(Cargas!$C$6:$C$1064,C1937,Cargas!$O$6:$O$1064)</f>
        <v>504</v>
      </c>
      <c r="J1937" s="17">
        <f t="shared" si="46"/>
        <v>0</v>
      </c>
      <c r="K1937" s="34"/>
      <c r="L1937" s="34">
        <v>146853</v>
      </c>
    </row>
    <row r="1938" hidden="1">
      <c r="B1938" s="64">
        <v>45522</v>
      </c>
      <c r="C1938" s="9" t="s">
        <v>455</v>
      </c>
      <c r="D1938" s="6" t="s">
        <v>4185</v>
      </c>
      <c r="E1938" s="6" t="s">
        <v>2780</v>
      </c>
      <c r="F1938" s="6" t="s">
        <v>3901</v>
      </c>
      <c r="G1938" s="6" t="s">
        <v>2222</v>
      </c>
      <c r="H1938" s="7">
        <v>1008</v>
      </c>
      <c r="I1938" s="8">
        <f>SUMIF(Cargas!$C$6:$C$1064,C1938,Cargas!$O$6:$O$1064)</f>
        <v>1008</v>
      </c>
      <c r="J1938" s="17">
        <f t="shared" si="46"/>
        <v>0</v>
      </c>
      <c r="K1938" s="34"/>
      <c r="L1938" s="34">
        <v>161733</v>
      </c>
    </row>
    <row r="1939" hidden="1">
      <c r="A1939" s="79"/>
      <c r="B1939" s="80">
        <v>45398</v>
      </c>
      <c r="C1939" s="81" t="s">
        <v>215</v>
      </c>
      <c r="D1939" s="82" t="s">
        <v>3460</v>
      </c>
      <c r="E1939" s="82" t="s">
        <v>2871</v>
      </c>
      <c r="F1939" s="82" t="s">
        <v>2226</v>
      </c>
      <c r="G1939" s="82" t="s">
        <v>2227</v>
      </c>
      <c r="H1939" s="83">
        <v>1920</v>
      </c>
      <c r="I1939" s="84">
        <f>SUMIF(Cargas!$C$6:$C$1064,C1939,Cargas!$O$6:$O$1064)</f>
        <v>1920</v>
      </c>
      <c r="J1939" s="85">
        <f t="shared" si="46"/>
        <v>0</v>
      </c>
      <c r="K1939" s="86"/>
      <c r="L1939" s="86">
        <v>82245</v>
      </c>
      <c r="M1939" s="32"/>
    </row>
    <row r="1940" hidden="1">
      <c r="A1940" s="79"/>
      <c r="B1940" s="80">
        <v>45420</v>
      </c>
      <c r="C1940" s="81" t="s">
        <v>243</v>
      </c>
      <c r="D1940" s="82" t="s">
        <v>3002</v>
      </c>
      <c r="E1940" s="82" t="s">
        <v>2871</v>
      </c>
      <c r="F1940" s="82" t="s">
        <v>2226</v>
      </c>
      <c r="G1940" s="82" t="s">
        <v>2227</v>
      </c>
      <c r="H1940" s="83">
        <v>1920</v>
      </c>
      <c r="I1940" s="84">
        <f>SUMIF(Cargas!$C$6:$C$1064,C1940,Cargas!$O$6:$O$1064)</f>
        <v>1920</v>
      </c>
      <c r="J1940" s="85">
        <f t="shared" si="46"/>
        <v>0</v>
      </c>
      <c r="K1940" s="86"/>
      <c r="L1940" s="86">
        <v>94067</v>
      </c>
      <c r="M1940" s="32"/>
    </row>
    <row r="1941" hidden="1">
      <c r="A1941" s="79"/>
      <c r="B1941" s="80">
        <v>45434</v>
      </c>
      <c r="C1941" s="81" t="s">
        <v>274</v>
      </c>
      <c r="D1941" s="82" t="s">
        <v>3991</v>
      </c>
      <c r="E1941" s="82" t="s">
        <v>2871</v>
      </c>
      <c r="F1941" s="82" t="s">
        <v>2226</v>
      </c>
      <c r="G1941" s="82" t="s">
        <v>2227</v>
      </c>
      <c r="H1941" s="83">
        <v>1920</v>
      </c>
      <c r="I1941" s="84">
        <f>SUMIF(Cargas!$C$6:$C$1064,C1941,Cargas!$O$6:$O$1064)</f>
        <v>1920</v>
      </c>
      <c r="J1941" s="85">
        <f t="shared" si="46"/>
        <v>0</v>
      </c>
      <c r="K1941" s="86"/>
      <c r="L1941" s="86">
        <v>104667</v>
      </c>
      <c r="M1941" s="32"/>
    </row>
    <row r="1942" hidden="1">
      <c r="A1942" s="79"/>
      <c r="B1942" s="80">
        <v>45449</v>
      </c>
      <c r="C1942" s="81" t="s">
        <v>297</v>
      </c>
      <c r="D1942" s="82" t="s">
        <v>3992</v>
      </c>
      <c r="E1942" s="6" t="s">
        <v>2916</v>
      </c>
      <c r="F1942" s="82" t="s">
        <v>2226</v>
      </c>
      <c r="G1942" s="82" t="s">
        <v>2227</v>
      </c>
      <c r="H1942" s="83">
        <v>1920</v>
      </c>
      <c r="I1942" s="84">
        <f>SUMIF(Cargas!$C$6:$C$1064,C1942,Cargas!$O$6:$O$1064)</f>
        <v>1920</v>
      </c>
      <c r="J1942" s="85">
        <f t="shared" si="46"/>
        <v>0</v>
      </c>
      <c r="K1942" s="86"/>
      <c r="L1942" s="86">
        <v>118231</v>
      </c>
      <c r="M1942" s="32"/>
    </row>
    <row r="1943" hidden="1">
      <c r="B1943" s="64">
        <v>44859</v>
      </c>
      <c r="C1943" s="9" t="s">
        <v>4186</v>
      </c>
      <c r="D1943" s="6" t="s">
        <v>4187</v>
      </c>
      <c r="E1943" s="6" t="s">
        <v>2220</v>
      </c>
      <c r="F1943" s="6" t="s">
        <v>2226</v>
      </c>
      <c r="G1943" s="6" t="s">
        <v>2258</v>
      </c>
      <c r="H1943" s="7">
        <v>2160</v>
      </c>
      <c r="I1943" s="8">
        <f>SUMIF(Cargas!$C$6:$C$1064,C1943,Cargas!$O$6:$O$1064)</f>
        <v>0</v>
      </c>
      <c r="J1943" s="17">
        <f t="shared" si="46"/>
        <v>2160</v>
      </c>
      <c r="K1943" s="34">
        <v>1443160</v>
      </c>
      <c r="L1943" s="34">
        <v>212276</v>
      </c>
    </row>
    <row r="1944" hidden="1">
      <c r="B1944" s="64">
        <v>44859</v>
      </c>
      <c r="C1944" s="9" t="s">
        <v>4188</v>
      </c>
      <c r="D1944" s="6" t="s">
        <v>4189</v>
      </c>
      <c r="E1944" s="6" t="s">
        <v>2220</v>
      </c>
      <c r="F1944" s="6" t="s">
        <v>2226</v>
      </c>
      <c r="G1944" s="6" t="s">
        <v>2258</v>
      </c>
      <c r="H1944" s="7">
        <v>1144</v>
      </c>
      <c r="I1944" s="8">
        <f>SUMIF(Cargas!$C$6:$C$1064,C1944,Cargas!$O$6:$O$1064)</f>
        <v>0</v>
      </c>
      <c r="J1944" s="17">
        <f t="shared" si="46"/>
        <v>1144</v>
      </c>
      <c r="K1944" s="34">
        <v>1443161</v>
      </c>
      <c r="L1944" s="34">
        <v>211547</v>
      </c>
    </row>
    <row r="1945" hidden="1">
      <c r="B1945" s="64">
        <v>44867</v>
      </c>
      <c r="C1945" s="9" t="s">
        <v>4190</v>
      </c>
      <c r="D1945" s="6" t="s">
        <v>4191</v>
      </c>
      <c r="E1945" s="6" t="s">
        <v>2220</v>
      </c>
      <c r="F1945" s="6" t="s">
        <v>2226</v>
      </c>
      <c r="G1945" s="6" t="s">
        <v>2258</v>
      </c>
      <c r="H1945" s="7">
        <v>2224</v>
      </c>
      <c r="I1945" s="8">
        <f>SUMIF(Cargas!$C$6:$C$1064,C1945,Cargas!$O$6:$O$1064)</f>
        <v>0</v>
      </c>
      <c r="J1945" s="17">
        <f t="shared" si="46"/>
        <v>2224</v>
      </c>
      <c r="K1945" s="34">
        <v>1444031</v>
      </c>
      <c r="L1945" s="34">
        <v>216543</v>
      </c>
    </row>
    <row r="1946" hidden="1">
      <c r="B1946" s="64">
        <v>44874</v>
      </c>
      <c r="C1946" s="9" t="s">
        <v>4192</v>
      </c>
      <c r="D1946" s="6" t="s">
        <v>4193</v>
      </c>
      <c r="E1946" s="6" t="s">
        <v>2220</v>
      </c>
      <c r="F1946" s="6" t="s">
        <v>2226</v>
      </c>
      <c r="G1946" s="6" t="s">
        <v>2258</v>
      </c>
      <c r="H1946" s="7">
        <v>2160</v>
      </c>
      <c r="I1946" s="8">
        <f>SUMIF(Cargas!$C$6:$C$1064,C1946,Cargas!$O$6:$O$1064)</f>
        <v>0</v>
      </c>
      <c r="J1946" s="17">
        <f t="shared" si="46"/>
        <v>2160</v>
      </c>
      <c r="K1946" s="34">
        <v>1444484</v>
      </c>
      <c r="L1946" s="34">
        <v>228177</v>
      </c>
    </row>
    <row r="1947" hidden="1">
      <c r="B1947" s="64">
        <v>44880</v>
      </c>
      <c r="C1947" s="9" t="s">
        <v>4194</v>
      </c>
      <c r="D1947" s="6" t="s">
        <v>4195</v>
      </c>
      <c r="E1947" s="6" t="s">
        <v>2220</v>
      </c>
      <c r="F1947" s="6" t="s">
        <v>2226</v>
      </c>
      <c r="G1947" s="6" t="s">
        <v>2227</v>
      </c>
      <c r="H1947" s="7">
        <v>5400</v>
      </c>
      <c r="I1947" s="8">
        <f>SUMIF(Cargas!$C$6:$C$1064,C1947,Cargas!$O$6:$O$1064)</f>
        <v>0</v>
      </c>
      <c r="J1947" s="17">
        <f t="shared" si="46"/>
        <v>5400</v>
      </c>
      <c r="K1947" s="34">
        <v>1445197</v>
      </c>
      <c r="L1947" s="34">
        <v>234220</v>
      </c>
    </row>
    <row r="1948" hidden="1">
      <c r="B1948" s="64">
        <v>44880</v>
      </c>
      <c r="C1948" s="9" t="s">
        <v>4196</v>
      </c>
      <c r="D1948" s="6" t="s">
        <v>4197</v>
      </c>
      <c r="E1948" s="6" t="s">
        <v>2220</v>
      </c>
      <c r="F1948" s="6" t="s">
        <v>2226</v>
      </c>
      <c r="G1948" s="6" t="s">
        <v>2258</v>
      </c>
      <c r="H1948" s="7">
        <v>5400</v>
      </c>
      <c r="I1948" s="8">
        <f>SUMIF(Cargas!$C$6:$C$1064,C1948,Cargas!$O$6:$O$1064)</f>
        <v>0</v>
      </c>
      <c r="J1948" s="17">
        <f t="shared" si="46"/>
        <v>5400</v>
      </c>
      <c r="K1948" s="34">
        <v>1445195</v>
      </c>
      <c r="L1948" s="34">
        <v>228045</v>
      </c>
    </row>
    <row r="1949" hidden="1">
      <c r="B1949" s="64">
        <v>44880</v>
      </c>
      <c r="C1949" s="9" t="s">
        <v>4198</v>
      </c>
      <c r="D1949" s="6" t="s">
        <v>4199</v>
      </c>
      <c r="E1949" s="6" t="s">
        <v>2220</v>
      </c>
      <c r="F1949" s="6" t="s">
        <v>2226</v>
      </c>
      <c r="G1949" s="6" t="s">
        <v>2227</v>
      </c>
      <c r="H1949" s="7">
        <v>1080</v>
      </c>
      <c r="I1949" s="8">
        <f>SUMIF(Cargas!$C$6:$C$1064,C1949,Cargas!$O$6:$O$1064)</f>
        <v>0</v>
      </c>
      <c r="J1949" s="17">
        <f t="shared" si="46"/>
        <v>1080</v>
      </c>
      <c r="K1949" s="34">
        <v>1445198</v>
      </c>
      <c r="L1949" s="34">
        <v>233411</v>
      </c>
    </row>
    <row r="1950" hidden="1">
      <c r="B1950" s="64">
        <v>44891</v>
      </c>
      <c r="C1950" s="9" t="s">
        <v>4200</v>
      </c>
      <c r="D1950" s="6" t="s">
        <v>4201</v>
      </c>
      <c r="E1950" s="6" t="s">
        <v>2220</v>
      </c>
      <c r="F1950" s="6" t="s">
        <v>2226</v>
      </c>
      <c r="G1950" s="6" t="s">
        <v>2258</v>
      </c>
      <c r="H1950" s="7">
        <v>5400</v>
      </c>
      <c r="I1950" s="8">
        <f>SUMIF(Cargas!$C$6:$C$1064,C1950,Cargas!$O$6:$O$1064)</f>
        <v>0</v>
      </c>
      <c r="J1950" s="17">
        <f t="shared" si="46"/>
        <v>5400</v>
      </c>
      <c r="K1950" s="34">
        <v>1446077</v>
      </c>
      <c r="L1950" s="34">
        <v>233356</v>
      </c>
    </row>
    <row r="1951" hidden="1">
      <c r="B1951" s="64">
        <v>44891</v>
      </c>
      <c r="C1951" s="9" t="s">
        <v>4202</v>
      </c>
      <c r="D1951" s="6" t="s">
        <v>4203</v>
      </c>
      <c r="E1951" s="6" t="s">
        <v>2220</v>
      </c>
      <c r="F1951" s="6" t="s">
        <v>2226</v>
      </c>
      <c r="G1951" s="6" t="s">
        <v>2258</v>
      </c>
      <c r="H1951" s="7">
        <v>3240</v>
      </c>
      <c r="I1951" s="8">
        <f>SUMIF(Cargas!$C$6:$C$1064,C1951,Cargas!$O$6:$O$1064)</f>
        <v>0</v>
      </c>
      <c r="J1951" s="17">
        <f t="shared" si="46"/>
        <v>3240</v>
      </c>
      <c r="K1951" s="34">
        <v>1446079</v>
      </c>
      <c r="L1951" s="34">
        <v>233318</v>
      </c>
    </row>
    <row r="1952" hidden="1">
      <c r="B1952" s="64">
        <v>44891</v>
      </c>
      <c r="C1952" s="9" t="s">
        <v>4204</v>
      </c>
      <c r="D1952" s="6" t="s">
        <v>4205</v>
      </c>
      <c r="E1952" s="6" t="s">
        <v>2220</v>
      </c>
      <c r="F1952" s="6" t="s">
        <v>2226</v>
      </c>
      <c r="G1952" s="6" t="s">
        <v>2258</v>
      </c>
      <c r="H1952" s="7">
        <v>1144</v>
      </c>
      <c r="I1952" s="8">
        <f>SUMIF(Cargas!$C$6:$C$1064,C1952,Cargas!$O$6:$O$1064)</f>
        <v>0</v>
      </c>
      <c r="J1952" s="17">
        <f t="shared" si="46"/>
        <v>1144</v>
      </c>
      <c r="K1952" s="34">
        <v>1446080</v>
      </c>
      <c r="L1952" s="34">
        <v>233445</v>
      </c>
    </row>
    <row r="1953" hidden="1">
      <c r="B1953" s="64">
        <v>44903</v>
      </c>
      <c r="C1953" s="9" t="s">
        <v>4206</v>
      </c>
      <c r="D1953" s="6" t="s">
        <v>4207</v>
      </c>
      <c r="E1953" s="6" t="s">
        <v>2220</v>
      </c>
      <c r="F1953" s="6" t="s">
        <v>2226</v>
      </c>
      <c r="G1953" s="6" t="s">
        <v>2258</v>
      </c>
      <c r="H1953" s="7">
        <v>4320</v>
      </c>
      <c r="I1953" s="8">
        <f>SUMIF(Cargas!$C$6:$C$1064,C1953,Cargas!$O$6:$O$1064)</f>
        <v>0</v>
      </c>
      <c r="J1953" s="17">
        <f t="shared" si="46"/>
        <v>4320</v>
      </c>
      <c r="K1953" s="34">
        <v>1446874</v>
      </c>
      <c r="L1953" s="34">
        <v>243353</v>
      </c>
    </row>
    <row r="1954" hidden="1">
      <c r="B1954" s="64">
        <v>44903</v>
      </c>
      <c r="C1954" s="9" t="s">
        <v>4208</v>
      </c>
      <c r="D1954" s="6" t="s">
        <v>4209</v>
      </c>
      <c r="E1954" s="6" t="s">
        <v>2220</v>
      </c>
      <c r="F1954" s="6" t="s">
        <v>2226</v>
      </c>
      <c r="G1954" s="6" t="s">
        <v>2258</v>
      </c>
      <c r="H1954" s="7">
        <v>1080</v>
      </c>
      <c r="I1954" s="8">
        <f>SUMIF(Cargas!$C$6:$C$1064,C1954,Cargas!$O$6:$O$1064)</f>
        <v>0</v>
      </c>
      <c r="J1954" s="17">
        <f t="shared" si="46"/>
        <v>1080</v>
      </c>
      <c r="K1954" s="34">
        <v>1446875</v>
      </c>
      <c r="L1954" s="34">
        <v>243444</v>
      </c>
    </row>
    <row r="1955" hidden="1">
      <c r="B1955" s="64">
        <v>44915</v>
      </c>
      <c r="C1955" s="9" t="s">
        <v>4210</v>
      </c>
      <c r="D1955" s="6" t="s">
        <v>4211</v>
      </c>
      <c r="E1955" s="6" t="s">
        <v>2220</v>
      </c>
      <c r="F1955" s="6" t="s">
        <v>2226</v>
      </c>
      <c r="G1955" s="6" t="s">
        <v>2258</v>
      </c>
      <c r="H1955" s="7">
        <v>4320</v>
      </c>
      <c r="I1955" s="8">
        <f>SUMIF(Cargas!$C$6:$C$1064,C1955,Cargas!$O$6:$O$1064)</f>
        <v>0</v>
      </c>
      <c r="J1955" s="17">
        <f t="shared" si="46"/>
        <v>4320</v>
      </c>
      <c r="K1955" s="34">
        <v>1447332</v>
      </c>
      <c r="L1955" s="34">
        <v>2268</v>
      </c>
    </row>
    <row r="1956" hidden="1">
      <c r="B1956" s="64">
        <v>44915</v>
      </c>
      <c r="C1956" s="9" t="s">
        <v>4212</v>
      </c>
      <c r="D1956" s="6" t="s">
        <v>4213</v>
      </c>
      <c r="E1956" s="6" t="s">
        <v>2220</v>
      </c>
      <c r="F1956" s="6" t="s">
        <v>2226</v>
      </c>
      <c r="G1956" s="6" t="s">
        <v>2258</v>
      </c>
      <c r="H1956" s="7">
        <v>3240</v>
      </c>
      <c r="I1956" s="8">
        <f>SUMIF(Cargas!$C$6:$C$1064,C1956,Cargas!$O$6:$O$1064)</f>
        <v>0</v>
      </c>
      <c r="J1956" s="17">
        <f t="shared" si="46"/>
        <v>3240</v>
      </c>
      <c r="K1956" s="34">
        <v>1447335</v>
      </c>
      <c r="L1956" s="34">
        <v>2280</v>
      </c>
    </row>
    <row r="1957" hidden="1">
      <c r="B1957" s="64">
        <v>44915</v>
      </c>
      <c r="C1957" s="9" t="s">
        <v>4214</v>
      </c>
      <c r="D1957" s="6" t="s">
        <v>4215</v>
      </c>
      <c r="E1957" s="6" t="s">
        <v>2220</v>
      </c>
      <c r="F1957" s="6" t="s">
        <v>2226</v>
      </c>
      <c r="G1957" s="6" t="s">
        <v>2258</v>
      </c>
      <c r="H1957" s="7">
        <v>1116</v>
      </c>
      <c r="I1957" s="8">
        <f>SUMIF(Cargas!$C$6:$C$1064,C1957,Cargas!$O$6:$O$1064)</f>
        <v>0</v>
      </c>
      <c r="J1957" s="17">
        <f t="shared" si="46"/>
        <v>1116</v>
      </c>
      <c r="K1957" s="34">
        <v>1448035</v>
      </c>
      <c r="L1957" s="34">
        <v>2196</v>
      </c>
    </row>
    <row r="1958" hidden="1">
      <c r="A1958" s="79"/>
      <c r="B1958" s="80">
        <v>45464</v>
      </c>
      <c r="C1958" s="81" t="s">
        <v>311</v>
      </c>
      <c r="D1958" s="82" t="s">
        <v>3993</v>
      </c>
      <c r="E1958" s="6" t="s">
        <v>2916</v>
      </c>
      <c r="F1958" s="82" t="s">
        <v>2226</v>
      </c>
      <c r="G1958" s="82" t="s">
        <v>2227</v>
      </c>
      <c r="H1958" s="83">
        <v>1920</v>
      </c>
      <c r="I1958" s="84">
        <f>SUMIF(Cargas!$C$6:$C$1064,C1958,Cargas!$O$6:$O$1064)</f>
        <v>1920</v>
      </c>
      <c r="J1958" s="85">
        <f t="shared" si="46"/>
        <v>0</v>
      </c>
      <c r="K1958" s="86"/>
      <c r="L1958" s="86">
        <v>129751</v>
      </c>
      <c r="M1958" s="32"/>
    </row>
    <row r="1959" hidden="1">
      <c r="A1959" s="79"/>
      <c r="B1959" s="80">
        <v>45469</v>
      </c>
      <c r="C1959" s="81" t="s">
        <v>335</v>
      </c>
      <c r="D1959" s="82" t="s">
        <v>3994</v>
      </c>
      <c r="E1959" s="82" t="s">
        <v>2871</v>
      </c>
      <c r="F1959" s="82" t="s">
        <v>2226</v>
      </c>
      <c r="G1959" s="82" t="s">
        <v>2227</v>
      </c>
      <c r="H1959" s="83">
        <v>1920</v>
      </c>
      <c r="I1959" s="84">
        <f>SUMIF(Cargas!$C$6:$C$1064,C1959,Cargas!$O$6:$O$1064)</f>
        <v>1920</v>
      </c>
      <c r="J1959" s="85">
        <f t="shared" si="46"/>
        <v>0</v>
      </c>
      <c r="K1959" s="86"/>
      <c r="L1959" s="86">
        <v>134774</v>
      </c>
      <c r="M1959" s="32"/>
    </row>
    <row r="1960" hidden="1">
      <c r="A1960" s="79"/>
      <c r="B1960" s="80">
        <v>45469</v>
      </c>
      <c r="C1960" s="81" t="s">
        <v>332</v>
      </c>
      <c r="D1960" s="82" t="s">
        <v>3995</v>
      </c>
      <c r="E1960" s="6" t="s">
        <v>2916</v>
      </c>
      <c r="F1960" s="82" t="s">
        <v>2226</v>
      </c>
      <c r="G1960" s="82" t="s">
        <v>2227</v>
      </c>
      <c r="H1960" s="83">
        <v>1920</v>
      </c>
      <c r="I1960" s="84">
        <f>SUMIF(Cargas!$C$6:$C$1064,C1960,Cargas!$O$6:$O$1064)</f>
        <v>1920</v>
      </c>
      <c r="J1960" s="85">
        <f t="shared" si="46"/>
        <v>0</v>
      </c>
      <c r="K1960" s="86"/>
      <c r="L1960" s="86">
        <v>134773</v>
      </c>
      <c r="M1960" s="32"/>
    </row>
    <row r="1961" hidden="1">
      <c r="B1961" s="64">
        <v>45141</v>
      </c>
      <c r="C1961" s="9" t="s">
        <v>4216</v>
      </c>
      <c r="D1961" s="6" t="s">
        <v>4217</v>
      </c>
      <c r="E1961" s="6" t="s">
        <v>3748</v>
      </c>
      <c r="F1961" s="6" t="s">
        <v>2226</v>
      </c>
      <c r="G1961" s="6" t="s">
        <v>2227</v>
      </c>
      <c r="H1961" s="7">
        <v>1098</v>
      </c>
      <c r="I1961" s="8">
        <f>SUMIF(Cargas!$C$6:$C$1064,C1961,Cargas!$O$6:$O$1064)</f>
        <v>0</v>
      </c>
      <c r="J1961" s="17">
        <f t="shared" si="46"/>
        <v>1098</v>
      </c>
      <c r="K1961" s="34">
        <v>1467031</v>
      </c>
      <c r="L1961" s="34">
        <v>160924</v>
      </c>
    </row>
    <row r="1962" hidden="1">
      <c r="B1962" s="64">
        <v>45148</v>
      </c>
      <c r="C1962" s="9" t="s">
        <v>4218</v>
      </c>
      <c r="D1962" s="6" t="s">
        <v>4219</v>
      </c>
      <c r="E1962" s="6" t="s">
        <v>3748</v>
      </c>
      <c r="F1962" s="6" t="s">
        <v>2226</v>
      </c>
      <c r="G1962" s="6" t="s">
        <v>2227</v>
      </c>
      <c r="H1962" s="7">
        <v>1098</v>
      </c>
      <c r="I1962" s="8">
        <f>SUMIF(Cargas!$C$6:$C$1064,C1962,Cargas!$O$6:$O$1064)</f>
        <v>0</v>
      </c>
      <c r="J1962" s="17">
        <f t="shared" si="46"/>
        <v>1098</v>
      </c>
      <c r="K1962" s="34">
        <v>1467616</v>
      </c>
      <c r="L1962" s="34">
        <v>160841</v>
      </c>
    </row>
    <row r="1963" hidden="1">
      <c r="B1963" s="64">
        <v>45155</v>
      </c>
      <c r="C1963" s="9" t="s">
        <v>4220</v>
      </c>
      <c r="D1963" s="6" t="s">
        <v>4221</v>
      </c>
      <c r="E1963" s="6" t="s">
        <v>3748</v>
      </c>
      <c r="F1963" s="6" t="s">
        <v>2226</v>
      </c>
      <c r="G1963" s="6" t="s">
        <v>2227</v>
      </c>
      <c r="H1963" s="7">
        <v>2196</v>
      </c>
      <c r="I1963" s="8">
        <f>SUMIF(Cargas!$C$6:$C$1064,C1963,Cargas!$O$6:$O$1064)</f>
        <v>0</v>
      </c>
      <c r="J1963" s="17">
        <f t="shared" si="46"/>
        <v>2196</v>
      </c>
      <c r="K1963" s="34">
        <v>1468273</v>
      </c>
      <c r="L1963" s="34">
        <v>165146</v>
      </c>
    </row>
    <row r="1964" hidden="1">
      <c r="B1964" s="64">
        <v>45162</v>
      </c>
      <c r="C1964" s="9" t="s">
        <v>4222</v>
      </c>
      <c r="D1964" s="6" t="s">
        <v>4223</v>
      </c>
      <c r="E1964" s="6" t="s">
        <v>3748</v>
      </c>
      <c r="F1964" s="6" t="s">
        <v>2226</v>
      </c>
      <c r="G1964" s="6" t="s">
        <v>2227</v>
      </c>
      <c r="H1964" s="7">
        <v>2196</v>
      </c>
      <c r="I1964" s="8">
        <f>SUMIF(Cargas!$C$6:$C$1064,C1964,Cargas!$O$6:$O$1064)</f>
        <v>0</v>
      </c>
      <c r="J1964" s="17">
        <f t="shared" si="46"/>
        <v>2196</v>
      </c>
      <c r="K1964" s="34">
        <v>1469240</v>
      </c>
      <c r="L1964" s="34">
        <v>168904</v>
      </c>
    </row>
    <row r="1965" hidden="1">
      <c r="B1965" s="64">
        <v>45230</v>
      </c>
      <c r="C1965" s="9" t="s">
        <v>4224</v>
      </c>
      <c r="D1965" s="6" t="s">
        <v>4225</v>
      </c>
      <c r="E1965" s="6" t="s">
        <v>3748</v>
      </c>
      <c r="F1965" s="6" t="s">
        <v>2226</v>
      </c>
      <c r="G1965" s="6" t="s">
        <v>2227</v>
      </c>
      <c r="H1965" s="7">
        <v>2196</v>
      </c>
      <c r="I1965" s="8">
        <f>SUMIF(Cargas!$C$6:$C$1064,C1965,Cargas!$O$6:$O$1064)</f>
        <v>0</v>
      </c>
      <c r="J1965" s="17">
        <f t="shared" si="46"/>
        <v>2196</v>
      </c>
      <c r="K1965" s="34">
        <v>1470267</v>
      </c>
      <c r="L1965" s="34">
        <v>173664</v>
      </c>
    </row>
    <row r="1966" hidden="1">
      <c r="B1966" s="64">
        <v>45182</v>
      </c>
      <c r="C1966" s="9" t="s">
        <v>4226</v>
      </c>
      <c r="D1966" s="6" t="s">
        <v>4227</v>
      </c>
      <c r="E1966" s="6" t="s">
        <v>3748</v>
      </c>
      <c r="F1966" s="6" t="s">
        <v>2226</v>
      </c>
      <c r="G1966" s="6" t="s">
        <v>2227</v>
      </c>
      <c r="H1966" s="7">
        <v>3294</v>
      </c>
      <c r="I1966" s="8">
        <f>SUMIF(Cargas!$C$6:$C$1064,C1966,Cargas!$O$6:$O$1064)</f>
        <v>0</v>
      </c>
      <c r="J1966" s="17">
        <f t="shared" si="46"/>
        <v>3294</v>
      </c>
      <c r="K1966" s="34">
        <v>1471560</v>
      </c>
      <c r="L1966" s="34">
        <v>186502</v>
      </c>
    </row>
    <row r="1967" hidden="1">
      <c r="B1967" s="64">
        <v>45202</v>
      </c>
      <c r="C1967" s="9" t="s">
        <v>4228</v>
      </c>
      <c r="D1967" s="6" t="s">
        <v>4229</v>
      </c>
      <c r="E1967" s="6" t="s">
        <v>3748</v>
      </c>
      <c r="F1967" s="6" t="s">
        <v>2226</v>
      </c>
      <c r="G1967" s="6" t="s">
        <v>2227</v>
      </c>
      <c r="H1967" s="7">
        <v>3294</v>
      </c>
      <c r="I1967" s="8">
        <f>SUMIF(Cargas!$C$6:$C$1064,C1967,Cargas!$O$6:$O$1064)</f>
        <v>0</v>
      </c>
      <c r="J1967" s="17">
        <f t="shared" si="46"/>
        <v>3294</v>
      </c>
      <c r="K1967" s="34">
        <v>1472816</v>
      </c>
      <c r="L1967" s="34">
        <v>193578</v>
      </c>
    </row>
    <row r="1968" hidden="1">
      <c r="B1968" s="64">
        <v>45216</v>
      </c>
      <c r="C1968" s="9" t="s">
        <v>4230</v>
      </c>
      <c r="D1968" s="6" t="s">
        <v>4231</v>
      </c>
      <c r="E1968" s="6" t="s">
        <v>3748</v>
      </c>
      <c r="F1968" s="6" t="s">
        <v>2226</v>
      </c>
      <c r="G1968" s="6" t="s">
        <v>2227</v>
      </c>
      <c r="H1968" s="7">
        <v>2196</v>
      </c>
      <c r="I1968" s="8">
        <f>SUMIF(Cargas!$C$6:$C$1064,C1968,Cargas!$O$6:$O$1064)</f>
        <v>0</v>
      </c>
      <c r="J1968" s="17">
        <f t="shared" si="46"/>
        <v>2196</v>
      </c>
      <c r="K1968" s="34"/>
      <c r="L1968" s="34">
        <v>210248</v>
      </c>
    </row>
    <row r="1969" hidden="1">
      <c r="B1969" s="64">
        <v>44941</v>
      </c>
      <c r="C1969" s="9" t="s">
        <v>4232</v>
      </c>
      <c r="D1969" s="6" t="s">
        <v>2915</v>
      </c>
      <c r="E1969" s="6" t="s">
        <v>2916</v>
      </c>
      <c r="F1969" s="6" t="s">
        <v>2226</v>
      </c>
      <c r="G1969" s="6" t="s">
        <v>2227</v>
      </c>
      <c r="H1969" s="7">
        <v>1920</v>
      </c>
      <c r="I1969" s="8">
        <f>SUMIF(Cargas!$C$6:$C$1064,C1969,Cargas!$O$6:$O$1064)</f>
        <v>0</v>
      </c>
      <c r="J1969" s="17">
        <f t="shared" si="46"/>
        <v>1920</v>
      </c>
      <c r="K1969" s="34">
        <v>1445202</v>
      </c>
      <c r="L1969" s="34">
        <v>28408</v>
      </c>
    </row>
    <row r="1970" hidden="1">
      <c r="B1970" s="64">
        <v>44950</v>
      </c>
      <c r="C1970" s="9" t="s">
        <v>4233</v>
      </c>
      <c r="D1970" s="6" t="s">
        <v>2963</v>
      </c>
      <c r="E1970" s="6" t="s">
        <v>2916</v>
      </c>
      <c r="F1970" s="6" t="s">
        <v>2226</v>
      </c>
      <c r="G1970" s="6" t="s">
        <v>2227</v>
      </c>
      <c r="H1970" s="7">
        <v>1920</v>
      </c>
      <c r="I1970" s="8">
        <f>SUMIF(Cargas!$C$6:$C$1064,C1970,Cargas!$O$6:$O$1064)</f>
        <v>0</v>
      </c>
      <c r="J1970" s="17">
        <f t="shared" si="46"/>
        <v>1920</v>
      </c>
      <c r="K1970" s="34">
        <v>1415630</v>
      </c>
      <c r="L1970" s="34">
        <v>31594</v>
      </c>
    </row>
    <row r="1971" hidden="1">
      <c r="B1971" s="64">
        <v>44959</v>
      </c>
      <c r="C1971" s="9" t="s">
        <v>4234</v>
      </c>
      <c r="D1971" s="6" t="s">
        <v>2974</v>
      </c>
      <c r="E1971" s="6" t="s">
        <v>2916</v>
      </c>
      <c r="F1971" s="6" t="s">
        <v>2226</v>
      </c>
      <c r="G1971" s="6" t="s">
        <v>2227</v>
      </c>
      <c r="H1971" s="7">
        <v>1920</v>
      </c>
      <c r="I1971" s="8">
        <f>SUMIF(Cargas!$C$6:$C$1064,C1971,Cargas!$O$6:$O$1064)</f>
        <v>0</v>
      </c>
      <c r="J1971" s="17">
        <f t="shared" si="46"/>
        <v>1920</v>
      </c>
      <c r="K1971" s="34"/>
      <c r="L1971" s="34">
        <v>36994</v>
      </c>
    </row>
    <row r="1972" hidden="1">
      <c r="B1972" s="64">
        <v>44969</v>
      </c>
      <c r="C1972" s="9" t="s">
        <v>4235</v>
      </c>
      <c r="D1972" s="6" t="s">
        <v>3052</v>
      </c>
      <c r="E1972" s="6" t="s">
        <v>2916</v>
      </c>
      <c r="F1972" s="6" t="s">
        <v>2226</v>
      </c>
      <c r="G1972" s="6" t="s">
        <v>2227</v>
      </c>
      <c r="H1972" s="7">
        <v>1920</v>
      </c>
      <c r="I1972" s="8">
        <f>SUMIF(Cargas!$C$6:$C$1064,C1972,Cargas!$O$6:$O$1064)</f>
        <v>0</v>
      </c>
      <c r="J1972" s="17">
        <f t="shared" si="46"/>
        <v>1920</v>
      </c>
      <c r="K1972" s="34"/>
      <c r="L1972" s="34">
        <v>40860</v>
      </c>
    </row>
    <row r="1973" hidden="1">
      <c r="B1973" s="64">
        <v>44978</v>
      </c>
      <c r="C1973" s="9" t="s">
        <v>4236</v>
      </c>
      <c r="D1973" s="6" t="s">
        <v>3054</v>
      </c>
      <c r="E1973" s="6" t="s">
        <v>2916</v>
      </c>
      <c r="F1973" s="6" t="s">
        <v>2226</v>
      </c>
      <c r="G1973" s="6" t="s">
        <v>2227</v>
      </c>
      <c r="H1973" s="7">
        <v>1920</v>
      </c>
      <c r="I1973" s="8">
        <f>SUMIF(Cargas!$C$6:$C$1064,C1973,Cargas!$O$6:$O$1064)</f>
        <v>0</v>
      </c>
      <c r="J1973" s="17">
        <f t="shared" si="46"/>
        <v>1920</v>
      </c>
      <c r="K1973" s="34">
        <v>1449515</v>
      </c>
      <c r="L1973" s="34">
        <v>47737</v>
      </c>
    </row>
    <row r="1974" hidden="1">
      <c r="B1974" s="64">
        <v>44984</v>
      </c>
      <c r="C1974" s="9" t="s">
        <v>4237</v>
      </c>
      <c r="D1974" s="6" t="s">
        <v>3056</v>
      </c>
      <c r="E1974" s="6" t="s">
        <v>2916</v>
      </c>
      <c r="F1974" s="6" t="s">
        <v>2226</v>
      </c>
      <c r="G1974" s="6" t="s">
        <v>2227</v>
      </c>
      <c r="H1974" s="7">
        <v>1920</v>
      </c>
      <c r="I1974" s="8">
        <f>SUMIF(Cargas!$C$6:$C$1064,C1974,Cargas!$O$6:$O$1064)</f>
        <v>0</v>
      </c>
      <c r="J1974" s="17">
        <f t="shared" si="46"/>
        <v>1920</v>
      </c>
      <c r="K1974" s="34"/>
      <c r="L1974" s="34">
        <v>51645</v>
      </c>
    </row>
    <row r="1975" hidden="1">
      <c r="B1975" s="64">
        <v>44992</v>
      </c>
      <c r="C1975" s="9" t="s">
        <v>4238</v>
      </c>
      <c r="D1975" s="6" t="s">
        <v>3058</v>
      </c>
      <c r="E1975" s="6" t="s">
        <v>2916</v>
      </c>
      <c r="F1975" s="6" t="s">
        <v>2226</v>
      </c>
      <c r="G1975" s="6" t="s">
        <v>2227</v>
      </c>
      <c r="H1975" s="7">
        <v>1920</v>
      </c>
      <c r="I1975" s="8">
        <f>SUMIF(Cargas!$C$6:$C$1064,C1975,Cargas!$O$6:$O$1064)</f>
        <v>0</v>
      </c>
      <c r="J1975" s="17">
        <f t="shared" si="46"/>
        <v>1920</v>
      </c>
      <c r="K1975" s="34"/>
      <c r="L1975" s="34">
        <v>57617</v>
      </c>
    </row>
    <row r="1976" hidden="1">
      <c r="B1976" s="64">
        <v>45006</v>
      </c>
      <c r="C1976" s="9" t="s">
        <v>4239</v>
      </c>
      <c r="D1976" s="6" t="s">
        <v>3060</v>
      </c>
      <c r="E1976" s="6" t="s">
        <v>2916</v>
      </c>
      <c r="F1976" s="6" t="s">
        <v>2226</v>
      </c>
      <c r="G1976" s="6" t="s">
        <v>2227</v>
      </c>
      <c r="H1976" s="7">
        <v>1920</v>
      </c>
      <c r="I1976" s="8">
        <f>SUMIF(Cargas!$C$6:$C$1064,C1976,Cargas!$O$6:$O$1064)</f>
        <v>0</v>
      </c>
      <c r="J1976" s="17">
        <f t="shared" si="46"/>
        <v>1920</v>
      </c>
      <c r="K1976" s="34"/>
      <c r="L1976" s="34">
        <v>67559</v>
      </c>
    </row>
    <row r="1977" hidden="1">
      <c r="B1977" s="64">
        <v>45009</v>
      </c>
      <c r="C1977" s="9" t="s">
        <v>4240</v>
      </c>
      <c r="D1977" s="6" t="s">
        <v>3856</v>
      </c>
      <c r="E1977" s="6" t="s">
        <v>2916</v>
      </c>
      <c r="F1977" s="6" t="s">
        <v>2226</v>
      </c>
      <c r="G1977" s="6" t="s">
        <v>2227</v>
      </c>
      <c r="H1977" s="7">
        <v>1920</v>
      </c>
      <c r="I1977" s="8">
        <f>SUMIF(Cargas!$C$6:$C$1064,C1977,Cargas!$O$6:$O$1064)</f>
        <v>0</v>
      </c>
      <c r="J1977" s="17">
        <f t="shared" si="46"/>
        <v>1920</v>
      </c>
      <c r="K1977" s="34"/>
      <c r="L1977" s="34">
        <v>73283</v>
      </c>
    </row>
    <row r="1978" hidden="1">
      <c r="B1978" s="64">
        <v>45021</v>
      </c>
      <c r="C1978" s="9" t="s">
        <v>4241</v>
      </c>
      <c r="D1978" s="6" t="s">
        <v>3068</v>
      </c>
      <c r="E1978" s="6" t="s">
        <v>2916</v>
      </c>
      <c r="F1978" s="6" t="s">
        <v>2226</v>
      </c>
      <c r="G1978" s="6" t="s">
        <v>2227</v>
      </c>
      <c r="H1978" s="7">
        <v>1920</v>
      </c>
      <c r="I1978" s="8">
        <f>SUMIF(Cargas!$C$6:$C$1064,C1978,Cargas!$O$6:$O$1064)</f>
        <v>0</v>
      </c>
      <c r="J1978" s="17">
        <f t="shared" si="46"/>
        <v>1920</v>
      </c>
      <c r="K1978" s="34"/>
      <c r="L1978" s="34">
        <v>75224</v>
      </c>
    </row>
    <row r="1979" hidden="1">
      <c r="B1979" s="64">
        <v>45031</v>
      </c>
      <c r="C1979" s="9" t="s">
        <v>4242</v>
      </c>
      <c r="D1979" s="6" t="s">
        <v>3432</v>
      </c>
      <c r="E1979" s="6" t="s">
        <v>2916</v>
      </c>
      <c r="F1979" s="6" t="s">
        <v>2226</v>
      </c>
      <c r="G1979" s="6" t="s">
        <v>2227</v>
      </c>
      <c r="H1979" s="7">
        <v>1920</v>
      </c>
      <c r="I1979" s="8">
        <f>SUMIF(Cargas!$C$6:$C$1064,C1979,Cargas!$O$6:$O$1064)</f>
        <v>0</v>
      </c>
      <c r="J1979" s="17">
        <f t="shared" si="46"/>
        <v>1920</v>
      </c>
      <c r="K1979" s="34"/>
      <c r="L1979" s="34">
        <v>81906</v>
      </c>
    </row>
    <row r="1980" hidden="1">
      <c r="A1980" s="79"/>
      <c r="B1980" s="80">
        <v>45175</v>
      </c>
      <c r="C1980" s="81" t="s">
        <v>4243</v>
      </c>
      <c r="D1980" s="82" t="s">
        <v>3434</v>
      </c>
      <c r="E1980" s="6" t="s">
        <v>2916</v>
      </c>
      <c r="F1980" s="82" t="s">
        <v>2226</v>
      </c>
      <c r="G1980" s="82" t="s">
        <v>2227</v>
      </c>
      <c r="H1980" s="83">
        <v>1920</v>
      </c>
      <c r="I1980" s="84">
        <f>SUMIF(Cargas!$C$6:$C$1064,C1980,Cargas!$O$6:$O$1064)</f>
        <v>0</v>
      </c>
      <c r="J1980" s="85">
        <f t="shared" si="46"/>
        <v>1920</v>
      </c>
      <c r="K1980" s="86">
        <v>1469859</v>
      </c>
      <c r="L1980" s="86">
        <v>195900</v>
      </c>
      <c r="M1980" s="32"/>
    </row>
    <row r="1981" hidden="1">
      <c r="A1981" s="79"/>
      <c r="B1981" s="80">
        <v>45216</v>
      </c>
      <c r="C1981" s="81" t="s">
        <v>4244</v>
      </c>
      <c r="D1981" s="82" t="s">
        <v>3436</v>
      </c>
      <c r="E1981" s="6" t="s">
        <v>2916</v>
      </c>
      <c r="F1981" s="82" t="s">
        <v>2226</v>
      </c>
      <c r="G1981" s="82" t="s">
        <v>2227</v>
      </c>
      <c r="H1981" s="83">
        <v>1920</v>
      </c>
      <c r="I1981" s="84">
        <f>SUMIF(Cargas!$C$6:$C$1064,C1981,Cargas!$O$6:$O$1064)</f>
        <v>0</v>
      </c>
      <c r="J1981" s="85">
        <f t="shared" si="46"/>
        <v>1920</v>
      </c>
      <c r="K1981" s="86">
        <v>1474300</v>
      </c>
      <c r="L1981" s="86" t="s">
        <v>29</v>
      </c>
      <c r="M1981" s="32"/>
    </row>
    <row r="1982" hidden="1">
      <c r="A1982" s="79"/>
      <c r="B1982" s="80">
        <v>45223</v>
      </c>
      <c r="C1982" s="81" t="s">
        <v>4245</v>
      </c>
      <c r="D1982" s="82" t="s">
        <v>3438</v>
      </c>
      <c r="E1982" s="6" t="s">
        <v>2916</v>
      </c>
      <c r="F1982" s="82" t="s">
        <v>2226</v>
      </c>
      <c r="G1982" s="82" t="s">
        <v>2227</v>
      </c>
      <c r="H1982" s="83">
        <v>1920</v>
      </c>
      <c r="I1982" s="84">
        <f>SUMIF(Cargas!$C$6:$C$1064,C1982,Cargas!$O$6:$O$1064)</f>
        <v>0</v>
      </c>
      <c r="J1982" s="85">
        <f t="shared" si="46"/>
        <v>1920</v>
      </c>
      <c r="K1982" s="86"/>
      <c r="L1982" s="86">
        <v>218823</v>
      </c>
      <c r="M1982" s="32"/>
    </row>
    <row r="1983" hidden="1">
      <c r="A1983" s="79"/>
      <c r="B1983" s="80">
        <v>45238</v>
      </c>
      <c r="C1983" s="81" t="s">
        <v>4246</v>
      </c>
      <c r="D1983" s="82" t="s">
        <v>3088</v>
      </c>
      <c r="E1983" s="82" t="s">
        <v>3020</v>
      </c>
      <c r="F1983" s="82" t="s">
        <v>2221</v>
      </c>
      <c r="G1983" s="82" t="s">
        <v>2222</v>
      </c>
      <c r="H1983" s="83">
        <v>1322</v>
      </c>
      <c r="I1983" s="84">
        <f>SUMIF(Cargas!$C$6:$C$1064,C1983,Cargas!$O$6:$O$1064)</f>
        <v>0</v>
      </c>
      <c r="J1983" s="85">
        <f t="shared" si="46"/>
        <v>1322</v>
      </c>
      <c r="K1983" s="86"/>
      <c r="L1983" s="86">
        <v>23266</v>
      </c>
      <c r="M1983" s="32"/>
    </row>
    <row r="1984" hidden="1">
      <c r="A1984" s="79"/>
      <c r="B1984" s="80">
        <v>45264</v>
      </c>
      <c r="C1984" s="81" t="s">
        <v>4247</v>
      </c>
      <c r="D1984" s="82" t="s">
        <v>3440</v>
      </c>
      <c r="E1984" s="6" t="s">
        <v>2916</v>
      </c>
      <c r="F1984" s="82" t="s">
        <v>2226</v>
      </c>
      <c r="G1984" s="82" t="s">
        <v>2227</v>
      </c>
      <c r="H1984" s="83">
        <v>1920</v>
      </c>
      <c r="I1984" s="84">
        <f>SUMIF(Cargas!$C$6:$C$1064,C1984,Cargas!$O$6:$O$1064)</f>
        <v>0</v>
      </c>
      <c r="J1984" s="85">
        <f t="shared" si="46"/>
        <v>1920</v>
      </c>
      <c r="K1984" s="86" t="s">
        <v>29</v>
      </c>
      <c r="L1984" s="86">
        <v>300</v>
      </c>
      <c r="M1984" s="32"/>
    </row>
    <row r="1985" hidden="1">
      <c r="A1985" s="79"/>
      <c r="B1985" s="80">
        <v>45271</v>
      </c>
      <c r="C1985" s="81" t="s">
        <v>4248</v>
      </c>
      <c r="D1985" s="82" t="s">
        <v>3442</v>
      </c>
      <c r="E1985" s="6" t="s">
        <v>2916</v>
      </c>
      <c r="F1985" s="82" t="s">
        <v>2226</v>
      </c>
      <c r="G1985" s="82" t="s">
        <v>2227</v>
      </c>
      <c r="H1985" s="83">
        <v>1920</v>
      </c>
      <c r="I1985" s="84">
        <f>SUMIF(Cargas!$C$6:$C$1064,C1985,Cargas!$O$6:$O$1064)</f>
        <v>0</v>
      </c>
      <c r="J1985" s="85">
        <f ref="J1985:J2048" t="shared" si="47">IF(ABS(H1985-I1985)&lt;20,0,H1985-I1985)</f>
        <v>1920</v>
      </c>
      <c r="K1985" s="86" t="s">
        <v>29</v>
      </c>
      <c r="L1985" s="86">
        <v>2843</v>
      </c>
      <c r="M1985" s="32"/>
    </row>
    <row r="1986" hidden="1">
      <c r="A1986" s="79"/>
      <c r="B1986" s="80">
        <v>45271</v>
      </c>
      <c r="C1986" s="81" t="s">
        <v>4249</v>
      </c>
      <c r="D1986" s="82" t="s">
        <v>4250</v>
      </c>
      <c r="E1986" s="6" t="s">
        <v>2916</v>
      </c>
      <c r="F1986" s="82" t="s">
        <v>2226</v>
      </c>
      <c r="G1986" s="82" t="s">
        <v>2227</v>
      </c>
      <c r="H1986" s="83">
        <v>1920</v>
      </c>
      <c r="I1986" s="84">
        <f>SUMIF(Cargas!$C$6:$C$1064,C1986,Cargas!$O$6:$O$1064)</f>
        <v>0</v>
      </c>
      <c r="J1986" s="85">
        <f t="shared" si="47"/>
        <v>1920</v>
      </c>
      <c r="K1986" s="86" t="s">
        <v>29</v>
      </c>
      <c r="L1986" s="86">
        <v>2843</v>
      </c>
      <c r="M1986" s="32"/>
    </row>
    <row r="1987" hidden="1">
      <c r="A1987" s="79"/>
      <c r="B1987" s="80">
        <v>45278</v>
      </c>
      <c r="C1987" s="81" t="s">
        <v>4251</v>
      </c>
      <c r="D1987" s="82" t="s">
        <v>4252</v>
      </c>
      <c r="E1987" s="6" t="s">
        <v>2916</v>
      </c>
      <c r="F1987" s="82" t="s">
        <v>2226</v>
      </c>
      <c r="G1987" s="82" t="s">
        <v>2227</v>
      </c>
      <c r="H1987" s="83">
        <v>1920</v>
      </c>
      <c r="I1987" s="84">
        <f>SUMIF(Cargas!$C$6:$C$1064,C1987,Cargas!$O$6:$O$1064)</f>
        <v>0</v>
      </c>
      <c r="J1987" s="85">
        <f t="shared" si="47"/>
        <v>1920</v>
      </c>
      <c r="K1987" s="86" t="s">
        <v>29</v>
      </c>
      <c r="L1987" s="86">
        <v>5673</v>
      </c>
      <c r="M1987" s="32"/>
    </row>
    <row r="1988" hidden="1">
      <c r="A1988" s="79"/>
      <c r="B1988" s="80">
        <v>45278</v>
      </c>
      <c r="C1988" s="81" t="s">
        <v>4253</v>
      </c>
      <c r="D1988" s="82" t="s">
        <v>4254</v>
      </c>
      <c r="E1988" s="6" t="s">
        <v>2916</v>
      </c>
      <c r="F1988" s="82" t="s">
        <v>2226</v>
      </c>
      <c r="G1988" s="82" t="s">
        <v>2227</v>
      </c>
      <c r="H1988" s="83">
        <v>1920</v>
      </c>
      <c r="I1988" s="84">
        <f>SUMIF(Cargas!$C$6:$C$1064,C1988,Cargas!$O$6:$O$1064)</f>
        <v>0</v>
      </c>
      <c r="J1988" s="85">
        <f t="shared" si="47"/>
        <v>1920</v>
      </c>
      <c r="K1988" s="86" t="s">
        <v>29</v>
      </c>
      <c r="L1988" s="86">
        <v>5673</v>
      </c>
      <c r="M1988" s="32"/>
    </row>
    <row r="1989" hidden="1">
      <c r="A1989" s="79"/>
      <c r="B1989" s="80">
        <v>45286</v>
      </c>
      <c r="C1989" s="81" t="s">
        <v>4255</v>
      </c>
      <c r="D1989" s="82" t="s">
        <v>4256</v>
      </c>
      <c r="E1989" s="6" t="s">
        <v>2916</v>
      </c>
      <c r="F1989" s="82" t="s">
        <v>2226</v>
      </c>
      <c r="G1989" s="82" t="s">
        <v>2227</v>
      </c>
      <c r="H1989" s="83">
        <v>1920</v>
      </c>
      <c r="I1989" s="84">
        <f>SUMIF(Cargas!$C$6:$C$1064,C1989,Cargas!$O$6:$O$1064)</f>
        <v>0</v>
      </c>
      <c r="J1989" s="85">
        <f t="shared" si="47"/>
        <v>1920</v>
      </c>
      <c r="K1989" s="86" t="s">
        <v>29</v>
      </c>
      <c r="L1989" s="86">
        <v>10265</v>
      </c>
      <c r="M1989" s="32"/>
    </row>
    <row r="1990" hidden="1">
      <c r="A1990" s="79"/>
      <c r="B1990" s="80">
        <v>45259</v>
      </c>
      <c r="C1990" s="81" t="s">
        <v>4257</v>
      </c>
      <c r="D1990" s="82" t="s">
        <v>3873</v>
      </c>
      <c r="E1990" s="82" t="s">
        <v>3020</v>
      </c>
      <c r="F1990" s="82" t="s">
        <v>2221</v>
      </c>
      <c r="G1990" s="82" t="s">
        <v>2222</v>
      </c>
      <c r="H1990" s="83">
        <v>1322</v>
      </c>
      <c r="I1990" s="84">
        <f>SUMIF(Cargas!$C$6:$C$1064,C1990,Cargas!$O$6:$O$1064)</f>
        <v>0</v>
      </c>
      <c r="J1990" s="85">
        <f t="shared" si="47"/>
        <v>1322</v>
      </c>
      <c r="K1990" s="86"/>
      <c r="L1990" s="86">
        <v>75</v>
      </c>
      <c r="M1990" s="32"/>
    </row>
    <row r="1991" hidden="1">
      <c r="A1991" s="79"/>
      <c r="B1991" s="80">
        <v>45273</v>
      </c>
      <c r="C1991" s="81" t="s">
        <v>4258</v>
      </c>
      <c r="D1991" s="82" t="s">
        <v>4259</v>
      </c>
      <c r="E1991" s="82" t="s">
        <v>3020</v>
      </c>
      <c r="F1991" s="82" t="s">
        <v>2221</v>
      </c>
      <c r="G1991" s="82" t="s">
        <v>2222</v>
      </c>
      <c r="H1991" s="83">
        <v>1664</v>
      </c>
      <c r="I1991" s="84">
        <f>SUMIF(Cargas!$C$6:$C$1064,C1991,Cargas!$O$6:$O$1064)</f>
        <v>0</v>
      </c>
      <c r="J1991" s="85">
        <f t="shared" si="47"/>
        <v>1664</v>
      </c>
      <c r="K1991" s="86"/>
      <c r="L1991" s="86">
        <v>7755</v>
      </c>
      <c r="M1991" s="32"/>
    </row>
    <row r="1992" hidden="1">
      <c r="A1992" s="79"/>
      <c r="B1992" s="80">
        <v>45234</v>
      </c>
      <c r="C1992" s="81" t="s">
        <v>4260</v>
      </c>
      <c r="D1992" s="82" t="s">
        <v>2626</v>
      </c>
      <c r="E1992" s="82" t="s">
        <v>4107</v>
      </c>
      <c r="F1992" s="82" t="s">
        <v>2221</v>
      </c>
      <c r="G1992" s="82" t="s">
        <v>2222</v>
      </c>
      <c r="H1992" s="83">
        <v>2310</v>
      </c>
      <c r="I1992" s="84">
        <f>SUMIF(Cargas!$C$6:$C$1064,C1992,Cargas!$O$6:$O$1064)</f>
        <v>0</v>
      </c>
      <c r="J1992" s="85">
        <f t="shared" si="47"/>
        <v>2310</v>
      </c>
      <c r="K1992" s="86">
        <v>1476114</v>
      </c>
      <c r="L1992" s="86">
        <v>237840</v>
      </c>
      <c r="M1992" s="32"/>
    </row>
    <row r="1993" hidden="1">
      <c r="A1993" s="79"/>
      <c r="B1993" s="80">
        <v>45250</v>
      </c>
      <c r="C1993" s="81" t="s">
        <v>1518</v>
      </c>
      <c r="D1993" s="82" t="s">
        <v>2640</v>
      </c>
      <c r="E1993" s="82" t="s">
        <v>2780</v>
      </c>
      <c r="F1993" s="82" t="s">
        <v>2221</v>
      </c>
      <c r="G1993" s="82" t="s">
        <v>2222</v>
      </c>
      <c r="H1993" s="83">
        <v>2310</v>
      </c>
      <c r="I1993" s="84">
        <f>SUMIF(Cargas!$C$6:$C$1064,C1993,Cargas!$O$6:$O$1064)</f>
        <v>2200</v>
      </c>
      <c r="J1993" s="85">
        <f t="shared" si="47"/>
        <v>110</v>
      </c>
      <c r="K1993" s="86">
        <v>1477425</v>
      </c>
      <c r="L1993" s="86">
        <v>248503</v>
      </c>
      <c r="M1993" s="32"/>
    </row>
    <row r="1994" hidden="1">
      <c r="A1994" s="79"/>
      <c r="B1994" s="80">
        <v>45259</v>
      </c>
      <c r="C1994" s="81" t="s">
        <v>4261</v>
      </c>
      <c r="D1994" s="82" t="s">
        <v>2636</v>
      </c>
      <c r="E1994" s="82" t="s">
        <v>4107</v>
      </c>
      <c r="F1994" s="82" t="s">
        <v>2221</v>
      </c>
      <c r="G1994" s="82" t="s">
        <v>2222</v>
      </c>
      <c r="H1994" s="83">
        <v>2310</v>
      </c>
      <c r="I1994" s="84">
        <f>SUMIF(Cargas!$C$6:$C$1064,C1994,Cargas!$O$6:$O$1064)</f>
        <v>0</v>
      </c>
      <c r="J1994" s="85">
        <f t="shared" si="47"/>
        <v>2310</v>
      </c>
      <c r="K1994" s="86">
        <v>1477882</v>
      </c>
      <c r="L1994" s="86">
        <v>77</v>
      </c>
      <c r="M1994" s="32"/>
    </row>
    <row r="1995" hidden="1">
      <c r="A1995" s="79"/>
      <c r="B1995" s="80">
        <v>45269</v>
      </c>
      <c r="C1995" s="81" t="s">
        <v>4262</v>
      </c>
      <c r="D1995" s="82" t="s">
        <v>2710</v>
      </c>
      <c r="E1995" s="82" t="s">
        <v>4107</v>
      </c>
      <c r="F1995" s="82" t="s">
        <v>2221</v>
      </c>
      <c r="G1995" s="82" t="s">
        <v>2222</v>
      </c>
      <c r="H1995" s="83">
        <v>2310</v>
      </c>
      <c r="I1995" s="84">
        <f>SUMIF(Cargas!$C$6:$C$1064,C1995,Cargas!$O$6:$O$1064)</f>
        <v>0</v>
      </c>
      <c r="J1995" s="85">
        <f t="shared" si="47"/>
        <v>2310</v>
      </c>
      <c r="K1995" s="86"/>
      <c r="L1995" s="86" t="s">
        <v>29</v>
      </c>
      <c r="M1995" s="32"/>
    </row>
    <row r="1996" hidden="1">
      <c r="A1996" s="79"/>
      <c r="B1996" s="80">
        <v>45273</v>
      </c>
      <c r="C1996" s="81" t="s">
        <v>36</v>
      </c>
      <c r="D1996" s="82" t="s">
        <v>2701</v>
      </c>
      <c r="E1996" s="82" t="s">
        <v>4263</v>
      </c>
      <c r="F1996" s="82" t="s">
        <v>2221</v>
      </c>
      <c r="G1996" s="82" t="s">
        <v>2222</v>
      </c>
      <c r="H1996" s="83">
        <v>2310</v>
      </c>
      <c r="I1996" s="84">
        <f>SUMIF(Cargas!$C$6:$C$1064,C1996,Cargas!$O$6:$O$1064)</f>
        <v>2310</v>
      </c>
      <c r="J1996" s="85">
        <f t="shared" si="47"/>
        <v>0</v>
      </c>
      <c r="K1996" s="86"/>
      <c r="L1996" s="86" t="s">
        <v>29</v>
      </c>
      <c r="M1996" s="32"/>
    </row>
    <row r="1997" hidden="1">
      <c r="A1997" s="79"/>
      <c r="B1997" s="80">
        <v>45276</v>
      </c>
      <c r="C1997" s="81" t="s">
        <v>39</v>
      </c>
      <c r="D1997" s="82" t="s">
        <v>2703</v>
      </c>
      <c r="E1997" s="82" t="s">
        <v>4107</v>
      </c>
      <c r="F1997" s="82" t="s">
        <v>2221</v>
      </c>
      <c r="G1997" s="82" t="s">
        <v>2222</v>
      </c>
      <c r="H1997" s="83">
        <v>2310</v>
      </c>
      <c r="I1997" s="84">
        <f>SUMIF(Cargas!$C$6:$C$1064,C1997,Cargas!$O$6:$O$1064)</f>
        <v>2310</v>
      </c>
      <c r="J1997" s="85">
        <f t="shared" si="47"/>
        <v>0</v>
      </c>
      <c r="K1997" s="86"/>
      <c r="L1997" s="86" t="s">
        <v>29</v>
      </c>
      <c r="M1997" s="32"/>
    </row>
    <row r="1998" hidden="1">
      <c r="A1998" s="79"/>
      <c r="B1998" s="80">
        <v>45286</v>
      </c>
      <c r="C1998" s="81" t="s">
        <v>4264</v>
      </c>
      <c r="D1998" s="82" t="s">
        <v>4265</v>
      </c>
      <c r="E1998" s="6" t="s">
        <v>2916</v>
      </c>
      <c r="F1998" s="82" t="s">
        <v>2226</v>
      </c>
      <c r="G1998" s="82" t="s">
        <v>2227</v>
      </c>
      <c r="H1998" s="83">
        <v>1920</v>
      </c>
      <c r="I1998" s="84">
        <f>SUMIF(Cargas!$C$6:$C$1064,C1998,Cargas!$O$6:$O$1064)</f>
        <v>0</v>
      </c>
      <c r="J1998" s="85">
        <f t="shared" si="47"/>
        <v>1920</v>
      </c>
      <c r="K1998" s="86" t="s">
        <v>29</v>
      </c>
      <c r="L1998" s="86">
        <v>10265</v>
      </c>
      <c r="M1998" s="32"/>
    </row>
    <row r="1999" hidden="1">
      <c r="B1999" s="64">
        <v>45050</v>
      </c>
      <c r="C1999" s="9" t="s">
        <v>4266</v>
      </c>
      <c r="D1999" s="6" t="s">
        <v>3460</v>
      </c>
      <c r="E1999" s="6" t="s">
        <v>2871</v>
      </c>
      <c r="F1999" s="6" t="s">
        <v>2226</v>
      </c>
      <c r="G1999" s="6" t="s">
        <v>2227</v>
      </c>
      <c r="H1999" s="7">
        <v>1920</v>
      </c>
      <c r="I1999" s="8">
        <f>SUMIF(Cargas!$C$6:$C$1064,C1999,Cargas!$O$6:$O$1064)</f>
        <v>0</v>
      </c>
      <c r="J1999" s="17">
        <f t="shared" si="47"/>
        <v>1920</v>
      </c>
      <c r="K1999" s="34"/>
      <c r="L1999" s="34">
        <v>86855</v>
      </c>
    </row>
    <row r="2000" hidden="1">
      <c r="B2000" s="64">
        <v>45050</v>
      </c>
      <c r="C2000" s="9" t="s">
        <v>4267</v>
      </c>
      <c r="D2000" s="6" t="s">
        <v>3002</v>
      </c>
      <c r="E2000" s="6" t="s">
        <v>2871</v>
      </c>
      <c r="F2000" s="6" t="s">
        <v>2226</v>
      </c>
      <c r="G2000" s="6" t="s">
        <v>2227</v>
      </c>
      <c r="H2000" s="7">
        <v>1920</v>
      </c>
      <c r="I2000" s="8">
        <f>SUMIF(Cargas!$C$6:$C$1064,C2000,Cargas!$O$6:$O$1064)</f>
        <v>0</v>
      </c>
      <c r="J2000" s="17">
        <f t="shared" si="47"/>
        <v>1920</v>
      </c>
      <c r="K2000" s="34"/>
      <c r="L2000" s="34">
        <v>86856</v>
      </c>
    </row>
    <row r="2001" hidden="1">
      <c r="B2001" s="64">
        <v>45054</v>
      </c>
      <c r="C2001" s="9" t="s">
        <v>4268</v>
      </c>
      <c r="D2001" s="6" t="s">
        <v>3991</v>
      </c>
      <c r="E2001" s="6" t="s">
        <v>2916</v>
      </c>
      <c r="F2001" s="6" t="s">
        <v>2226</v>
      </c>
      <c r="G2001" s="6" t="s">
        <v>2227</v>
      </c>
      <c r="H2001" s="7">
        <v>1920</v>
      </c>
      <c r="I2001" s="8">
        <f>SUMIF(Cargas!$C$6:$C$1064,C2001,Cargas!$O$6:$O$1064)</f>
        <v>0</v>
      </c>
      <c r="J2001" s="17">
        <f t="shared" si="47"/>
        <v>1920</v>
      </c>
      <c r="K2001" s="34"/>
      <c r="L2001" s="34">
        <v>90113</v>
      </c>
    </row>
    <row r="2002" hidden="1">
      <c r="B2002" s="64">
        <v>45061</v>
      </c>
      <c r="C2002" s="9" t="s">
        <v>4269</v>
      </c>
      <c r="D2002" s="6" t="s">
        <v>3992</v>
      </c>
      <c r="E2002" s="6" t="s">
        <v>2916</v>
      </c>
      <c r="F2002" s="6" t="s">
        <v>2226</v>
      </c>
      <c r="G2002" s="6" t="s">
        <v>2227</v>
      </c>
      <c r="H2002" s="7">
        <v>1920</v>
      </c>
      <c r="I2002" s="8">
        <f>SUMIF(Cargas!$C$6:$C$1064,C2002,Cargas!$O$6:$O$1064)</f>
        <v>0</v>
      </c>
      <c r="J2002" s="17">
        <f t="shared" si="47"/>
        <v>1920</v>
      </c>
      <c r="K2002" s="34"/>
      <c r="L2002" s="34">
        <v>96605</v>
      </c>
    </row>
    <row r="2003" hidden="1">
      <c r="B2003" s="64">
        <v>45071</v>
      </c>
      <c r="C2003" s="9" t="s">
        <v>4270</v>
      </c>
      <c r="D2003" s="6" t="s">
        <v>3993</v>
      </c>
      <c r="E2003" s="6" t="s">
        <v>2871</v>
      </c>
      <c r="F2003" s="6" t="s">
        <v>2226</v>
      </c>
      <c r="G2003" s="6" t="s">
        <v>2227</v>
      </c>
      <c r="H2003" s="7">
        <v>1920</v>
      </c>
      <c r="I2003" s="8">
        <f>SUMIF(Cargas!$C$6:$C$1064,C2003,Cargas!$O$6:$O$1064)</f>
        <v>0</v>
      </c>
      <c r="J2003" s="17">
        <f t="shared" si="47"/>
        <v>1920</v>
      </c>
      <c r="K2003" s="34"/>
      <c r="L2003" s="34">
        <v>96440</v>
      </c>
    </row>
    <row r="2004" hidden="1">
      <c r="B2004" s="64">
        <v>45074</v>
      </c>
      <c r="C2004" s="9" t="s">
        <v>4271</v>
      </c>
      <c r="D2004" s="6" t="s">
        <v>3994</v>
      </c>
      <c r="E2004" s="6" t="s">
        <v>2916</v>
      </c>
      <c r="F2004" s="6" t="s">
        <v>2226</v>
      </c>
      <c r="G2004" s="6" t="s">
        <v>2227</v>
      </c>
      <c r="H2004" s="7">
        <v>1920</v>
      </c>
      <c r="I2004" s="8">
        <f>SUMIF(Cargas!$C$6:$C$1064,C2004,Cargas!$O$6:$O$1064)</f>
        <v>0</v>
      </c>
      <c r="J2004" s="17">
        <f t="shared" si="47"/>
        <v>1920</v>
      </c>
      <c r="K2004" s="34"/>
      <c r="L2004" s="34">
        <v>104469</v>
      </c>
    </row>
    <row r="2005" hidden="1">
      <c r="B2005" s="64">
        <v>45081</v>
      </c>
      <c r="C2005" s="9" t="s">
        <v>4272</v>
      </c>
      <c r="D2005" s="6" t="s">
        <v>3995</v>
      </c>
      <c r="E2005" s="6" t="s">
        <v>2916</v>
      </c>
      <c r="F2005" s="6" t="s">
        <v>2226</v>
      </c>
      <c r="G2005" s="6" t="s">
        <v>2227</v>
      </c>
      <c r="H2005" s="7">
        <v>1920</v>
      </c>
      <c r="I2005" s="8">
        <f>SUMIF(Cargas!$C$6:$C$1064,C2005,Cargas!$O$6:$O$1064)</f>
        <v>0</v>
      </c>
      <c r="J2005" s="17">
        <f t="shared" si="47"/>
        <v>1920</v>
      </c>
      <c r="K2005" s="34"/>
      <c r="L2005" s="34">
        <v>110412</v>
      </c>
    </row>
    <row r="2006" hidden="1">
      <c r="B2006" s="64">
        <v>44937</v>
      </c>
      <c r="C2006" s="9" t="s">
        <v>4273</v>
      </c>
      <c r="D2006" s="6" t="s">
        <v>2229</v>
      </c>
      <c r="E2006" s="6" t="s">
        <v>4107</v>
      </c>
      <c r="F2006" s="6" t="s">
        <v>2221</v>
      </c>
      <c r="G2006" s="6" t="s">
        <v>2222</v>
      </c>
      <c r="H2006" s="7">
        <v>2310</v>
      </c>
      <c r="I2006" s="8">
        <f>SUMIF(Cargas!$C$6:$C$1064,C2006,Cargas!$O$6:$O$1064)</f>
        <v>0</v>
      </c>
      <c r="J2006" s="17">
        <f t="shared" si="47"/>
        <v>2310</v>
      </c>
      <c r="K2006" s="34">
        <v>1449036</v>
      </c>
      <c r="L2006" s="34">
        <v>29211</v>
      </c>
    </row>
    <row r="2007" hidden="1">
      <c r="B2007" s="64">
        <v>44958</v>
      </c>
      <c r="C2007" s="9" t="s">
        <v>4274</v>
      </c>
      <c r="D2007" s="6" t="s">
        <v>2252</v>
      </c>
      <c r="E2007" s="6" t="s">
        <v>4107</v>
      </c>
      <c r="F2007" s="6" t="s">
        <v>2221</v>
      </c>
      <c r="G2007" s="6" t="s">
        <v>2222</v>
      </c>
      <c r="H2007" s="7">
        <v>2310</v>
      </c>
      <c r="I2007" s="8">
        <f>SUMIF(Cargas!$C$6:$C$1064,C2007,Cargas!$O$6:$O$1064)</f>
        <v>0</v>
      </c>
      <c r="J2007" s="17">
        <f t="shared" si="47"/>
        <v>2310</v>
      </c>
      <c r="K2007" s="34">
        <v>1449512</v>
      </c>
      <c r="L2007" s="34">
        <v>47423</v>
      </c>
    </row>
    <row r="2008" hidden="1">
      <c r="B2008" s="64">
        <v>45096</v>
      </c>
      <c r="C2008" s="9" t="s">
        <v>4275</v>
      </c>
      <c r="D2008" s="6" t="s">
        <v>4177</v>
      </c>
      <c r="E2008" s="6" t="s">
        <v>2916</v>
      </c>
      <c r="F2008" s="6" t="s">
        <v>2226</v>
      </c>
      <c r="G2008" s="6" t="s">
        <v>2227</v>
      </c>
      <c r="H2008" s="7">
        <v>1920</v>
      </c>
      <c r="I2008" s="8">
        <f>SUMIF(Cargas!$C$6:$C$1064,C2008,Cargas!$O$6:$O$1064)</f>
        <v>0</v>
      </c>
      <c r="J2008" s="17">
        <f t="shared" si="47"/>
        <v>1920</v>
      </c>
      <c r="K2008" s="34"/>
      <c r="L2008" s="34">
        <v>122503</v>
      </c>
    </row>
    <row r="2009" hidden="1">
      <c r="B2009" s="64">
        <v>45141</v>
      </c>
      <c r="C2009" s="9" t="s">
        <v>4276</v>
      </c>
      <c r="D2009" s="6" t="s">
        <v>4178</v>
      </c>
      <c r="E2009" s="6" t="s">
        <v>2916</v>
      </c>
      <c r="F2009" s="6" t="s">
        <v>2226</v>
      </c>
      <c r="G2009" s="6" t="s">
        <v>2227</v>
      </c>
      <c r="H2009" s="7">
        <v>1920</v>
      </c>
      <c r="I2009" s="8">
        <f>SUMIF(Cargas!$C$6:$C$1064,C2009,Cargas!$O$6:$O$1064)</f>
        <v>0</v>
      </c>
      <c r="J2009" s="17">
        <f t="shared" si="47"/>
        <v>1920</v>
      </c>
      <c r="K2009" s="34"/>
      <c r="L2009" s="34">
        <v>150504</v>
      </c>
    </row>
    <row r="2010" hidden="1">
      <c r="B2010" s="64">
        <v>45141</v>
      </c>
      <c r="C2010" s="9" t="s">
        <v>4277</v>
      </c>
      <c r="D2010" s="6" t="s">
        <v>4179</v>
      </c>
      <c r="E2010" s="6" t="s">
        <v>2871</v>
      </c>
      <c r="F2010" s="6" t="s">
        <v>2226</v>
      </c>
      <c r="G2010" s="6" t="s">
        <v>2227</v>
      </c>
      <c r="H2010" s="7">
        <v>1920</v>
      </c>
      <c r="I2010" s="8">
        <f>SUMIF(Cargas!$C$6:$C$1064,C2010,Cargas!$O$6:$O$1064)</f>
        <v>0</v>
      </c>
      <c r="J2010" s="17">
        <f t="shared" si="47"/>
        <v>1920</v>
      </c>
      <c r="K2010" s="34"/>
      <c r="L2010" s="34">
        <v>150056</v>
      </c>
    </row>
    <row r="2011" hidden="1" ht="15" customHeight="1">
      <c r="B2011" s="64">
        <v>44922</v>
      </c>
      <c r="C2011" s="9" t="s">
        <v>4278</v>
      </c>
      <c r="D2011" s="6" t="s">
        <v>4279</v>
      </c>
      <c r="E2011" s="6" t="s">
        <v>2220</v>
      </c>
      <c r="F2011" s="6" t="s">
        <v>2226</v>
      </c>
      <c r="G2011" s="6" t="s">
        <v>2258</v>
      </c>
      <c r="H2011" s="7">
        <v>4320</v>
      </c>
      <c r="I2011" s="8">
        <f>SUMIF(Cargas!$C$6:$C$1064,C2011,Cargas!$O$6:$O$1064)</f>
        <v>0</v>
      </c>
      <c r="J2011" s="17">
        <f t="shared" si="47"/>
        <v>4320</v>
      </c>
      <c r="K2011" s="34">
        <v>1448784</v>
      </c>
      <c r="L2011" s="34">
        <v>6740</v>
      </c>
    </row>
    <row r="2012" hidden="1" ht="15" customHeight="1">
      <c r="B2012" s="64">
        <v>44922</v>
      </c>
      <c r="C2012" s="9" t="s">
        <v>4280</v>
      </c>
      <c r="D2012" s="6" t="s">
        <v>4281</v>
      </c>
      <c r="E2012" s="6" t="s">
        <v>2220</v>
      </c>
      <c r="F2012" s="6" t="s">
        <v>2226</v>
      </c>
      <c r="G2012" s="6" t="s">
        <v>2258</v>
      </c>
      <c r="H2012" s="7">
        <v>1116</v>
      </c>
      <c r="I2012" s="8">
        <f>SUMIF(Cargas!$C$6:$C$1064,C2012,Cargas!$O$6:$O$1064)</f>
        <v>0</v>
      </c>
      <c r="J2012" s="17">
        <f t="shared" si="47"/>
        <v>1116</v>
      </c>
      <c r="K2012" s="34">
        <v>1448785</v>
      </c>
      <c r="L2012" s="34">
        <v>6737</v>
      </c>
    </row>
    <row r="2013" hidden="1" ht="15" customHeight="1">
      <c r="B2013" s="64">
        <v>44562</v>
      </c>
      <c r="C2013" s="9" t="s">
        <v>4282</v>
      </c>
      <c r="D2013" s="6" t="s">
        <v>3019</v>
      </c>
      <c r="E2013" s="6" t="s">
        <v>3020</v>
      </c>
      <c r="F2013" s="6" t="s">
        <v>2221</v>
      </c>
      <c r="G2013" s="6" t="s">
        <v>2222</v>
      </c>
      <c r="H2013" s="7">
        <v>1352</v>
      </c>
      <c r="I2013" s="8">
        <f>SUMIF(Cargas!$C$6:$C$1166,C2013,Cargas!$O$6:$O$1064)</f>
        <v>0</v>
      </c>
      <c r="J2013" s="17">
        <f t="shared" si="47"/>
        <v>1352</v>
      </c>
      <c r="K2013" s="34"/>
      <c r="L2013" s="34">
        <v>20011</v>
      </c>
    </row>
    <row r="2014" hidden="1" ht="15" customHeight="1">
      <c r="B2014" s="64">
        <v>44861</v>
      </c>
      <c r="C2014" s="9" t="s">
        <v>4283</v>
      </c>
      <c r="D2014" s="6" t="s">
        <v>3091</v>
      </c>
      <c r="E2014" s="6" t="s">
        <v>3020</v>
      </c>
      <c r="F2014" s="6" t="s">
        <v>2221</v>
      </c>
      <c r="G2014" s="6" t="s">
        <v>2222</v>
      </c>
      <c r="H2014" s="7">
        <v>1313</v>
      </c>
      <c r="I2014" s="8">
        <f>SUMIF(Cargas!$C$6:$C$1064,C2014,Cargas!$O$6:$O$1064)</f>
        <v>0</v>
      </c>
      <c r="J2014" s="17">
        <f t="shared" si="47"/>
        <v>1313</v>
      </c>
      <c r="K2014" s="34">
        <v>1442057</v>
      </c>
      <c r="L2014" s="34">
        <v>228839</v>
      </c>
    </row>
    <row r="2015" hidden="1" ht="15" customHeight="1">
      <c r="B2015" s="64">
        <v>44870</v>
      </c>
      <c r="C2015" s="9" t="s">
        <v>4284</v>
      </c>
      <c r="D2015" s="6" t="s">
        <v>3088</v>
      </c>
      <c r="E2015" s="6" t="s">
        <v>3020</v>
      </c>
      <c r="F2015" s="6" t="s">
        <v>2221</v>
      </c>
      <c r="G2015" s="6" t="s">
        <v>2222</v>
      </c>
      <c r="H2015" s="7">
        <v>1273</v>
      </c>
      <c r="I2015" s="8">
        <f>SUMIF(Cargas!$C$6:$C$1064,C2015,Cargas!$O$6:$O$1064)</f>
        <v>0</v>
      </c>
      <c r="J2015" s="17">
        <f t="shared" si="47"/>
        <v>1273</v>
      </c>
      <c r="K2015" s="34">
        <v>1443702</v>
      </c>
      <c r="L2015" s="34">
        <v>233926</v>
      </c>
    </row>
    <row r="2016" hidden="1" ht="15" customHeight="1">
      <c r="B2016" s="64">
        <v>44890</v>
      </c>
      <c r="C2016" s="9" t="s">
        <v>4285</v>
      </c>
      <c r="D2016" s="6" t="s">
        <v>3873</v>
      </c>
      <c r="E2016" s="6" t="s">
        <v>3020</v>
      </c>
      <c r="F2016" s="6" t="s">
        <v>2221</v>
      </c>
      <c r="G2016" s="6" t="s">
        <v>2222</v>
      </c>
      <c r="H2016" s="7">
        <v>1312</v>
      </c>
      <c r="I2016" s="8">
        <f>SUMIF(Cargas!$C$6:$C$1064,C2016,Cargas!$O$6:$O$1064)</f>
        <v>0</v>
      </c>
      <c r="J2016" s="17">
        <f t="shared" si="47"/>
        <v>1312</v>
      </c>
      <c r="K2016" s="34">
        <v>1446837</v>
      </c>
      <c r="L2016" s="34">
        <v>249424</v>
      </c>
    </row>
    <row r="2017" hidden="1" ht="15" customHeight="1">
      <c r="B2017" s="64">
        <v>44910</v>
      </c>
      <c r="C2017" s="9" t="s">
        <v>4286</v>
      </c>
      <c r="D2017" s="6" t="s">
        <v>4259</v>
      </c>
      <c r="E2017" s="6" t="s">
        <v>3020</v>
      </c>
      <c r="F2017" s="6" t="s">
        <v>2221</v>
      </c>
      <c r="G2017" s="6" t="s">
        <v>2222</v>
      </c>
      <c r="H2017" s="7">
        <v>1312</v>
      </c>
      <c r="I2017" s="8">
        <f>SUMIF(Cargas!$C$6:$C$1064,C2017,Cargas!$O$6:$O$1064)</f>
        <v>0</v>
      </c>
      <c r="J2017" s="17">
        <f t="shared" si="47"/>
        <v>1312</v>
      </c>
      <c r="K2017" s="34">
        <v>1448036</v>
      </c>
      <c r="L2017" s="34">
        <v>9436</v>
      </c>
    </row>
    <row r="2018" hidden="1">
      <c r="B2018" s="64">
        <v>44922</v>
      </c>
      <c r="C2018" s="9" t="s">
        <v>4287</v>
      </c>
      <c r="D2018" s="6" t="s">
        <v>3111</v>
      </c>
      <c r="E2018" s="6" t="s">
        <v>3529</v>
      </c>
      <c r="F2018" s="6" t="s">
        <v>2221</v>
      </c>
      <c r="G2018" s="6" t="s">
        <v>2222</v>
      </c>
      <c r="H2018" s="7">
        <v>1611</v>
      </c>
      <c r="I2018" s="8">
        <f>SUMIF(Cargas!$C$6:$C$1064,C2018,Cargas!$O$6:$O$1064)</f>
        <v>0</v>
      </c>
      <c r="J2018" s="17">
        <f t="shared" si="47"/>
        <v>1611</v>
      </c>
      <c r="K2018" s="34">
        <v>1448892</v>
      </c>
      <c r="L2018" s="34">
        <v>19168</v>
      </c>
    </row>
    <row r="2019" hidden="1">
      <c r="B2019" s="64">
        <v>44612</v>
      </c>
      <c r="C2019" s="9" t="s">
        <v>4288</v>
      </c>
      <c r="D2019" s="6" t="s">
        <v>3111</v>
      </c>
      <c r="E2019" s="6" t="s">
        <v>3112</v>
      </c>
      <c r="F2019" s="6" t="s">
        <v>2221</v>
      </c>
      <c r="G2019" s="6" t="s">
        <v>2222</v>
      </c>
      <c r="H2019" s="7">
        <v>1656</v>
      </c>
      <c r="I2019" s="8">
        <f>SUMIF(Cargas!$C$6:$C$1166,C2019,Cargas!$O$6:$O$1064)</f>
        <v>0</v>
      </c>
      <c r="J2019" s="17">
        <f t="shared" si="47"/>
        <v>1656</v>
      </c>
      <c r="K2019" s="34">
        <v>1420873</v>
      </c>
      <c r="L2019" s="34">
        <v>44854</v>
      </c>
    </row>
    <row r="2020" hidden="1">
      <c r="A2020" s="79"/>
      <c r="B2020" s="80">
        <v>45476</v>
      </c>
      <c r="C2020" s="81" t="s">
        <v>353</v>
      </c>
      <c r="D2020" s="82" t="s">
        <v>4177</v>
      </c>
      <c r="E2020" s="82" t="s">
        <v>2871</v>
      </c>
      <c r="F2020" s="82" t="s">
        <v>2226</v>
      </c>
      <c r="G2020" s="82" t="s">
        <v>2227</v>
      </c>
      <c r="H2020" s="83">
        <v>1920</v>
      </c>
      <c r="I2020" s="84">
        <f>SUMIF(Cargas!$C$6:$C$1064,C2020,Cargas!$O$6:$O$1064)</f>
        <v>1920</v>
      </c>
      <c r="J2020" s="85">
        <f t="shared" si="47"/>
        <v>0</v>
      </c>
      <c r="K2020" s="86"/>
      <c r="L2020" s="86">
        <v>137205</v>
      </c>
      <c r="M2020" s="32"/>
    </row>
    <row r="2021" hidden="1">
      <c r="B2021" s="64">
        <v>44571</v>
      </c>
      <c r="C2021" s="9" t="s">
        <v>4289</v>
      </c>
      <c r="D2021" s="6" t="s">
        <v>2229</v>
      </c>
      <c r="E2021" s="6" t="s">
        <v>2230</v>
      </c>
      <c r="F2021" s="6" t="s">
        <v>2221</v>
      </c>
      <c r="G2021" s="6" t="s">
        <v>2222</v>
      </c>
      <c r="H2021" s="7">
        <v>2310</v>
      </c>
      <c r="I2021" s="8">
        <f>SUMIF(Cargas!$C$6:$C$1064,C2021,Cargas!$O$6:$O$1064)</f>
        <v>0</v>
      </c>
      <c r="J2021" s="17">
        <f t="shared" si="47"/>
        <v>2310</v>
      </c>
      <c r="K2021" s="34">
        <v>1420329</v>
      </c>
      <c r="L2021" s="34">
        <v>30342</v>
      </c>
    </row>
    <row r="2022" hidden="1">
      <c r="B2022" s="64">
        <v>44573</v>
      </c>
      <c r="C2022" s="9" t="s">
        <v>4290</v>
      </c>
      <c r="D2022" s="6" t="s">
        <v>2252</v>
      </c>
      <c r="E2022" s="6" t="s">
        <v>2230</v>
      </c>
      <c r="F2022" s="6" t="s">
        <v>2221</v>
      </c>
      <c r="G2022" s="6" t="s">
        <v>2222</v>
      </c>
      <c r="H2022" s="7">
        <v>2310</v>
      </c>
      <c r="I2022" s="8">
        <f>SUMIF(Cargas!$C$6:$C$1064,C2022,Cargas!$O$6:$O$1064)</f>
        <v>0</v>
      </c>
      <c r="J2022" s="17">
        <f t="shared" si="47"/>
        <v>2310</v>
      </c>
      <c r="K2022" s="34"/>
      <c r="L2022" s="34">
        <v>34233</v>
      </c>
    </row>
    <row r="2023" hidden="1">
      <c r="B2023" s="64">
        <v>44593</v>
      </c>
      <c r="C2023" s="9" t="s">
        <v>4291</v>
      </c>
      <c r="D2023" s="6" t="s">
        <v>2572</v>
      </c>
      <c r="E2023" s="6" t="s">
        <v>2230</v>
      </c>
      <c r="F2023" s="6" t="s">
        <v>2221</v>
      </c>
      <c r="G2023" s="6" t="s">
        <v>2222</v>
      </c>
      <c r="H2023" s="7">
        <v>2310</v>
      </c>
      <c r="I2023" s="8">
        <f>SUMIF(Cargas!$C$6:$C$1064,C2023,Cargas!$O$6:$O$1064)</f>
        <v>0</v>
      </c>
      <c r="J2023" s="17">
        <f t="shared" si="47"/>
        <v>2310</v>
      </c>
      <c r="K2023" s="34">
        <v>1420873</v>
      </c>
      <c r="L2023" s="34">
        <v>40855</v>
      </c>
    </row>
    <row r="2024" hidden="1">
      <c r="B2024" s="64">
        <v>44851</v>
      </c>
      <c r="C2024" s="9" t="s">
        <v>4292</v>
      </c>
      <c r="D2024" s="6" t="s">
        <v>2608</v>
      </c>
      <c r="E2024" s="6" t="s">
        <v>2230</v>
      </c>
      <c r="F2024" s="6" t="s">
        <v>2221</v>
      </c>
      <c r="G2024" s="6" t="s">
        <v>2222</v>
      </c>
      <c r="H2024" s="7">
        <v>2310</v>
      </c>
      <c r="I2024" s="8">
        <f>SUMIF(Cargas!$C$6:$C$1064,C2024,Cargas!$O$6:$O$1166)</f>
        <v>0</v>
      </c>
      <c r="J2024" s="17">
        <f t="shared" si="47"/>
        <v>2310</v>
      </c>
      <c r="K2024" s="34">
        <v>1442058</v>
      </c>
      <c r="L2024" s="34">
        <v>215350</v>
      </c>
    </row>
    <row r="2025" hidden="1">
      <c r="B2025" s="64">
        <v>44866</v>
      </c>
      <c r="C2025" s="9" t="s">
        <v>4293</v>
      </c>
      <c r="D2025" s="6" t="s">
        <v>2626</v>
      </c>
      <c r="E2025" s="6" t="s">
        <v>3744</v>
      </c>
      <c r="F2025" s="6" t="s">
        <v>2221</v>
      </c>
      <c r="G2025" s="6" t="s">
        <v>2222</v>
      </c>
      <c r="H2025" s="7">
        <v>2310</v>
      </c>
      <c r="I2025" s="8">
        <f>SUMIF(Cargas!$C$6:$C$1064,C2025,Cargas!$O$6:$O$1166)</f>
        <v>0</v>
      </c>
      <c r="J2025" s="17">
        <f t="shared" si="47"/>
        <v>2310</v>
      </c>
      <c r="K2025" s="34">
        <v>1443031</v>
      </c>
      <c r="L2025" s="34">
        <v>231051</v>
      </c>
    </row>
    <row r="2026" hidden="1">
      <c r="B2026" s="64">
        <v>44879</v>
      </c>
      <c r="C2026" s="9" t="s">
        <v>4294</v>
      </c>
      <c r="D2026" s="6" t="s">
        <v>2640</v>
      </c>
      <c r="E2026" s="6" t="s">
        <v>2230</v>
      </c>
      <c r="F2026" s="6" t="s">
        <v>2221</v>
      </c>
      <c r="G2026" s="6" t="s">
        <v>2222</v>
      </c>
      <c r="H2026" s="7">
        <v>2310</v>
      </c>
      <c r="I2026" s="8">
        <f>SUMIF(Cargas!$C$6:$C$1064,C2026,Cargas!$O$6:$O$1166)</f>
        <v>0</v>
      </c>
      <c r="J2026" s="17">
        <f t="shared" si="47"/>
        <v>2310</v>
      </c>
      <c r="K2026" s="34">
        <v>1445084</v>
      </c>
      <c r="L2026" s="34">
        <v>236338</v>
      </c>
    </row>
    <row r="2027" hidden="1">
      <c r="B2027" s="64">
        <v>44890</v>
      </c>
      <c r="C2027" s="9" t="s">
        <v>4295</v>
      </c>
      <c r="D2027" s="6" t="s">
        <v>2636</v>
      </c>
      <c r="E2027" s="6" t="s">
        <v>3744</v>
      </c>
      <c r="F2027" s="6" t="s">
        <v>2221</v>
      </c>
      <c r="G2027" s="6" t="s">
        <v>2222</v>
      </c>
      <c r="H2027" s="7">
        <v>2310</v>
      </c>
      <c r="I2027" s="8">
        <f>SUMIF(Cargas!$C$6:$C$1064,C2027,Cargas!$O$6:$O$1166)</f>
        <v>0</v>
      </c>
      <c r="J2027" s="17">
        <f t="shared" si="47"/>
        <v>2310</v>
      </c>
      <c r="K2027" s="34">
        <v>1444664</v>
      </c>
      <c r="L2027" s="34">
        <v>247558</v>
      </c>
    </row>
    <row r="2028" hidden="1">
      <c r="B2028" s="64">
        <v>44914</v>
      </c>
      <c r="C2028" s="9" t="s">
        <v>4296</v>
      </c>
      <c r="D2028" s="6" t="s">
        <v>2710</v>
      </c>
      <c r="E2028" s="6" t="s">
        <v>4107</v>
      </c>
      <c r="F2028" s="6" t="s">
        <v>2221</v>
      </c>
      <c r="G2028" s="6" t="s">
        <v>2222</v>
      </c>
      <c r="H2028" s="7">
        <v>2310</v>
      </c>
      <c r="I2028" s="8">
        <f>SUMIF(Cargas!$C$6:$C$1064,C2028,Cargas!$O$6:$O$1166)</f>
        <v>0</v>
      </c>
      <c r="J2028" s="17">
        <f t="shared" si="47"/>
        <v>2310</v>
      </c>
      <c r="K2028" s="34">
        <v>1446836</v>
      </c>
      <c r="L2028" s="34">
        <v>8534</v>
      </c>
    </row>
    <row r="2029" hidden="1">
      <c r="B2029" s="64">
        <v>44922</v>
      </c>
      <c r="C2029" s="9" t="s">
        <v>4297</v>
      </c>
      <c r="D2029" s="6" t="s">
        <v>2701</v>
      </c>
      <c r="E2029" s="6" t="s">
        <v>2230</v>
      </c>
      <c r="F2029" s="6" t="s">
        <v>2221</v>
      </c>
      <c r="G2029" s="6" t="s">
        <v>2222</v>
      </c>
      <c r="H2029" s="7">
        <v>2310</v>
      </c>
      <c r="I2029" s="8">
        <f>SUMIF(Cargas!$C$6:$C$1064,C2029,Cargas!$O$6:$O$1166)</f>
        <v>0</v>
      </c>
      <c r="J2029" s="17">
        <f t="shared" si="47"/>
        <v>2310</v>
      </c>
      <c r="K2029" s="34">
        <v>1448708</v>
      </c>
      <c r="L2029" s="34">
        <v>19179</v>
      </c>
    </row>
    <row r="2030" hidden="1">
      <c r="B2030" s="64">
        <v>44841</v>
      </c>
      <c r="C2030" s="9" t="s">
        <v>4298</v>
      </c>
      <c r="D2030" s="6" t="s">
        <v>2642</v>
      </c>
      <c r="E2030" s="6" t="s">
        <v>2643</v>
      </c>
      <c r="F2030" s="6" t="s">
        <v>2221</v>
      </c>
      <c r="G2030" s="6" t="s">
        <v>2222</v>
      </c>
      <c r="H2030" s="7">
        <v>2184</v>
      </c>
      <c r="I2030" s="8">
        <f>SUMIF(Cargas!$C$6:$C$1064,C2030,Cargas!$O$6:$O$1166)</f>
        <v>0</v>
      </c>
      <c r="J2030" s="17">
        <f t="shared" si="47"/>
        <v>2184</v>
      </c>
      <c r="K2030" s="34">
        <v>1440726</v>
      </c>
      <c r="L2030" s="34">
        <v>207608</v>
      </c>
    </row>
    <row r="2031" hidden="1">
      <c r="A2031" s="42"/>
      <c r="B2031" s="64">
        <v>44839</v>
      </c>
      <c r="C2031" s="9" t="s">
        <v>4299</v>
      </c>
      <c r="D2031" s="6" t="s">
        <v>2915</v>
      </c>
      <c r="E2031" s="6" t="s">
        <v>2916</v>
      </c>
      <c r="F2031" s="6" t="s">
        <v>2226</v>
      </c>
      <c r="G2031" s="6" t="s">
        <v>2227</v>
      </c>
      <c r="H2031" s="7">
        <v>1920</v>
      </c>
      <c r="I2031" s="8">
        <f>SUMIF(Cargas!$C$6:$C$1064,C2031,Cargas!$O$6:$O$1166)</f>
        <v>0</v>
      </c>
      <c r="J2031" s="17">
        <f t="shared" si="47"/>
        <v>1920</v>
      </c>
      <c r="K2031" s="34">
        <v>1440726</v>
      </c>
      <c r="L2031" s="34">
        <v>200950</v>
      </c>
    </row>
    <row r="2032" hidden="1">
      <c r="A2032" s="42"/>
      <c r="B2032" s="64">
        <v>44884</v>
      </c>
      <c r="C2032" s="9" t="s">
        <v>4300</v>
      </c>
      <c r="D2032" s="6" t="s">
        <v>2963</v>
      </c>
      <c r="E2032" s="6" t="s">
        <v>2916</v>
      </c>
      <c r="F2032" s="6" t="s">
        <v>2226</v>
      </c>
      <c r="G2032" s="6" t="s">
        <v>2227</v>
      </c>
      <c r="H2032" s="7">
        <v>1920</v>
      </c>
      <c r="I2032" s="8">
        <f>SUMIF(Cargas!$C$6:$C$1064,C2032,Cargas!$O$6:$O$1166)</f>
        <v>0</v>
      </c>
      <c r="J2032" s="17">
        <f t="shared" si="47"/>
        <v>1920</v>
      </c>
      <c r="K2032" s="34">
        <v>1445200</v>
      </c>
      <c r="L2032" s="34">
        <v>2384</v>
      </c>
    </row>
    <row r="2033" hidden="1">
      <c r="A2033" s="42"/>
      <c r="B2033" s="64">
        <v>44888</v>
      </c>
      <c r="C2033" s="9" t="s">
        <v>4301</v>
      </c>
      <c r="D2033" s="6" t="s">
        <v>2974</v>
      </c>
      <c r="E2033" s="6" t="s">
        <v>2916</v>
      </c>
      <c r="F2033" s="6" t="s">
        <v>2226</v>
      </c>
      <c r="G2033" s="6" t="s">
        <v>2227</v>
      </c>
      <c r="H2033" s="7">
        <v>1920</v>
      </c>
      <c r="I2033" s="8">
        <f>SUMIF(Cargas!$C$6:$C$1064,C2033,Cargas!$O$6:$O$1166)</f>
        <v>0</v>
      </c>
      <c r="J2033" s="17">
        <f t="shared" si="47"/>
        <v>1920</v>
      </c>
      <c r="K2033" s="34">
        <v>1445201</v>
      </c>
      <c r="L2033" s="34">
        <v>243884</v>
      </c>
    </row>
    <row r="2034" hidden="1">
      <c r="A2034" s="79"/>
      <c r="B2034" s="80">
        <v>45491</v>
      </c>
      <c r="C2034" s="81" t="s">
        <v>426</v>
      </c>
      <c r="D2034" s="82" t="s">
        <v>4178</v>
      </c>
      <c r="E2034" s="82" t="s">
        <v>2871</v>
      </c>
      <c r="F2034" s="82" t="s">
        <v>2226</v>
      </c>
      <c r="G2034" s="82" t="s">
        <v>2227</v>
      </c>
      <c r="H2034" s="83">
        <v>1920</v>
      </c>
      <c r="I2034" s="84">
        <f>SUMIF(Cargas!$C$6:$C$1064,C2034,Cargas!$O$6:$O$1064)</f>
        <v>1920</v>
      </c>
      <c r="J2034" s="85">
        <f t="shared" si="47"/>
        <v>0</v>
      </c>
      <c r="K2034" s="86"/>
      <c r="L2034" s="86">
        <v>148460</v>
      </c>
      <c r="M2034" s="32"/>
    </row>
    <row r="2035" hidden="1">
      <c r="A2035" s="42"/>
      <c r="B2035" s="64">
        <v>44693</v>
      </c>
      <c r="C2035" s="9" t="s">
        <v>4302</v>
      </c>
      <c r="D2035" s="6" t="s">
        <v>3460</v>
      </c>
      <c r="E2035" s="6" t="s">
        <v>2916</v>
      </c>
      <c r="F2035" s="6" t="s">
        <v>2226</v>
      </c>
      <c r="G2035" s="6" t="s">
        <v>2227</v>
      </c>
      <c r="H2035" s="7">
        <v>1920</v>
      </c>
      <c r="I2035" s="8">
        <f>SUMIF(Cargas!$C$6:$C$1064,C2035,Cargas!$O$6:$O$1166)</f>
        <v>0</v>
      </c>
      <c r="J2035" s="17">
        <f t="shared" si="47"/>
        <v>1920</v>
      </c>
      <c r="K2035" s="34">
        <v>1425256</v>
      </c>
      <c r="L2035" s="34">
        <v>94145</v>
      </c>
    </row>
    <row r="2036" hidden="1">
      <c r="A2036" s="42"/>
      <c r="B2036" s="64">
        <v>44712</v>
      </c>
      <c r="C2036" s="9" t="s">
        <v>4303</v>
      </c>
      <c r="D2036" s="6" t="s">
        <v>3002</v>
      </c>
      <c r="E2036" s="6" t="s">
        <v>2916</v>
      </c>
      <c r="F2036" s="6" t="s">
        <v>2226</v>
      </c>
      <c r="G2036" s="6" t="s">
        <v>2227</v>
      </c>
      <c r="H2036" s="7">
        <v>1920</v>
      </c>
      <c r="I2036" s="8">
        <f>SUMIF(Cargas!$C$6:$C$1064,C2036,Cargas!$O$6:$O$1166)</f>
        <v>0</v>
      </c>
      <c r="J2036" s="17">
        <f t="shared" si="47"/>
        <v>1920</v>
      </c>
      <c r="K2036" s="34"/>
      <c r="L2036" s="34">
        <v>105251</v>
      </c>
    </row>
    <row r="2037" hidden="1">
      <c r="A2037" s="42"/>
      <c r="B2037" s="64">
        <v>44719</v>
      </c>
      <c r="C2037" s="9" t="s">
        <v>4304</v>
      </c>
      <c r="D2037" s="6" t="s">
        <v>3991</v>
      </c>
      <c r="E2037" s="6" t="s">
        <v>2916</v>
      </c>
      <c r="F2037" s="6" t="s">
        <v>2226</v>
      </c>
      <c r="G2037" s="6" t="s">
        <v>2227</v>
      </c>
      <c r="H2037" s="7">
        <v>1920</v>
      </c>
      <c r="I2037" s="8">
        <f>SUMIF(Cargas!$C$6:$C$1064,C2037,Cargas!$O$6:$O$1166)</f>
        <v>0</v>
      </c>
      <c r="J2037" s="17">
        <f t="shared" si="47"/>
        <v>1920</v>
      </c>
      <c r="K2037" s="34"/>
      <c r="L2037" s="34">
        <v>110510</v>
      </c>
    </row>
    <row r="2038" hidden="1">
      <c r="A2038" s="42"/>
      <c r="B2038" s="64">
        <v>44726</v>
      </c>
      <c r="C2038" s="9" t="s">
        <v>4305</v>
      </c>
      <c r="D2038" s="6" t="s">
        <v>3992</v>
      </c>
      <c r="E2038" s="6" t="s">
        <v>2916</v>
      </c>
      <c r="F2038" s="6" t="s">
        <v>2226</v>
      </c>
      <c r="G2038" s="6" t="s">
        <v>2227</v>
      </c>
      <c r="H2038" s="7">
        <v>1920</v>
      </c>
      <c r="I2038" s="8">
        <f>SUMIF(Cargas!$C$6:$C$1064,C2038,Cargas!$O$6:$O$1166)</f>
        <v>0</v>
      </c>
      <c r="J2038" s="17">
        <f t="shared" si="47"/>
        <v>1920</v>
      </c>
      <c r="K2038" s="34"/>
      <c r="L2038" s="34">
        <v>118132</v>
      </c>
    </row>
    <row r="2039" hidden="1">
      <c r="A2039" s="42"/>
      <c r="B2039" s="64">
        <v>44733</v>
      </c>
      <c r="C2039" s="9" t="s">
        <v>4306</v>
      </c>
      <c r="D2039" s="6" t="s">
        <v>3993</v>
      </c>
      <c r="E2039" s="6" t="s">
        <v>2916</v>
      </c>
      <c r="F2039" s="6" t="s">
        <v>2226</v>
      </c>
      <c r="G2039" s="6" t="s">
        <v>2227</v>
      </c>
      <c r="H2039" s="7">
        <v>1920</v>
      </c>
      <c r="I2039" s="8">
        <f>SUMIF(Cargas!$C$6:$C$1064,C2039,Cargas!$O$6:$O$1166)</f>
        <v>0</v>
      </c>
      <c r="J2039" s="17">
        <f t="shared" si="47"/>
        <v>1920</v>
      </c>
      <c r="K2039" s="34"/>
      <c r="L2039" s="34">
        <v>119116</v>
      </c>
    </row>
    <row r="2040" hidden="1">
      <c r="A2040" s="42"/>
      <c r="B2040" s="64">
        <v>44740</v>
      </c>
      <c r="C2040" s="9" t="s">
        <v>4307</v>
      </c>
      <c r="D2040" s="6" t="s">
        <v>3994</v>
      </c>
      <c r="E2040" s="6" t="s">
        <v>2916</v>
      </c>
      <c r="F2040" s="6" t="s">
        <v>2226</v>
      </c>
      <c r="G2040" s="6" t="s">
        <v>2227</v>
      </c>
      <c r="H2040" s="7">
        <v>1920</v>
      </c>
      <c r="I2040" s="8">
        <f>SUMIF(Cargas!$C$6:$C$1064,C2040,Cargas!$O$6:$O$1166)</f>
        <v>0</v>
      </c>
      <c r="J2040" s="17">
        <f t="shared" si="47"/>
        <v>1920</v>
      </c>
      <c r="K2040" s="34"/>
      <c r="L2040" s="34">
        <v>122972</v>
      </c>
    </row>
    <row r="2041" hidden="1">
      <c r="A2041" s="42"/>
      <c r="B2041" s="64">
        <v>44754</v>
      </c>
      <c r="C2041" s="9" t="s">
        <v>4308</v>
      </c>
      <c r="D2041" s="6" t="s">
        <v>3995</v>
      </c>
      <c r="E2041" s="6" t="s">
        <v>2916</v>
      </c>
      <c r="F2041" s="6" t="s">
        <v>2226</v>
      </c>
      <c r="G2041" s="6" t="s">
        <v>2227</v>
      </c>
      <c r="H2041" s="7">
        <v>1920</v>
      </c>
      <c r="I2041" s="8">
        <f>SUMIF(Cargas!$C$6:$C$1064,C2041,Cargas!$O$6:$O$1166)</f>
        <v>0</v>
      </c>
      <c r="J2041" s="17">
        <f t="shared" si="47"/>
        <v>1920</v>
      </c>
      <c r="K2041" s="34"/>
      <c r="L2041" s="34">
        <v>132801</v>
      </c>
    </row>
    <row r="2042" hidden="1">
      <c r="A2042" s="42"/>
      <c r="B2042" s="64">
        <v>44761</v>
      </c>
      <c r="C2042" s="9" t="s">
        <v>4309</v>
      </c>
      <c r="D2042" s="6" t="s">
        <v>4177</v>
      </c>
      <c r="E2042" s="6" t="s">
        <v>2916</v>
      </c>
      <c r="F2042" s="6" t="s">
        <v>2226</v>
      </c>
      <c r="G2042" s="6" t="s">
        <v>2227</v>
      </c>
      <c r="H2042" s="7">
        <v>1920</v>
      </c>
      <c r="I2042" s="8">
        <f>SUMIF(Cargas!$C$6:$C$1064,C2042,Cargas!$O$6:$O$1166)</f>
        <v>0</v>
      </c>
      <c r="J2042" s="17">
        <f t="shared" si="47"/>
        <v>1920</v>
      </c>
      <c r="K2042" s="34"/>
      <c r="L2042" s="34">
        <v>138343</v>
      </c>
    </row>
    <row r="2043" hidden="1">
      <c r="A2043" s="42"/>
      <c r="B2043" s="64">
        <v>44770</v>
      </c>
      <c r="C2043" s="9" t="s">
        <v>4310</v>
      </c>
      <c r="D2043" s="6" t="s">
        <v>4178</v>
      </c>
      <c r="E2043" s="6" t="s">
        <v>2916</v>
      </c>
      <c r="F2043" s="6" t="s">
        <v>2226</v>
      </c>
      <c r="G2043" s="6" t="s">
        <v>2227</v>
      </c>
      <c r="H2043" s="7">
        <v>1920</v>
      </c>
      <c r="I2043" s="8">
        <f>SUMIF(Cargas!$C$6:$C$1064,C2043,Cargas!$O$6:$O$1166)</f>
        <v>0</v>
      </c>
      <c r="J2043" s="17">
        <f t="shared" si="47"/>
        <v>1920</v>
      </c>
      <c r="K2043" s="34"/>
      <c r="L2043" s="34">
        <v>145757</v>
      </c>
    </row>
    <row r="2044" hidden="1">
      <c r="A2044" s="42"/>
      <c r="B2044" s="64">
        <v>44775</v>
      </c>
      <c r="C2044" s="9" t="s">
        <v>4311</v>
      </c>
      <c r="D2044" s="6" t="s">
        <v>4179</v>
      </c>
      <c r="E2044" s="6" t="s">
        <v>2916</v>
      </c>
      <c r="F2044" s="6" t="s">
        <v>2226</v>
      </c>
      <c r="G2044" s="6" t="s">
        <v>2227</v>
      </c>
      <c r="H2044" s="7">
        <v>1920</v>
      </c>
      <c r="I2044" s="8">
        <f>SUMIF(Cargas!$C$6:$C$1064,C2044,Cargas!$O$6:$O$1166)</f>
        <v>0</v>
      </c>
      <c r="J2044" s="17">
        <f t="shared" si="47"/>
        <v>1920</v>
      </c>
      <c r="K2044" s="34"/>
      <c r="L2044" s="34">
        <v>148584</v>
      </c>
    </row>
    <row r="2045" hidden="1">
      <c r="B2045" s="64">
        <v>44346</v>
      </c>
      <c r="C2045" s="9" t="s">
        <v>4312</v>
      </c>
      <c r="D2045" s="6" t="s">
        <v>3992</v>
      </c>
      <c r="E2045" s="6" t="s">
        <v>2916</v>
      </c>
      <c r="F2045" s="6" t="s">
        <v>2226</v>
      </c>
      <c r="G2045" s="6" t="s">
        <v>2227</v>
      </c>
      <c r="H2045" s="7">
        <v>1920</v>
      </c>
      <c r="I2045" s="8">
        <f>SUMIF(Cargas!$C$6:$C$1064,C2045,Cargas!$O$6:$O$1064)</f>
        <v>0</v>
      </c>
      <c r="J2045" s="17">
        <f t="shared" si="47"/>
        <v>1920</v>
      </c>
      <c r="K2045" s="34">
        <v>1397115</v>
      </c>
      <c r="L2045" s="34">
        <v>98840</v>
      </c>
    </row>
    <row r="2046" hidden="1">
      <c r="B2046" s="64">
        <v>44332</v>
      </c>
      <c r="C2046" s="9" t="s">
        <v>4313</v>
      </c>
      <c r="D2046" s="6" t="s">
        <v>3991</v>
      </c>
      <c r="E2046" s="6" t="s">
        <v>2916</v>
      </c>
      <c r="F2046" s="6" t="s">
        <v>2226</v>
      </c>
      <c r="G2046" s="6" t="s">
        <v>2227</v>
      </c>
      <c r="H2046" s="7">
        <v>1920</v>
      </c>
      <c r="I2046" s="8">
        <f>SUMIF(Cargas!$C$6:$C$1064,C2046,Cargas!$O$6:$O$1064)</f>
        <v>0</v>
      </c>
      <c r="J2046" s="17">
        <f t="shared" si="47"/>
        <v>1920</v>
      </c>
      <c r="K2046" s="34">
        <v>1397114</v>
      </c>
      <c r="L2046" s="34">
        <v>87561</v>
      </c>
    </row>
    <row r="2047" hidden="1">
      <c r="B2047" s="64">
        <v>44360</v>
      </c>
      <c r="C2047" s="9" t="s">
        <v>4314</v>
      </c>
      <c r="D2047" s="6" t="s">
        <v>3993</v>
      </c>
      <c r="E2047" s="6" t="s">
        <v>2916</v>
      </c>
      <c r="F2047" s="6" t="s">
        <v>2226</v>
      </c>
      <c r="G2047" s="6" t="s">
        <v>2227</v>
      </c>
      <c r="H2047" s="7">
        <v>1440</v>
      </c>
      <c r="I2047" s="8">
        <f>SUMIF(Cargas!$C$6:$C$1064,C2047,Cargas!$O$6:$O$1064)</f>
        <v>0</v>
      </c>
      <c r="J2047" s="17">
        <f t="shared" si="47"/>
        <v>1440</v>
      </c>
      <c r="K2047" s="34">
        <v>1397116</v>
      </c>
      <c r="L2047" s="34">
        <v>108979</v>
      </c>
    </row>
    <row r="2048" hidden="1">
      <c r="B2048" s="64">
        <v>44371</v>
      </c>
      <c r="C2048" s="9" t="s">
        <v>4315</v>
      </c>
      <c r="D2048" s="6" t="s">
        <v>3994</v>
      </c>
      <c r="E2048" s="6" t="s">
        <v>2916</v>
      </c>
      <c r="F2048" s="6" t="s">
        <v>2226</v>
      </c>
      <c r="G2048" s="6" t="s">
        <v>2227</v>
      </c>
      <c r="H2048" s="7">
        <v>1440</v>
      </c>
      <c r="I2048" s="8">
        <f>SUMIF(Cargas!$C$6:$C$1064,C2048,Cargas!$O$6:$O$1064)</f>
        <v>0</v>
      </c>
      <c r="J2048" s="17">
        <f t="shared" si="47"/>
        <v>1440</v>
      </c>
      <c r="K2048" s="34">
        <v>1402107</v>
      </c>
      <c r="L2048" s="34">
        <v>113244</v>
      </c>
    </row>
    <row r="2049" hidden="1">
      <c r="B2049" s="64">
        <v>44384</v>
      </c>
      <c r="C2049" s="9" t="s">
        <v>4316</v>
      </c>
      <c r="D2049" s="6" t="s">
        <v>3995</v>
      </c>
      <c r="E2049" s="6" t="s">
        <v>2916</v>
      </c>
      <c r="F2049" s="6" t="s">
        <v>2226</v>
      </c>
      <c r="G2049" s="6" t="s">
        <v>2227</v>
      </c>
      <c r="H2049" s="7">
        <v>1440</v>
      </c>
      <c r="I2049" s="8">
        <f>SUMIF(Cargas!$C$6:$C$1064,C2049,Cargas!$O$6:$O$1064)</f>
        <v>0</v>
      </c>
      <c r="J2049" s="17">
        <f ref="J2049:J2058" t="shared" si="48">IF(ABS(H2049-I2049)&lt;20,0,H2049-I2049)</f>
        <v>1440</v>
      </c>
      <c r="K2049" s="34">
        <v>1402108</v>
      </c>
      <c r="L2049" s="34">
        <v>124817</v>
      </c>
    </row>
    <row r="2050" hidden="1">
      <c r="B2050" s="64">
        <v>44385</v>
      </c>
      <c r="C2050" s="9" t="s">
        <v>4317</v>
      </c>
      <c r="D2050" s="6" t="s">
        <v>4177</v>
      </c>
      <c r="E2050" s="6" t="s">
        <v>2916</v>
      </c>
      <c r="F2050" s="6" t="s">
        <v>2226</v>
      </c>
      <c r="G2050" s="6" t="s">
        <v>2227</v>
      </c>
      <c r="H2050" s="7">
        <v>1440</v>
      </c>
      <c r="I2050" s="8">
        <f>SUMIF(Cargas!$C$6:$C$1064,C2050,Cargas!$O$6:$O$1064)</f>
        <v>0</v>
      </c>
      <c r="J2050" s="17">
        <f t="shared" si="48"/>
        <v>1440</v>
      </c>
      <c r="K2050" s="34">
        <v>1402109</v>
      </c>
      <c r="L2050" s="34">
        <v>124289</v>
      </c>
    </row>
    <row r="2051" hidden="1">
      <c r="B2051" s="64">
        <v>44409</v>
      </c>
      <c r="C2051" s="9" t="s">
        <v>4318</v>
      </c>
      <c r="D2051" s="6" t="s">
        <v>4178</v>
      </c>
      <c r="E2051" s="6" t="s">
        <v>2916</v>
      </c>
      <c r="F2051" s="6" t="s">
        <v>2226</v>
      </c>
      <c r="G2051" s="6" t="s">
        <v>2227</v>
      </c>
      <c r="H2051" s="7">
        <v>1440</v>
      </c>
      <c r="I2051" s="8">
        <f>SUMIF(Cargas!$C$6:$C$1064,C2051,Cargas!$O$6:$O$1064)</f>
        <v>0</v>
      </c>
      <c r="J2051" s="17">
        <f t="shared" si="48"/>
        <v>1440</v>
      </c>
      <c r="K2051" s="34">
        <v>1404425</v>
      </c>
      <c r="L2051" s="34">
        <v>141212</v>
      </c>
    </row>
    <row r="2052" hidden="1">
      <c r="B2052" s="64">
        <v>44410</v>
      </c>
      <c r="C2052" s="9" t="s">
        <v>4319</v>
      </c>
      <c r="D2052" s="6" t="s">
        <v>4179</v>
      </c>
      <c r="E2052" s="6" t="s">
        <v>2916</v>
      </c>
      <c r="F2052" s="6" t="s">
        <v>2226</v>
      </c>
      <c r="G2052" s="6" t="s">
        <v>2227</v>
      </c>
      <c r="H2052" s="7">
        <v>1440</v>
      </c>
      <c r="I2052" s="8">
        <f>SUMIF(Cargas!$C$6:$C$1064,C2052,Cargas!$O$6:$O$1064)</f>
        <v>0</v>
      </c>
      <c r="J2052" s="17">
        <f t="shared" si="48"/>
        <v>1440</v>
      </c>
      <c r="K2052" s="34">
        <v>1404426</v>
      </c>
      <c r="L2052" s="34">
        <v>139014</v>
      </c>
    </row>
    <row r="2053" hidden="1">
      <c r="B2053" s="64">
        <v>44422</v>
      </c>
      <c r="C2053" s="9" t="s">
        <v>4320</v>
      </c>
      <c r="D2053" s="6" t="s">
        <v>4321</v>
      </c>
      <c r="E2053" s="6" t="s">
        <v>2916</v>
      </c>
      <c r="F2053" s="6" t="s">
        <v>2226</v>
      </c>
      <c r="G2053" s="6" t="s">
        <v>2227</v>
      </c>
      <c r="H2053" s="7">
        <v>1440</v>
      </c>
      <c r="I2053" s="8">
        <f>SUMIF(Cargas!$C$6:$C$1064,C2053,Cargas!$O$6:$O$1064)</f>
        <v>0</v>
      </c>
      <c r="J2053" s="17">
        <f t="shared" si="48"/>
        <v>1440</v>
      </c>
      <c r="K2053" s="34">
        <v>1404425</v>
      </c>
      <c r="L2053" s="34">
        <v>146749</v>
      </c>
    </row>
    <row r="2054" hidden="1">
      <c r="B2054" s="64">
        <v>44436</v>
      </c>
      <c r="C2054" s="9" t="s">
        <v>4322</v>
      </c>
      <c r="D2054" s="6" t="s">
        <v>4323</v>
      </c>
      <c r="E2054" s="6" t="s">
        <v>2916</v>
      </c>
      <c r="F2054" s="6" t="s">
        <v>2226</v>
      </c>
      <c r="G2054" s="6" t="s">
        <v>2227</v>
      </c>
      <c r="H2054" s="7">
        <v>1440</v>
      </c>
      <c r="I2054" s="8">
        <f>SUMIF(Cargas!$C$6:$C$1064,C2054,Cargas!$O$6:$O$1064)</f>
        <v>0</v>
      </c>
      <c r="J2054" s="17">
        <f t="shared" si="48"/>
        <v>1440</v>
      </c>
      <c r="K2054" s="34"/>
      <c r="L2054" s="34">
        <v>154012</v>
      </c>
    </row>
    <row r="2055" hidden="1">
      <c r="B2055" s="64">
        <v>44450</v>
      </c>
      <c r="C2055" s="9" t="s">
        <v>4324</v>
      </c>
      <c r="D2055" s="6" t="s">
        <v>4325</v>
      </c>
      <c r="E2055" s="6" t="s">
        <v>2916</v>
      </c>
      <c r="F2055" s="6" t="s">
        <v>2226</v>
      </c>
      <c r="G2055" s="6" t="s">
        <v>2227</v>
      </c>
      <c r="H2055" s="7">
        <v>1440</v>
      </c>
      <c r="I2055" s="8">
        <f>SUMIF(Cargas!$C$6:$C$1064,C2055,Cargas!$O$6:$O$1064)</f>
        <v>0</v>
      </c>
      <c r="J2055" s="17">
        <f t="shared" si="48"/>
        <v>1440</v>
      </c>
      <c r="K2055" s="34"/>
      <c r="L2055" s="34">
        <v>169688</v>
      </c>
    </row>
    <row r="2056" hidden="1">
      <c r="B2056" s="64">
        <v>45573</v>
      </c>
      <c r="C2056" s="9" t="s">
        <v>742</v>
      </c>
      <c r="D2056" s="6" t="s">
        <v>3442</v>
      </c>
      <c r="E2056" s="6" t="s">
        <v>2916</v>
      </c>
      <c r="F2056" s="6" t="s">
        <v>2226</v>
      </c>
      <c r="G2056" s="6" t="s">
        <v>2227</v>
      </c>
      <c r="H2056" s="7">
        <v>1920</v>
      </c>
      <c r="I2056" s="8">
        <f>SUMIF(Cargas!$C$6:$C$1064,C2056,Cargas!$O$6:$O$1064)</f>
        <v>1920</v>
      </c>
      <c r="J2056" s="17">
        <f t="shared" si="48"/>
        <v>0</v>
      </c>
      <c r="K2056" s="34"/>
      <c r="L2056" s="34">
        <v>234721</v>
      </c>
    </row>
    <row r="2057" hidden="1">
      <c r="B2057" s="64">
        <v>45573</v>
      </c>
      <c r="C2057" s="9" t="s">
        <v>730</v>
      </c>
      <c r="D2057" s="6" t="s">
        <v>4250</v>
      </c>
      <c r="E2057" s="6" t="s">
        <v>2916</v>
      </c>
      <c r="F2057" s="6" t="s">
        <v>2226</v>
      </c>
      <c r="G2057" s="6" t="s">
        <v>2227</v>
      </c>
      <c r="H2057" s="7">
        <v>1920</v>
      </c>
      <c r="I2057" s="8">
        <f>SUMIF(Cargas!$C$6:$C$1064,C2057,Cargas!$O$6:$O$1064)</f>
        <v>1920</v>
      </c>
      <c r="J2057" s="17">
        <f t="shared" si="48"/>
        <v>0</v>
      </c>
      <c r="K2057" s="34"/>
      <c r="L2057" s="34">
        <v>233961</v>
      </c>
    </row>
    <row r="2058" hidden="1">
      <c r="B2058" s="64">
        <v>45587</v>
      </c>
      <c r="C2058" s="9" t="s">
        <v>768</v>
      </c>
      <c r="D2058" s="6" t="s">
        <v>4252</v>
      </c>
      <c r="E2058" s="6" t="s">
        <v>2916</v>
      </c>
      <c r="F2058" s="6" t="s">
        <v>2226</v>
      </c>
      <c r="G2058" s="6" t="s">
        <v>2227</v>
      </c>
      <c r="H2058" s="7">
        <v>1920</v>
      </c>
      <c r="I2058" s="8">
        <f>SUMIF(Cargas!$C$6:$C$1064,C2058,Cargas!$O$6:$O$1064)</f>
        <v>1920</v>
      </c>
      <c r="J2058" s="17">
        <f t="shared" si="48"/>
        <v>0</v>
      </c>
      <c r="K2058" s="34"/>
      <c r="L2058" s="34">
        <v>238193</v>
      </c>
    </row>
    <row r="2059" hidden="1">
      <c r="B2059" s="64">
        <v>45589</v>
      </c>
      <c r="C2059" s="9" t="s">
        <v>631</v>
      </c>
      <c r="D2059" s="6" t="s">
        <v>4326</v>
      </c>
      <c r="E2059" s="6" t="s">
        <v>4327</v>
      </c>
      <c r="F2059" s="6" t="s">
        <v>3901</v>
      </c>
      <c r="G2059" s="6" t="s">
        <v>2222</v>
      </c>
      <c r="H2059" s="7">
        <v>280</v>
      </c>
      <c r="I2059" s="8">
        <f>SUMIF(Cargas!$C$6:$C$1064,C2059,Cargas!$O$6:$O$1064)</f>
        <v>280</v>
      </c>
      <c r="J2059" s="17">
        <f ref="J2059:J2060" t="shared" si="49">IF(ABS(H2059-I2059)&lt;20,0,H2059-I2059)</f>
        <v>0</v>
      </c>
      <c r="K2059" s="34"/>
      <c r="L2059" s="34">
        <v>214076</v>
      </c>
    </row>
    <row r="2060" hidden="1">
      <c r="B2060" s="64">
        <v>44176</v>
      </c>
      <c r="C2060" s="9" t="s">
        <v>4328</v>
      </c>
      <c r="D2060" s="6" t="s">
        <v>2703</v>
      </c>
      <c r="E2060" s="6" t="s">
        <v>2230</v>
      </c>
      <c r="F2060" s="6" t="s">
        <v>2221</v>
      </c>
      <c r="G2060" s="6" t="s">
        <v>2222</v>
      </c>
      <c r="H2060" s="7">
        <v>2310</v>
      </c>
      <c r="I2060" s="8">
        <f>SUMIF(Cargas!$C$6:$C$1064,C2060,Cargas!$O$6:$O$1064)</f>
        <v>0</v>
      </c>
      <c r="J2060" s="17">
        <f t="shared" si="49"/>
        <v>2310</v>
      </c>
      <c r="K2060" s="46"/>
      <c r="L2060" s="34">
        <v>12703</v>
      </c>
    </row>
    <row r="2063">
      <c r="A2063" s="0" t="s">
        <v>1199</v>
      </c>
    </row>
    <row r="2064" ht="13.5" customHeight="1"/>
    <row r="2254">
      <c r="A2254" s="0" t="s">
        <v>4329</v>
      </c>
    </row>
  </sheetData>
  <autoFilter ref="A4:M2060" xr:uid="{00000000-0001-0000-0100-000000000000}">
    <filterColumn colId="1">
      <filters>
        <dateGroupItem year="2026" month="8" dateTimeGrouping="month"/>
        <dateGroupItem year="2026" month="9" dateTimeGrouping="month"/>
      </filters>
    </filterColumn>
    <sortState xmlns:xlrd2="http://schemas.microsoft.com/office/spreadsheetml/2017/richdata2" ref="A5:M2060">
      <sortCondition ref="D4:D2060"/>
    </sortState>
  </autoFilter>
  <customSheetViews>
    <customSheetView guid="{D9891DF2-FCF4-466B-B104-7EC1DBE259D9}" showGridLines="0">
      <selection activeCell="C10" sqref="C10"/>
      <pageMargins left="0" right="0" top="0" bottom="0" header="0" footer="0"/>
    </customSheetView>
    <customSheetView guid="{C4662390-F79F-40B4-A67B-9DE0AA9A646E}" showGridLines="0">
      <selection activeCell="C10" sqref="C10"/>
      <pageMargins left="0" right="0" top="0" bottom="0" header="0" footer="0"/>
    </customSheetView>
  </customSheetViews>
  <conditionalFormatting sqref="B4">
    <cfRule type="expression" dxfId="0" priority="8565">
      <formula>#REF!&gt;0</formula>
    </cfRule>
  </conditionalFormatting>
  <conditionalFormatting sqref="B5:B2060">
    <cfRule type="expression" dxfId="0" priority="5">
      <formula>$J5&gt;49</formula>
    </cfRule>
  </conditionalFormatting>
  <conditionalFormatting sqref="C807:C812">
    <cfRule type="expression" dxfId="0" priority="2018">
      <formula>$J807&gt;50</formula>
    </cfRule>
  </conditionalFormatting>
  <conditionalFormatting sqref="C1961:C1969">
    <cfRule type="expression" dxfId="0" priority="552">
      <formula>$J1961&gt;50</formula>
    </cfRule>
  </conditionalFormatting>
  <conditionalFormatting sqref="C2011:C2048">
    <cfRule type="expression" dxfId="0" priority="1462">
      <formula>$J2011&gt;50</formula>
    </cfRule>
  </conditionalFormatting>
  <conditionalFormatting sqref="C813:D815 F813:J815">
    <cfRule type="expression" dxfId="0" priority="2426">
      <formula>$J813&gt;50</formula>
    </cfRule>
  </conditionalFormatting>
  <conditionalFormatting sqref="C1970:D1982">
    <cfRule type="expression" dxfId="0" priority="466">
      <formula>$J1970&gt;50</formula>
    </cfRule>
  </conditionalFormatting>
  <conditionalFormatting sqref="C2049:D2058">
    <cfRule type="expression" dxfId="0" priority="3918">
      <formula>$J2049&gt;50</formula>
    </cfRule>
  </conditionalFormatting>
  <conditionalFormatting sqref="C683:J685">
    <cfRule type="expression" dxfId="0" priority="2930">
      <formula>$J683&gt;50</formula>
    </cfRule>
  </conditionalFormatting>
  <conditionalFormatting sqref="C816:J817">
    <cfRule type="expression" dxfId="0" priority="1622">
      <formula>$J816&gt;50</formula>
    </cfRule>
  </conditionalFormatting>
  <conditionalFormatting sqref="C1337:J1342">
    <cfRule type="expression" dxfId="0" priority="331">
      <formula>$J1337&gt;50</formula>
    </cfRule>
  </conditionalFormatting>
  <conditionalFormatting sqref="C1351:J1368">
    <cfRule type="expression" dxfId="0" priority="324">
      <formula>$J1351&gt;50</formula>
    </cfRule>
  </conditionalFormatting>
  <conditionalFormatting sqref="C1385:J1389">
    <cfRule type="expression" dxfId="0" priority="318">
      <formula>$J1385&gt;50</formula>
    </cfRule>
  </conditionalFormatting>
  <conditionalFormatting sqref="C679:K682">
    <cfRule type="expression" dxfId="0" priority="1810">
      <formula>$J679&gt;50</formula>
    </cfRule>
  </conditionalFormatting>
  <conditionalFormatting sqref="C5:L678">
    <cfRule type="expression" dxfId="0" priority="279">
      <formula>$J5&gt;50</formula>
    </cfRule>
  </conditionalFormatting>
  <conditionalFormatting sqref="C686:L806">
    <cfRule type="expression" dxfId="0" priority="1188">
      <formula>$J686&gt;50</formula>
    </cfRule>
  </conditionalFormatting>
  <conditionalFormatting sqref="C818:L1256 C1257:J1278">
    <cfRule type="expression" dxfId="0" priority="102">
      <formula>$J818&gt;50</formula>
    </cfRule>
  </conditionalFormatting>
  <conditionalFormatting sqref="C1279:L1336">
    <cfRule type="expression" dxfId="0" priority="282">
      <formula>$J1279&gt;50</formula>
    </cfRule>
  </conditionalFormatting>
  <conditionalFormatting sqref="C1343:L1350">
    <cfRule type="expression" dxfId="0" priority="212">
      <formula>$J1343&gt;50</formula>
    </cfRule>
  </conditionalFormatting>
  <conditionalFormatting sqref="C1369:L1380">
    <cfRule type="expression" dxfId="0" priority="309">
      <formula>$J1369&gt;50</formula>
    </cfRule>
  </conditionalFormatting>
  <conditionalFormatting sqref="C1390:L1959">
    <cfRule type="expression" dxfId="0" priority="1">
      <formula>$J1390&gt;50</formula>
    </cfRule>
  </conditionalFormatting>
  <conditionalFormatting sqref="C1983:L2010">
    <cfRule type="expression" dxfId="0" priority="484">
      <formula>$J1983&gt;50</formula>
    </cfRule>
  </conditionalFormatting>
  <conditionalFormatting sqref="C2059:L2060">
    <cfRule type="expression" dxfId="0" priority="4114">
      <formula>$J2059&gt;50</formula>
    </cfRule>
  </conditionalFormatting>
  <conditionalFormatting sqref="D810:D812 F810:F812">
    <cfRule type="expression" dxfId="0" priority="2135">
      <formula>$J810&gt;50</formula>
    </cfRule>
  </conditionalFormatting>
  <conditionalFormatting sqref="D2035:D2048 F2043:L2058">
    <cfRule type="expression" dxfId="0" priority="1310">
      <formula>$J2035&gt;50</formula>
    </cfRule>
  </conditionalFormatting>
  <conditionalFormatting sqref="D807:F809 G807:J812">
    <cfRule type="expression" dxfId="0" priority="2020">
      <formula>$J807&gt;50</formula>
    </cfRule>
  </conditionalFormatting>
  <conditionalFormatting sqref="D2011:F2034 F2035:F2042">
    <cfRule type="expression" dxfId="0" priority="1464">
      <formula>$J2011&gt;50</formula>
    </cfRule>
  </conditionalFormatting>
  <conditionalFormatting sqref="E810:E815 C1381:E1384 C1960:J1960 E1969:E1982 E2035:E2058">
    <cfRule type="expression" dxfId="0" priority="3884">
      <formula>$J810&gt;50</formula>
    </cfRule>
  </conditionalFormatting>
  <conditionalFormatting sqref="F1970:L1982">
    <cfRule type="expression" dxfId="0" priority="467">
      <formula>$J1970&gt;50</formula>
    </cfRule>
  </conditionalFormatting>
  <conditionalFormatting sqref="G2011:L2042">
    <cfRule type="expression" dxfId="0" priority="1275">
      <formula>$J2011&gt;50</formula>
    </cfRule>
  </conditionalFormatting>
  <conditionalFormatting sqref="K683">
    <cfRule type="expression" dxfId="0" priority="2551">
      <formula>$J683&gt;50</formula>
    </cfRule>
  </conditionalFormatting>
  <conditionalFormatting sqref="K684">
    <cfRule type="expression" dxfId="80" priority="2552">
      <formula>$B684="cancelado"</formula>
    </cfRule>
    <cfRule type="expression" dxfId="79" priority="2553">
      <formula>$B684="en mar"</formula>
    </cfRule>
    <cfRule type="expression" dxfId="78" priority="2554">
      <formula>$B684="Frontera"</formula>
    </cfRule>
    <cfRule type="expression" dxfId="77" priority="2555">
      <formula>$B684="Chile"</formula>
    </cfRule>
    <cfRule type="expression" dxfId="76" priority="2556">
      <formula>$B684="en tierra"</formula>
    </cfRule>
    <cfRule type="expression" dxfId="75" priority="2557">
      <formula>$B684="Lobraus"</formula>
    </cfRule>
    <cfRule type="expression" dxfId="74" priority="2558">
      <formula>$B684="Planificado"</formula>
    </cfRule>
    <cfRule type="expression" dxfId="73" priority="2559">
      <formula>$B684="Puerto"</formula>
    </cfRule>
    <cfRule type="expression" dxfId="72" priority="2560">
      <formula>$B684="Confirmado"</formula>
    </cfRule>
    <cfRule type="expression" dxfId="71" priority="2561">
      <formula>$B684="Solicitado"</formula>
    </cfRule>
    <cfRule type="expression" dxfId="70" priority="2562">
      <formula>$B684="Arribado"</formula>
    </cfRule>
  </conditionalFormatting>
  <conditionalFormatting sqref="K684:K685">
    <cfRule type="expression" dxfId="80" priority="2563">
      <formula>$B684="cancelado"</formula>
    </cfRule>
    <cfRule type="expression" dxfId="79" priority="2564">
      <formula>$B684="en mar"</formula>
    </cfRule>
    <cfRule type="expression" dxfId="78" priority="2565">
      <formula>$B684="Frontera"</formula>
    </cfRule>
    <cfRule type="expression" dxfId="77" priority="2566">
      <formula>$B684="Chile"</formula>
    </cfRule>
    <cfRule type="expression" dxfId="76" priority="2567">
      <formula>$B684="en tierra"</formula>
    </cfRule>
    <cfRule type="expression" dxfId="75" priority="2568">
      <formula>$B684="Lobraus"</formula>
    </cfRule>
    <cfRule type="expression" dxfId="74" priority="2569">
      <formula>$B684="Planificado"</formula>
    </cfRule>
    <cfRule type="expression" dxfId="73" priority="2570">
      <formula>$B684="Puerto"</formula>
    </cfRule>
    <cfRule type="expression" dxfId="72" priority="2571">
      <formula>$B684="Confirmado"</formula>
    </cfRule>
    <cfRule type="expression" dxfId="71" priority="2572">
      <formula>$B684="Solicitado"</formula>
    </cfRule>
    <cfRule type="expression" dxfId="70" priority="2573">
      <formula>$B684="Arribado"</formula>
    </cfRule>
  </conditionalFormatting>
  <conditionalFormatting sqref="K685">
    <cfRule type="expression" dxfId="80" priority="2585">
      <formula>$B685="cancelado"</formula>
    </cfRule>
    <cfRule type="expression" dxfId="79" priority="2586">
      <formula>$B685="en mar"</formula>
    </cfRule>
    <cfRule type="expression" dxfId="78" priority="2587">
      <formula>$B685="Frontera"</formula>
    </cfRule>
    <cfRule type="expression" dxfId="77" priority="2588">
      <formula>$B685="Chile"</formula>
    </cfRule>
    <cfRule type="expression" dxfId="76" priority="2589">
      <formula>$B685="en tierra"</formula>
    </cfRule>
    <cfRule type="expression" dxfId="75" priority="2590">
      <formula>$B685="Lobraus"</formula>
    </cfRule>
    <cfRule type="expression" dxfId="74" priority="2591">
      <formula>$B685="Planificado"</formula>
    </cfRule>
    <cfRule type="expression" dxfId="73" priority="2592">
      <formula>$B685="Puerto"</formula>
    </cfRule>
    <cfRule type="expression" dxfId="72" priority="2593">
      <formula>$B685="Confirmado"</formula>
    </cfRule>
    <cfRule type="expression" dxfId="71" priority="2594">
      <formula>$B685="Solicitado"</formula>
    </cfRule>
    <cfRule type="expression" dxfId="70" priority="2595">
      <formula>$B685="Arribado"</formula>
    </cfRule>
  </conditionalFormatting>
  <conditionalFormatting sqref="K1188">
    <cfRule type="expression" dxfId="0" priority="380006">
      <formula>$J1278&gt;50</formula>
    </cfRule>
  </conditionalFormatting>
  <conditionalFormatting sqref="K1257:K1277">
    <cfRule type="expression" dxfId="0" priority="223">
      <formula>$J1257&gt;50</formula>
    </cfRule>
  </conditionalFormatting>
  <conditionalFormatting sqref="K1262">
    <cfRule type="expression" dxfId="0" priority="380009">
      <formula>$J1349&gt;50</formula>
    </cfRule>
  </conditionalFormatting>
  <conditionalFormatting sqref="K1269:K1270">
    <cfRule type="expression" dxfId="0" priority="380008">
      <formula>$J1350&gt;50</formula>
    </cfRule>
  </conditionalFormatting>
  <conditionalFormatting sqref="K1271">
    <cfRule type="expression" dxfId="0" priority="380007">
      <formula>$J1351&gt;50</formula>
    </cfRule>
  </conditionalFormatting>
  <conditionalFormatting sqref="K1273:K1274">
    <cfRule type="expression" dxfId="0" priority="230">
      <formula>$J1354&gt;50</formula>
    </cfRule>
  </conditionalFormatting>
  <conditionalFormatting sqref="K1275">
    <cfRule type="expression" dxfId="0" priority="233">
      <formula>$J1354&gt;50</formula>
    </cfRule>
  </conditionalFormatting>
  <conditionalFormatting sqref="K1276">
    <cfRule type="expression" dxfId="0" priority="380005">
      <formula>$J1352&gt;50</formula>
    </cfRule>
  </conditionalFormatting>
  <conditionalFormatting sqref="K1277">
    <cfRule type="expression" dxfId="0" priority="380004">
      <formula>$J1351&gt;50</formula>
    </cfRule>
  </conditionalFormatting>
  <conditionalFormatting sqref="K1337">
    <cfRule type="expression" dxfId="0" priority="379776">
      <formula>$J1364&gt;50</formula>
    </cfRule>
  </conditionalFormatting>
  <conditionalFormatting sqref="K1338:K1342">
    <cfRule type="expression" dxfId="0" priority="332">
      <formula>$J1338&gt;50</formula>
    </cfRule>
  </conditionalFormatting>
  <conditionalFormatting sqref="K1346">
    <cfRule type="expression" dxfId="0" priority="211">
      <formula>$J1429&gt;50</formula>
    </cfRule>
  </conditionalFormatting>
  <conditionalFormatting sqref="K1347">
    <cfRule type="expression" dxfId="0" priority="218">
      <formula>$J1429&gt;50</formula>
    </cfRule>
  </conditionalFormatting>
  <conditionalFormatting sqref="K1351:K1363">
    <cfRule type="expression" dxfId="0" priority="288">
      <formula>$J1351&gt;50</formula>
    </cfRule>
  </conditionalFormatting>
  <conditionalFormatting sqref="K1365:K1368">
    <cfRule type="expression" dxfId="0" priority="284">
      <formula>$J1365&gt;50</formula>
    </cfRule>
  </conditionalFormatting>
  <conditionalFormatting sqref="K1455">
    <cfRule type="expression" dxfId="0" priority="380010">
      <formula>$J1938&gt;50</formula>
    </cfRule>
  </conditionalFormatting>
  <conditionalFormatting sqref="K1456:K1457 K1468:K1472">
    <cfRule type="expression" dxfId="0" priority="380014">
      <formula>$J1938&gt;50</formula>
    </cfRule>
  </conditionalFormatting>
  <conditionalFormatting sqref="K1458">
    <cfRule type="expression" dxfId="0" priority="380019">
      <formula>$J1939&gt;50</formula>
    </cfRule>
  </conditionalFormatting>
  <conditionalFormatting sqref="K1459 K1462 K1554">
    <cfRule type="expression" dxfId="0" priority="186">
      <formula>$J1939&gt;50</formula>
    </cfRule>
  </conditionalFormatting>
  <conditionalFormatting sqref="K1465:K1467 K1555:K1556">
    <cfRule type="expression" dxfId="0" priority="380038">
      <formula>$J1944&gt;50</formula>
    </cfRule>
  </conditionalFormatting>
  <conditionalFormatting sqref="K1473:K1474">
    <cfRule type="expression" dxfId="0" priority="380011">
      <formula>$J1953&gt;50</formula>
    </cfRule>
  </conditionalFormatting>
  <conditionalFormatting sqref="K1475:K1476">
    <cfRule type="expression" dxfId="0" priority="380071">
      <formula>$J1947&gt;50</formula>
    </cfRule>
  </conditionalFormatting>
  <conditionalFormatting sqref="K1477:K1478">
    <cfRule type="expression" dxfId="0" priority="380104">
      <formula>$J1947&gt;50</formula>
    </cfRule>
  </conditionalFormatting>
  <conditionalFormatting sqref="K1479:K1482 K1494:K1496 K1552:K1553">
    <cfRule type="expression" dxfId="0" priority="380013">
      <formula>$J1947&gt;50</formula>
    </cfRule>
  </conditionalFormatting>
  <conditionalFormatting sqref="K1497 K1576">
    <cfRule type="expression" dxfId="0" priority="380015">
      <formula>$J1964&gt;50</formula>
    </cfRule>
  </conditionalFormatting>
  <conditionalFormatting sqref="K1557:K1558">
    <cfRule type="expression" dxfId="0" priority="380122">
      <formula>$J2034&gt;50</formula>
    </cfRule>
  </conditionalFormatting>
  <conditionalFormatting sqref="K1559:K1561 K1584">
    <cfRule type="expression" dxfId="0" priority="93">
      <formula>$J2035&gt;50</formula>
    </cfRule>
  </conditionalFormatting>
  <conditionalFormatting sqref="K1562:K1572">
    <cfRule type="expression" dxfId="0" priority="380073">
      <formula>$J2036&gt;50</formula>
    </cfRule>
  </conditionalFormatting>
  <conditionalFormatting sqref="K1573:K1574">
    <cfRule type="expression" dxfId="0" priority="380045">
      <formula>$J2046&gt;50</formula>
    </cfRule>
  </conditionalFormatting>
  <conditionalFormatting sqref="K1575">
    <cfRule type="expression" dxfId="0" priority="380051">
      <formula>$J2045&gt;50</formula>
    </cfRule>
  </conditionalFormatting>
  <conditionalFormatting sqref="K1577:K1578">
    <cfRule type="expression" dxfId="0" priority="380064">
      <formula>$J2043&gt;50</formula>
    </cfRule>
  </conditionalFormatting>
  <conditionalFormatting sqref="K1579:K1583">
    <cfRule type="expression" dxfId="0" priority="192">
      <formula>$J2044&gt;50</formula>
    </cfRule>
  </conditionalFormatting>
  <conditionalFormatting sqref="K1585:K1587 K1601">
    <cfRule type="expression" dxfId="0" priority="380023">
      <formula>$J2049&gt;50</formula>
    </cfRule>
  </conditionalFormatting>
  <conditionalFormatting sqref="K1589:K1591">
    <cfRule type="expression" dxfId="0" priority="380158">
      <formula>$J2051&gt;50</formula>
    </cfRule>
  </conditionalFormatting>
  <conditionalFormatting sqref="K1592:K1595">
    <cfRule type="expression" dxfId="0" priority="380057">
      <formula>$J2022&gt;50</formula>
    </cfRule>
  </conditionalFormatting>
  <conditionalFormatting sqref="K1596:K1597">
    <cfRule type="expression" dxfId="0" priority="380035">
      <formula>$J2025&gt;50</formula>
    </cfRule>
  </conditionalFormatting>
  <conditionalFormatting sqref="K1598:K1599 K1616:K1617">
    <cfRule type="expression" dxfId="0" priority="380130">
      <formula>$J2055&gt;50</formula>
    </cfRule>
  </conditionalFormatting>
  <conditionalFormatting sqref="K1600">
    <cfRule type="expression" dxfId="0" priority="380098">
      <formula>$J2023&gt;50</formula>
    </cfRule>
  </conditionalFormatting>
  <conditionalFormatting sqref="K1603:K1610">
    <cfRule type="expression" dxfId="0" priority="380148">
      <formula>$J2066&gt;50</formula>
    </cfRule>
  </conditionalFormatting>
  <conditionalFormatting sqref="K1611:K1615">
    <cfRule type="expression" dxfId="0" priority="380114">
      <formula>$J2069&gt;50</formula>
    </cfRule>
  </conditionalFormatting>
  <conditionalFormatting sqref="K1618">
    <cfRule type="expression" dxfId="0" priority="380170">
      <formula>$J2072&gt;50</formula>
    </cfRule>
  </conditionalFormatting>
  <conditionalFormatting sqref="K1619">
    <cfRule type="expression" dxfId="0" priority="92">
      <formula>$J2031&gt;50</formula>
    </cfRule>
  </conditionalFormatting>
  <conditionalFormatting sqref="K1620:K1622 K1627:K1628">
    <cfRule type="expression" dxfId="0" priority="168">
      <formula>$J2023&gt;50</formula>
    </cfRule>
  </conditionalFormatting>
  <conditionalFormatting sqref="K1629:K1631 K1714">
    <cfRule type="expression" dxfId="0" priority="131">
      <formula>$J2031&gt;50</formula>
    </cfRule>
  </conditionalFormatting>
  <conditionalFormatting sqref="K1678:K1679">
    <cfRule type="expression" dxfId="0" priority="125">
      <formula>$J2080&gt;50</formula>
    </cfRule>
  </conditionalFormatting>
  <conditionalFormatting sqref="K1715">
    <cfRule type="expression" dxfId="0" priority="47">
      <formula>$J2178&gt;50</formula>
    </cfRule>
  </conditionalFormatting>
  <conditionalFormatting sqref="K1716">
    <cfRule type="expression" dxfId="0" priority="380208">
      <formula>$J2172&gt;50</formula>
    </cfRule>
  </conditionalFormatting>
  <conditionalFormatting sqref="K1717:K1719">
    <cfRule type="expression" dxfId="0" priority="109">
      <formula>$J2172&gt;50</formula>
    </cfRule>
  </conditionalFormatting>
  <conditionalFormatting sqref="K1720">
    <cfRule type="expression" dxfId="0" priority="70">
      <formula>$J2174&gt;50</formula>
    </cfRule>
  </conditionalFormatting>
  <conditionalFormatting sqref="K1721:K1722 K1747">
    <cfRule type="expression" dxfId="0" priority="82">
      <formula>$J2117&gt;50</formula>
    </cfRule>
  </conditionalFormatting>
  <conditionalFormatting sqref="K1723">
    <cfRule type="expression" dxfId="0" priority="100">
      <formula>$J2118&gt;50</formula>
    </cfRule>
  </conditionalFormatting>
  <conditionalFormatting sqref="K1755">
    <cfRule type="expression" dxfId="0" priority="40">
      <formula>$J2215&gt;50</formula>
    </cfRule>
  </conditionalFormatting>
  <conditionalFormatting sqref="K1756:K1759">
    <cfRule type="expression" dxfId="0" priority="32">
      <formula>$J2211&gt;50</formula>
    </cfRule>
  </conditionalFormatting>
  <conditionalFormatting sqref="K1760">
    <cfRule type="expression" dxfId="0" priority="380081">
      <formula>$J2209&gt;50</formula>
    </cfRule>
  </conditionalFormatting>
  <conditionalFormatting sqref="K1761">
    <cfRule type="expression" dxfId="0" priority="38">
      <formula>$J2212&gt;50</formula>
    </cfRule>
  </conditionalFormatting>
  <conditionalFormatting sqref="K1762:K1763">
    <cfRule type="expression" dxfId="0" priority="26">
      <formula>$J2217&gt;50</formula>
    </cfRule>
  </conditionalFormatting>
  <conditionalFormatting sqref="K1764">
    <cfRule type="expression" dxfId="0" priority="380222">
      <formula>$J2210&gt;50</formula>
    </cfRule>
  </conditionalFormatting>
  <conditionalFormatting sqref="K1765:K1768">
    <cfRule type="expression" dxfId="0" priority="11">
      <formula>$J2220&gt;50</formula>
    </cfRule>
  </conditionalFormatting>
  <conditionalFormatting sqref="K1769">
    <cfRule type="expression" dxfId="0" priority="16">
      <formula>$J2220&gt;50</formula>
    </cfRule>
  </conditionalFormatting>
  <conditionalFormatting sqref="K1770:K1772">
    <cfRule type="expression" dxfId="0" priority="380236">
      <formula>$J2211&gt;50</formula>
    </cfRule>
  </conditionalFormatting>
  <conditionalFormatting sqref="K1773">
    <cfRule type="expression" dxfId="0" priority="380198">
      <formula>$J2213&gt;50</formula>
    </cfRule>
  </conditionalFormatting>
  <conditionalFormatting sqref="K1774">
    <cfRule type="expression" dxfId="0" priority="380184">
      <formula>$J2212&gt;50</formula>
    </cfRule>
  </conditionalFormatting>
  <conditionalFormatting sqref="K1775">
    <cfRule type="expression" dxfId="0" priority="53">
      <formula>$J2211&gt;50</formula>
    </cfRule>
  </conditionalFormatting>
  <conditionalFormatting sqref="K1825:K1827">
    <cfRule type="expression" dxfId="0" priority="2">
      <formula>$J2263&gt;50</formula>
    </cfRule>
  </conditionalFormatting>
  <conditionalFormatting sqref="K1828">
    <cfRule type="expression" dxfId="0" priority="17">
      <formula>$J2263&gt;50</formula>
    </cfRule>
  </conditionalFormatting>
  <conditionalFormatting sqref="K807:L817">
    <cfRule type="expression" dxfId="0" priority="1621">
      <formula>$J807&gt;50</formula>
    </cfRule>
  </conditionalFormatting>
  <conditionalFormatting sqref="K1382:L1389">
    <cfRule type="expression" dxfId="0" priority="319">
      <formula>$J1382&gt;50</formula>
    </cfRule>
  </conditionalFormatting>
  <conditionalFormatting sqref="L679:L685">
    <cfRule type="expression" dxfId="0" priority="1813">
      <formula>$J679&gt;50</formula>
    </cfRule>
  </conditionalFormatting>
  <conditionalFormatting sqref="L1257:L1278">
    <cfRule type="expression" dxfId="0" priority="238">
      <formula>$J1257&gt;50</formula>
    </cfRule>
  </conditionalFormatting>
  <conditionalFormatting sqref="L1337:L1342 L1351:L1368 F1381:L1381 F1382:J1384 K1960:L1969 D1961:J1968 D1969 F1969:J1969">
    <cfRule type="expression" dxfId="0" priority="8566">
      <formula>$J1337&gt;50</formula>
    </cfRule>
  </conditionalFormatting>
  <dataValidations count="2">
    <dataValidation type="list" allowBlank="1" showInputMessage="1" showErrorMessage="1" sqref="G2011:G2060 G944:G953 G966 G1007 G973:G974 G1039 G1047 G1111 G1122 G1343:G1345 G1247 G1078:G1084 G1065:G1074 G1052 G1129 G1222:G1223 G1227:G1231 G985:G997 G1189:G1195 G1158:G1180 G1278:G1283 G1401:G1404 G1255:G1256 G1348:G1350 G5:G883 G886:G942" xr:uid="{00000000-0002-0000-0100-000000000000}">
      <formula1>Transporte</formula1>
    </dataValidation>
    <dataValidation type="list" allowBlank="1" showInputMessage="1" showErrorMessage="1" sqref="F2011:F2060 F944:F953 F966 F1007 F973:F974 F1039 F1047 F1111 F1122 F985:F997 F1247 F1078:F1084 F1065:F1074 F1052 F1129 F1222:F1223 F1227:F1231 F5:F942 F1189:F1195 F1158:F1180 F1278:F1283 F1401:F1404 F1255:F1256 F1348:F1350 F1343:F1345" xr:uid="{00000000-0002-0000-0100-000001000000}">
      <formula1>Fronteras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1275-CAA6-4CB8-BF36-25282EC9ACE4}">
  <sheetViews>
    <sheetView workbookViewId="0"/>
  </sheetViews>
  <sheetFormatPr defaultColWidth="11.42578125" defaultRowHeight="1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3"/>
  <sheetViews>
    <sheetView showGridLines="0" workbookViewId="0">
      <selection activeCell="J22" sqref="J22"/>
    </sheetView>
  </sheetViews>
  <sheetFormatPr defaultColWidth="11.42578125" defaultRowHeight="15"/>
  <cols>
    <col min="1" max="1" width="4.85546875" customWidth="1"/>
    <col min="2" max="2" width="13" customWidth="1"/>
    <col min="3" max="3" width="4.85546875" customWidth="1"/>
    <col min="4" max="4" width="13" customWidth="1"/>
    <col min="6" max="6" width="4.85546875" customWidth="1"/>
    <col min="7" max="7" width="13" customWidth="1"/>
    <col min="8" max="8" width="4.85546875" customWidth="1"/>
    <col min="9" max="9" width="13" customWidth="1"/>
    <col min="10" max="10" width="8.85546875" customWidth="1"/>
  </cols>
  <sheetData>
    <row r="2" ht="18.75">
      <c r="B2" s="14" t="s">
        <v>4330</v>
      </c>
    </row>
    <row r="4">
      <c r="B4" s="23" t="s">
        <v>5</v>
      </c>
      <c r="D4" s="24" t="s">
        <v>4331</v>
      </c>
      <c r="E4" s="25" t="s">
        <v>4332</v>
      </c>
      <c r="G4" s="23" t="s">
        <v>4333</v>
      </c>
      <c r="I4" s="23" t="s">
        <v>7</v>
      </c>
      <c r="J4" s="23" t="s">
        <v>4334</v>
      </c>
    </row>
    <row r="5">
      <c r="B5" s="26" t="s">
        <v>2197</v>
      </c>
      <c r="D5" s="5" t="s">
        <v>4335</v>
      </c>
      <c r="E5" s="5">
        <v>1080</v>
      </c>
      <c r="G5" s="26" t="s">
        <v>2226</v>
      </c>
      <c r="I5" s="27" t="s">
        <v>4336</v>
      </c>
      <c r="J5" s="47" t="s">
        <v>4337</v>
      </c>
    </row>
    <row r="6">
      <c r="B6" s="10" t="s">
        <v>4338</v>
      </c>
      <c r="D6" s="26" t="s">
        <v>2222</v>
      </c>
      <c r="E6" s="26">
        <v>1080</v>
      </c>
      <c r="G6" s="11" t="s">
        <v>2221</v>
      </c>
      <c r="I6" s="5" t="s">
        <v>230</v>
      </c>
      <c r="J6" s="48" t="s">
        <v>4339</v>
      </c>
    </row>
    <row r="7">
      <c r="B7" s="10" t="s">
        <v>28</v>
      </c>
      <c r="D7" s="10" t="s">
        <v>2282</v>
      </c>
      <c r="E7" s="10">
        <v>1080</v>
      </c>
      <c r="G7" s="11" t="s">
        <v>978</v>
      </c>
      <c r="I7" s="26" t="s">
        <v>30</v>
      </c>
      <c r="J7" s="28" t="s">
        <v>4340</v>
      </c>
    </row>
    <row r="8">
      <c r="B8" s="10"/>
      <c r="D8" s="10"/>
      <c r="E8" s="10"/>
      <c r="G8" s="18" t="s">
        <v>3901</v>
      </c>
      <c r="I8" s="88" t="s">
        <v>360</v>
      </c>
      <c r="J8" s="89" t="s">
        <v>4341</v>
      </c>
    </row>
    <row r="9">
      <c r="B9" s="11" t="s">
        <v>2194</v>
      </c>
      <c r="D9" s="10" t="s">
        <v>4342</v>
      </c>
      <c r="E9" s="10"/>
      <c r="G9" s="12" t="s">
        <v>29</v>
      </c>
      <c r="I9" s="10" t="s">
        <v>37</v>
      </c>
      <c r="J9" s="15" t="s">
        <v>4343</v>
      </c>
    </row>
    <row r="10">
      <c r="B10" s="11"/>
      <c r="D10" s="10"/>
      <c r="E10" s="10"/>
      <c r="G10" s="19"/>
      <c r="I10" s="30" t="s">
        <v>48</v>
      </c>
      <c r="J10" s="58" t="s">
        <v>4344</v>
      </c>
    </row>
    <row r="11">
      <c r="B11" s="11" t="s">
        <v>15</v>
      </c>
      <c r="D11" s="10" t="s">
        <v>4345</v>
      </c>
      <c r="E11" s="10">
        <v>1080</v>
      </c>
      <c r="I11" s="30" t="s">
        <v>1152</v>
      </c>
      <c r="J11" s="58" t="s">
        <v>4346</v>
      </c>
    </row>
    <row r="12">
      <c r="B12" s="11" t="s">
        <v>2195</v>
      </c>
      <c r="D12" s="10" t="s">
        <v>4347</v>
      </c>
      <c r="E12" s="10">
        <v>1080</v>
      </c>
      <c r="I12" s="30" t="s">
        <v>4348</v>
      </c>
      <c r="J12" s="58" t="s">
        <v>4349</v>
      </c>
    </row>
    <row r="13">
      <c r="B13" s="11"/>
      <c r="D13" s="10"/>
      <c r="E13" s="10"/>
      <c r="I13" s="30" t="s">
        <v>694</v>
      </c>
      <c r="J13" s="58" t="s">
        <v>4350</v>
      </c>
    </row>
    <row r="14">
      <c r="B14" s="11" t="s">
        <v>4351</v>
      </c>
      <c r="D14" s="10" t="s">
        <v>4352</v>
      </c>
      <c r="E14" s="10">
        <v>1080</v>
      </c>
      <c r="I14" s="30" t="s">
        <v>765</v>
      </c>
      <c r="J14" s="58" t="s">
        <v>4353</v>
      </c>
    </row>
    <row r="15">
      <c r="B15" s="18" t="s">
        <v>4354</v>
      </c>
      <c r="D15" s="10" t="s">
        <v>4355</v>
      </c>
      <c r="E15" s="10">
        <v>2310</v>
      </c>
      <c r="I15" s="30" t="s">
        <v>4356</v>
      </c>
      <c r="J15" s="58" t="s">
        <v>4357</v>
      </c>
    </row>
    <row r="16">
      <c r="B16" s="18" t="s">
        <v>4358</v>
      </c>
      <c r="D16" s="10" t="s">
        <v>2560</v>
      </c>
      <c r="E16" s="10">
        <v>1000</v>
      </c>
      <c r="I16" s="30" t="s">
        <v>943</v>
      </c>
      <c r="J16" s="58" t="s">
        <v>4359</v>
      </c>
    </row>
    <row r="17">
      <c r="B17" s="18" t="s">
        <v>4360</v>
      </c>
      <c r="D17" s="10" t="s">
        <v>29</v>
      </c>
      <c r="E17" s="10">
        <v>1000</v>
      </c>
      <c r="I17" s="30" t="s">
        <v>656</v>
      </c>
      <c r="J17" s="58" t="s">
        <v>4361</v>
      </c>
    </row>
    <row r="18">
      <c r="B18" s="18" t="s">
        <v>2198</v>
      </c>
      <c r="D18" s="10" t="s">
        <v>3015</v>
      </c>
      <c r="E18" s="10">
        <v>1056</v>
      </c>
      <c r="I18" s="30" t="s">
        <v>34</v>
      </c>
      <c r="J18" s="58" t="s">
        <v>385</v>
      </c>
    </row>
    <row r="19">
      <c r="B19" s="18" t="s">
        <v>4362</v>
      </c>
      <c r="D19" s="10" t="s">
        <v>4363</v>
      </c>
      <c r="E19" s="10">
        <v>1080</v>
      </c>
      <c r="I19" s="30" t="s">
        <v>750</v>
      </c>
      <c r="J19" s="58" t="s">
        <v>4341</v>
      </c>
    </row>
    <row r="20">
      <c r="B20" s="18" t="s">
        <v>4364</v>
      </c>
      <c r="D20" s="10" t="s">
        <v>2258</v>
      </c>
      <c r="E20" s="10">
        <v>1080</v>
      </c>
      <c r="I20" s="30" t="s">
        <v>194</v>
      </c>
      <c r="J20" s="58" t="s">
        <v>4365</v>
      </c>
    </row>
    <row r="21">
      <c r="B21" s="18"/>
      <c r="D21" s="10"/>
      <c r="E21" s="10"/>
      <c r="I21" s="30" t="s">
        <v>632</v>
      </c>
      <c r="J21" s="58" t="s">
        <v>4366</v>
      </c>
    </row>
    <row r="22">
      <c r="B22" s="18" t="s">
        <v>4367</v>
      </c>
      <c r="D22" s="10" t="s">
        <v>4368</v>
      </c>
      <c r="E22" s="10">
        <v>1080</v>
      </c>
      <c r="I22" s="12" t="s">
        <v>42</v>
      </c>
      <c r="J22" s="16" t="s">
        <v>4369</v>
      </c>
    </row>
    <row r="23">
      <c r="B23" s="18" t="s">
        <v>4370</v>
      </c>
      <c r="D23" s="10" t="s">
        <v>2305</v>
      </c>
      <c r="E23" s="10">
        <v>1080</v>
      </c>
      <c r="I23" s="19"/>
      <c r="J23" s="20"/>
    </row>
    <row r="24">
      <c r="B24" s="18" t="s">
        <v>4371</v>
      </c>
      <c r="D24" s="30" t="s">
        <v>2227</v>
      </c>
      <c r="E24" s="30">
        <v>1080</v>
      </c>
      <c r="I24" s="19"/>
      <c r="J24" s="20"/>
    </row>
    <row r="25">
      <c r="B25" s="18" t="s">
        <v>1056</v>
      </c>
      <c r="D25" s="30" t="s">
        <v>2277</v>
      </c>
      <c r="E25" s="30">
        <v>1080</v>
      </c>
      <c r="I25" s="19"/>
      <c r="J25" s="20"/>
    </row>
    <row r="26">
      <c r="B26" s="18" t="s">
        <v>4372</v>
      </c>
      <c r="D26" s="30" t="s">
        <v>4373</v>
      </c>
      <c r="E26" s="30">
        <v>1080</v>
      </c>
      <c r="I26" s="19"/>
      <c r="J26" s="20"/>
    </row>
    <row r="27">
      <c r="B27" s="18" t="s">
        <v>4374</v>
      </c>
      <c r="D27" s="30" t="s">
        <v>2317</v>
      </c>
      <c r="E27" s="30">
        <v>1000</v>
      </c>
    </row>
    <row r="28">
      <c r="B28" s="12" t="s">
        <v>32</v>
      </c>
      <c r="D28" s="30" t="s">
        <v>2584</v>
      </c>
      <c r="E28" s="30">
        <v>1000</v>
      </c>
    </row>
    <row r="29">
      <c r="B29" s="19"/>
      <c r="D29" s="30" t="s">
        <v>410</v>
      </c>
      <c r="E29" s="30">
        <v>1080</v>
      </c>
    </row>
    <row r="30">
      <c r="B30" s="19"/>
      <c r="D30" s="30" t="s">
        <v>2988</v>
      </c>
      <c r="E30" s="30"/>
    </row>
    <row r="31">
      <c r="B31" s="19"/>
      <c r="D31" s="30" t="s">
        <v>4375</v>
      </c>
      <c r="E31" s="30"/>
    </row>
    <row r="32">
      <c r="B32" s="19"/>
      <c r="D32" s="30"/>
      <c r="E32" s="30"/>
    </row>
    <row r="33">
      <c r="D33" s="13" t="s">
        <v>4376</v>
      </c>
      <c r="E33" s="13">
        <v>1080</v>
      </c>
    </row>
  </sheetData>
  <customSheetViews>
    <customSheetView guid="{D9891DF2-FCF4-466B-B104-7EC1DBE259D9}" showGridLines="0">
      <selection activeCell="G4" sqref="G4"/>
      <pageMargins left="0" right="0" top="0" bottom="0" header="0" footer="0"/>
      <pageSetup paperSize="9" orientation="portrait" verticalDpi="0"/>
    </customSheetView>
    <customSheetView guid="{C4662390-F79F-40B4-A67B-9DE0AA9A646E}" showGridLines="0">
      <selection activeCell="G4" sqref="G4"/>
      <pageMargins left="0" right="0" top="0" bottom="0" header="0" footer="0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</dc:creator>
  <cp:keywords/>
  <dc:description/>
  <cp:lastModifiedBy/>
  <cp:revision/>
  <dcterms:created xsi:type="dcterms:W3CDTF">2010-02-04T12:45:45Z</dcterms:created>
  <dcterms:modified xsi:type="dcterms:W3CDTF">2026-10-12T18:27:49Z</dcterms:modified>
  <cp:category/>
  <cp:contentStatus/>
</cp:coreProperties>
</file>